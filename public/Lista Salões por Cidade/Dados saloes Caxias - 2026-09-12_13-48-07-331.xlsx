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aloes caxias - 2026-09-1" sheetId="1" r:id="rId5"/>
  </sheets>
  <definedNames/>
  <calcPr/>
</workbook>
</file>

<file path=xl/sharedStrings.xml><?xml version="1.0" encoding="utf-8"?>
<sst xmlns="http://schemas.openxmlformats.org/spreadsheetml/2006/main" count="1443" uniqueCount="1434">
  <si>
    <t>Nome</t>
  </si>
  <si>
    <t>phone</t>
  </si>
  <si>
    <t>WhatsApp</t>
  </si>
  <si>
    <t>Endereço</t>
  </si>
  <si>
    <t>Latitude</t>
  </si>
  <si>
    <t>Longetude</t>
  </si>
  <si>
    <t>Cidade</t>
  </si>
  <si>
    <t>url</t>
  </si>
  <si>
    <t>Categoria</t>
  </si>
  <si>
    <t>Salão T&amp;G cabelos</t>
  </si>
  <si>
    <t>+55 99 98211-0016</t>
  </si>
  <si>
    <t>+5599982110016</t>
  </si>
  <si>
    <t>2A Travessa do Espírito Santo, nº 1.038 - Volta Redonda, Caxias - MA, 65606-310, Brasil</t>
  </si>
  <si>
    <t>-4.8780563</t>
  </si>
  <si>
    <t>-43.3537755</t>
  </si>
  <si>
    <t>Caxias -MA</t>
  </si>
  <si>
    <t>https://www.google.com/maps/search/?api=1&amp;query=Sal%C3%A3o%20T%26G%20cabelos&amp;query_place_id=ChIJzVeVsLGTjgcRVgE9t4hwu3Y</t>
  </si>
  <si>
    <t>STUDIO BEAUTY Cabelo &amp; Maquiagem</t>
  </si>
  <si>
    <t>+55 99 99646-7248</t>
  </si>
  <si>
    <t>+5599996467248</t>
  </si>
  <si>
    <t>Av. Benjamin Constant - Nova Caxias, Caxias - MA, 65604-260, Brasil</t>
  </si>
  <si>
    <t>-4.8660254</t>
  </si>
  <si>
    <t>-43.3459582</t>
  </si>
  <si>
    <t>https://www.google.com/maps/search/?api=1&amp;query=STUDIO%20BEAUTY%20Cabelo%20%26%20Maquiagem&amp;query_place_id=ChIJY7z3kMSTjgcRMLiCqP3nJw4</t>
  </si>
  <si>
    <t>Salão de Beleza e Maquiagem</t>
  </si>
  <si>
    <t>Studiobrunacosta</t>
  </si>
  <si>
    <t>+55 981427208</t>
  </si>
  <si>
    <t>R. Pres. Kenedy - Castelo Branco, Caxias - MA, 65604-230, Brasil</t>
  </si>
  <si>
    <t>-4.8652666</t>
  </si>
  <si>
    <t>-43.3498865</t>
  </si>
  <si>
    <t>https://www.google.com/maps/search/?api=1&amp;query=Studiobrunacosta&amp;query_place_id=ChIJ680zbT2SjgcRHvgZZM8KaME</t>
  </si>
  <si>
    <t>studio sandry raiely</t>
  </si>
  <si>
    <t>+55 99 98824-9700</t>
  </si>
  <si>
    <t>+5599988249700</t>
  </si>
  <si>
    <t>R. Juriti, 41 - Sabiá, Caxias - MA, 65603-773, Brasil</t>
  </si>
  <si>
    <t>-4.8304205</t>
  </si>
  <si>
    <t>-43.3597354</t>
  </si>
  <si>
    <t>https://www.google.com/maps/search/?api=1&amp;query=studio%20sandry%20raiely&amp;query_place_id=ChIJYesydnKRjgcRvOApX3VXAVs</t>
  </si>
  <si>
    <t>Salão De Beleza Creuza</t>
  </si>
  <si>
    <t>São Francisco, Caxias - MA, 65603-600, Brasil</t>
  </si>
  <si>
    <t>-4.8400985</t>
  </si>
  <si>
    <t>-43.3440313</t>
  </si>
  <si>
    <t>https://www.google.com/maps/search/?api=1&amp;query=Sal%C3%A3o%20De%20Beleza%20Creuza&amp;query_place_id=ChIJd2Lr9cGRjgcRA0w5y1VeAlQ</t>
  </si>
  <si>
    <t>Salão J.C cabelos</t>
  </si>
  <si>
    <t>+55 99 98216-7047</t>
  </si>
  <si>
    <t>+5599982167047</t>
  </si>
  <si>
    <t>R. do Cajueiro, 1286 - Seriema, Caxias - MA, 65602-530, Brasil</t>
  </si>
  <si>
    <t>-4.839206</t>
  </si>
  <si>
    <t>-43.3559955</t>
  </si>
  <si>
    <t>https://www.google.com/maps/search/?api=1&amp;query=Sal%C3%A3o%20J.C%20cabelos&amp;query_place_id=ChIJm8UCHDiRjgcRIFhX4g9qDso</t>
  </si>
  <si>
    <t>Maria Luiza Studio</t>
  </si>
  <si>
    <t>+55 99 98443-4203</t>
  </si>
  <si>
    <t>+5599984434203</t>
  </si>
  <si>
    <t>Av. Beija-Flor - Conj. Sabia, Caxias - MA, 65603-720, Brasil</t>
  </si>
  <si>
    <t>-4.8308639</t>
  </si>
  <si>
    <t>-43.3599308</t>
  </si>
  <si>
    <t>https://www.google.com/maps/search/?api=1&amp;query=Maria%20Luiza%20Studio&amp;query_place_id=ChIJkYjAZwCRjgcR_avjgYz5d30</t>
  </si>
  <si>
    <t>Stúdio Jonas carvalho</t>
  </si>
  <si>
    <t>+55 99 98139-3222</t>
  </si>
  <si>
    <t>+5599981393222</t>
  </si>
  <si>
    <t>R. da Ramirez, 615 - São Francisco, Caxias - MA, 65603-825, Brasil</t>
  </si>
  <si>
    <t>-4.8415199</t>
  </si>
  <si>
    <t>-43.3372623</t>
  </si>
  <si>
    <t>https://www.google.com/maps/search/?api=1&amp;query=St%C3%BAdio%20Jonas%20carvalho&amp;query_place_id=ChIJ71RhNvmRjgcR0ByXfuYKyC0</t>
  </si>
  <si>
    <t>STUDIO KEILA XAVIER</t>
  </si>
  <si>
    <t>+55 99 99955-6612</t>
  </si>
  <si>
    <t>+5599999556612</t>
  </si>
  <si>
    <t>Rua 15 quadra C23, casa 10, Caxias - MA, 65604-571, Brasil</t>
  </si>
  <si>
    <t>-4.8309705</t>
  </si>
  <si>
    <t>-43.3344892</t>
  </si>
  <si>
    <t>https://www.google.com/maps/search/?api=1&amp;query=STUDIO%20KEILA%20XAVIER&amp;query_place_id=ChIJOzsYVyiRjgcRxQBGKgVzrpU</t>
  </si>
  <si>
    <t>Salão Maycon</t>
  </si>
  <si>
    <t>Antenor Viana, Caxias - MA, 65603-600, Brasil</t>
  </si>
  <si>
    <t>-4.8394784</t>
  </si>
  <si>
    <t>-43.3440124</t>
  </si>
  <si>
    <t>https://www.google.com/maps/search/?api=1&amp;query=Sal%C3%A3o%20Maycon&amp;query_place_id=ChIJpzQYiMGRjgcRhUinJVCfD4Q</t>
  </si>
  <si>
    <t>Studiola</t>
  </si>
  <si>
    <t>+55 99 99182-1679</t>
  </si>
  <si>
    <t>+5599991821679</t>
  </si>
  <si>
    <t>R. do Cajueiro - Seriema, Caxias - MA, 65602-530, Brasil</t>
  </si>
  <si>
    <t>-4.8375252</t>
  </si>
  <si>
    <t>-43.3576796</t>
  </si>
  <si>
    <t>https://www.google.com/maps/search/?api=1&amp;query=Studiola&amp;query_place_id=ChIJExo1WmeRjgcRXg4l0vfBqZc</t>
  </si>
  <si>
    <t>Lannynails Studio</t>
  </si>
  <si>
    <t>+55 99 99111-9350</t>
  </si>
  <si>
    <t>+5599991119350</t>
  </si>
  <si>
    <t>R. Pará, 476 - Teso Duro, Caxias - MA, 65603-580, Brasil</t>
  </si>
  <si>
    <t>-4.8410985</t>
  </si>
  <si>
    <t>-43.348356</t>
  </si>
  <si>
    <t>https://www.google.com/maps/search/?api=1&amp;query=Lannynails%20Studio&amp;query_place_id=ChIJA7kWuGiRjgcReiwQ8PO4kuc</t>
  </si>
  <si>
    <t>Studio Daniela Torres</t>
  </si>
  <si>
    <t>+55 99 98814-5174</t>
  </si>
  <si>
    <t>+5599988145174</t>
  </si>
  <si>
    <t>Av. Santos Dumont, 4200 - Antenor Viana, Caxias - MA, 65603-600, Brasil</t>
  </si>
  <si>
    <t>-4.8421807</t>
  </si>
  <si>
    <t>-43.3454011</t>
  </si>
  <si>
    <t>https://www.google.com/maps/search/?api=1&amp;query=Studio%20Daniela%20Torres&amp;query_place_id=ChIJoTKwQgCRjgcRMqtOowGjUlQ</t>
  </si>
  <si>
    <t>Casa da Dayane</t>
  </si>
  <si>
    <t>+55 99 98849-8965</t>
  </si>
  <si>
    <t>+5599988498965</t>
  </si>
  <si>
    <t>R. Prof. Arlindo Oliveira - Teso Duro, Caxias - MA, 65604-525, Brasil</t>
  </si>
  <si>
    <t>-4.8328788</t>
  </si>
  <si>
    <t>-43.3389395</t>
  </si>
  <si>
    <t>https://www.google.com/maps/search/?api=1&amp;query=Casa%20da%20Dayane&amp;query_place_id=ChIJk5M-ehGRjgcRVjconPTMqQ8</t>
  </si>
  <si>
    <t>Estúdio Grazielle Palhano</t>
  </si>
  <si>
    <t>R. 20, Caxias - MA, Brasil</t>
  </si>
  <si>
    <t>-4.827498</t>
  </si>
  <si>
    <t>-43.3338661</t>
  </si>
  <si>
    <t>https://www.google.com/maps/search/?api=1&amp;query=Est%C3%BAdio%20Grazielle%20Palhano&amp;query_place_id=ChIJ6Ry2fgCRjgcRU4OOnRKpuDM</t>
  </si>
  <si>
    <t>Arine Ramos Studio</t>
  </si>
  <si>
    <t>+55 99 3521-1968</t>
  </si>
  <si>
    <t>+559935211968</t>
  </si>
  <si>
    <t>R. Cinco, 12 - Quadra 10 - Seriema, Caxias - MA, Brasil</t>
  </si>
  <si>
    <t>-4.8491642</t>
  </si>
  <si>
    <t>-43.3597196</t>
  </si>
  <si>
    <t>https://www.google.com/maps/search/?api=1&amp;query=Arine%20Ramos%20Studio&amp;query_place_id=ChIJ6f22dIWRjgcR3xN48yNZc3E</t>
  </si>
  <si>
    <t>Salão Miguelim</t>
  </si>
  <si>
    <t>R. Paraíba, 311 - Antenor Viana, Caxias - MA, 65603-585, Brasil</t>
  </si>
  <si>
    <t>-4.8424883</t>
  </si>
  <si>
    <t>-43.3492064</t>
  </si>
  <si>
    <t>https://www.google.com/maps/search/?api=1&amp;query=Sal%C3%A3o%20Miguelim&amp;query_place_id=ChIJ-zzKYiyRjgcR4iSMV4DHJcg</t>
  </si>
  <si>
    <t>Studio Fran Felipe</t>
  </si>
  <si>
    <t>+55 99 98115-5065</t>
  </si>
  <si>
    <t>+5599981155065</t>
  </si>
  <si>
    <t>Tv. do Cajueiro, 1183 - Matadouro Novo, Caxias - MA, 65602-510, Brasil</t>
  </si>
  <si>
    <t>-4.8460724</t>
  </si>
  <si>
    <t>-43.3578046</t>
  </si>
  <si>
    <t>https://www.google.com/maps/search/?api=1&amp;query=Studio%20Fran%20Felipe&amp;query_place_id=ChIJe3kXtpWRjgcR9CecqT_dS44</t>
  </si>
  <si>
    <t>Luana cabelos</t>
  </si>
  <si>
    <t>+55 99 98821-5152</t>
  </si>
  <si>
    <t>+5599988215152</t>
  </si>
  <si>
    <t>Rua São Sebastião - Bacurizeiro, Caxias - MA, 65603-820, Brasil</t>
  </si>
  <si>
    <t>-4.8446733</t>
  </si>
  <si>
    <t>-43.3366857</t>
  </si>
  <si>
    <t>https://www.google.com/maps/search/?api=1&amp;query=Luana%20cabelos&amp;query_place_id=ChIJkQVXj6STjgcRFCOfNrzom3M</t>
  </si>
  <si>
    <t>Studio By Maria</t>
  </si>
  <si>
    <t>+55 99 98514-3374</t>
  </si>
  <si>
    <t>+5599985143374</t>
  </si>
  <si>
    <t>Av. Santos Dumont - Seriema, Caxias - MA, 65602-310, Brasil</t>
  </si>
  <si>
    <t>-4.8485972</t>
  </si>
  <si>
    <t>-43.3558829</t>
  </si>
  <si>
    <t>https://www.google.com/maps/search/?api=1&amp;query=Studio%20By%20Maria&amp;query_place_id=ChIJ2cAPbUiRjgcRZOnO3fEIRZ0</t>
  </si>
  <si>
    <t>Play Cabelos - O Melhor.</t>
  </si>
  <si>
    <t>+55 99 98182-5981</t>
  </si>
  <si>
    <t>+5599981825981</t>
  </si>
  <si>
    <t>R. do Caldeirão, 1076-1344 - Caldeirões Pirajá, Caxias - MA, 65608-440, Brasil</t>
  </si>
  <si>
    <t>-4.859374</t>
  </si>
  <si>
    <t>-43.3712678</t>
  </si>
  <si>
    <t>https://www.google.com/maps/search/?api=1&amp;query=Play%20Cabelos%20-%20O%20Melhor.&amp;query_place_id=ChIJa5lpvNOTjgcRi7tVKWXL1oU</t>
  </si>
  <si>
    <t>Dayse cabelos- caxias ma</t>
  </si>
  <si>
    <t>+55 99 98819-8068</t>
  </si>
  <si>
    <t>+5599988198068</t>
  </si>
  <si>
    <t>Tv. Ceará - Seriema, Caxias - MA, 65602-450, Brasil</t>
  </si>
  <si>
    <t>-4.8499717</t>
  </si>
  <si>
    <t>-43.3504317</t>
  </si>
  <si>
    <t>https://www.google.com/maps/search/?api=1&amp;query=Dayse%20cabelos-%20caxias%20ma&amp;query_place_id=ChIJs4yeH3mRjgcRiNOmeMoJ2bU</t>
  </si>
  <si>
    <t>Studio MB hair</t>
  </si>
  <si>
    <t>+55 99 98456-3639</t>
  </si>
  <si>
    <t>+5599984563639</t>
  </si>
  <si>
    <t>3A Travessa Benjamin Constant, 2189 - Nova Caxias, Caxias - MA, 65604-285, Brasil</t>
  </si>
  <si>
    <t>-4.8655353</t>
  </si>
  <si>
    <t>-43.3455749</t>
  </si>
  <si>
    <t>https://www.google.com/maps/search/?api=1&amp;query=Studio%20MB%20hair&amp;query_place_id=ChIJXy5WW4KTjgcRXtuF9JncPY0</t>
  </si>
  <si>
    <t>Helen cabeleireira</t>
  </si>
  <si>
    <t>+55 99 98102-3503</t>
  </si>
  <si>
    <t>+5599981023503</t>
  </si>
  <si>
    <t>R. Sr. Bonfim, 1402 - Castelo Branco, Caxias - MA, 65600-290, Brasil</t>
  </si>
  <si>
    <t>-4.8613593</t>
  </si>
  <si>
    <t>-43.3546468</t>
  </si>
  <si>
    <t>https://www.google.com/maps/search/?api=1&amp;query=Helen%20cabeleireira&amp;query_place_id=ChIJCVQ7Ew-TjgcRoQ2r_IbBf48</t>
  </si>
  <si>
    <t>Lurdinha cabeleireira</t>
  </si>
  <si>
    <t>+55 99 98472-0105</t>
  </si>
  <si>
    <t>+5599984720105</t>
  </si>
  <si>
    <t>Av. Doutor Walter Brito, 1162 - Campo de Belem, Caxias - MA, 65609-070, Brasil</t>
  </si>
  <si>
    <t>-4.8738888</t>
  </si>
  <si>
    <t>-43.3720729</t>
  </si>
  <si>
    <t>https://www.google.com/maps/search/?api=1&amp;query=Lurdinha%20cabeleireira&amp;query_place_id=ChIJj3Jl3tyTjgcR-vrfV2m5TKw</t>
  </si>
  <si>
    <t>Débora Cabelos</t>
  </si>
  <si>
    <t>Rua São Vicente de Paula - Mutirão, Q - 4 casa 78 - Mutirão, Caxias - MA, 65604-840, Brasil</t>
  </si>
  <si>
    <t>-4.8607368</t>
  </si>
  <si>
    <t>-43.3368941</t>
  </si>
  <si>
    <t>https://www.google.com/maps/search/?api=1&amp;query=D%C3%A9bora%20Cabelos&amp;query_place_id=ChIJ47cNX-mTjgcR6sIfrkNwECw</t>
  </si>
  <si>
    <t>Salão D' Angel Cabelos</t>
  </si>
  <si>
    <t>+55 99 98132-3974</t>
  </si>
  <si>
    <t>+5599981323974</t>
  </si>
  <si>
    <t>R. Belo Horizonte, 305 - Ponte, Caxias - MA, 65607-600, Brasil</t>
  </si>
  <si>
    <t>-4.8695543</t>
  </si>
  <si>
    <t>-43.3683494</t>
  </si>
  <si>
    <t>https://www.google.com/maps/search/?api=1&amp;query=Sal%C3%A3o%20D'%20Angel%20Cabelos&amp;query_place_id=ChIJYwdgscqTjgcRudgleZ-a0Vw</t>
  </si>
  <si>
    <t>Dora Cabelos</t>
  </si>
  <si>
    <t>Volta Redonda, Caxias - MA, 65606-480, Brasil</t>
  </si>
  <si>
    <t>-4.8833853</t>
  </si>
  <si>
    <t>-43.3495003</t>
  </si>
  <si>
    <t>https://www.google.com/maps/search/?api=1&amp;query=Dora%20Cabelos&amp;query_place_id=ChIJo3vj4l2SjgcRkQAPJUwWoAo</t>
  </si>
  <si>
    <t>MM Estúdio de Beleza</t>
  </si>
  <si>
    <t>+55 99 98234-4371</t>
  </si>
  <si>
    <t>+5599982344371</t>
  </si>
  <si>
    <t>R. do Fio, n:890 - A - Cangalheiro, Caxias - MA, 65606-250, Brasil</t>
  </si>
  <si>
    <t>-4.8707346</t>
  </si>
  <si>
    <t>-43.3582818</t>
  </si>
  <si>
    <t>https://www.google.com/maps/search/?api=1&amp;query=MM%20Est%C3%BAdio%20de%20Beleza&amp;query_place_id=ChIJV6QA2jiSjgcRRl8xAtEnWXU</t>
  </si>
  <si>
    <t>Cabeleireiro Kilson</t>
  </si>
  <si>
    <t>395, R. Castelo Branco, 359 - Campo de Belem, Caxias - MA, 65609-130, Brasil</t>
  </si>
  <si>
    <t>-4.8762804</t>
  </si>
  <si>
    <t>-43.3725047</t>
  </si>
  <si>
    <t>https://www.google.com/maps/search/?api=1&amp;query=Cabeleireiro%20Kilson&amp;query_place_id=ChIJ6yJbJbKTjgcRuZrOgmhW-B8</t>
  </si>
  <si>
    <t>LeidyCabelos</t>
  </si>
  <si>
    <t>+55 99 98853-8976</t>
  </si>
  <si>
    <t>+5599988538976</t>
  </si>
  <si>
    <t>Av central, Caxias - MA, 65600-010, Brasil</t>
  </si>
  <si>
    <t>-4.8815769</t>
  </si>
  <si>
    <t>-43.1034664</t>
  </si>
  <si>
    <t>https://www.google.com/maps/search/?api=1&amp;query=LeidyCabelos&amp;query_place_id=ChIJ2Zixv6HJTggRDRvZYwxahJ0</t>
  </si>
  <si>
    <t>Salão Styllus &amp; Beleza</t>
  </si>
  <si>
    <t>+55 99 98448-3836</t>
  </si>
  <si>
    <t>+5599984483836</t>
  </si>
  <si>
    <t>R. da Palmeirinha, 741 - Centro, Caxias - MA, 65608-110, Brasil</t>
  </si>
  <si>
    <t>-4.8583066</t>
  </si>
  <si>
    <t>-43.366406</t>
  </si>
  <si>
    <t>https://www.google.com/maps/search/?api=1&amp;query=Sal%C3%A3o%20Styllus%20%26%20Beleza&amp;query_place_id=ChIJocWTGEWTjgcRVreRA2JXvwI</t>
  </si>
  <si>
    <t>B.Beauty Salão de Beleza</t>
  </si>
  <si>
    <t>+55 99 98105-7522</t>
  </si>
  <si>
    <t>+5599981057522</t>
  </si>
  <si>
    <t>Caxias Shopping Center, Caxias - MA, 65605-295, Brasil</t>
  </si>
  <si>
    <t>-4.8788451</t>
  </si>
  <si>
    <t>-43.3359598</t>
  </si>
  <si>
    <t>https://www.google.com/maps/search/?api=1&amp;query=B.Beauty%20Sal%C3%A3o%20de%20Beleza&amp;query_place_id=ChIJP1kwEHGSjgcRk07zOG43DV4</t>
  </si>
  <si>
    <t>Salão Luiza Fashion</t>
  </si>
  <si>
    <t>+55 99 98263-0461</t>
  </si>
  <si>
    <t>+5599982630461</t>
  </si>
  <si>
    <t>R. da Coheb, 695 - Vila Sao Jose, Caxias - MA, 65606-760, Brasil</t>
  </si>
  <si>
    <t>-4.8747201</t>
  </si>
  <si>
    <t>-43.3492113</t>
  </si>
  <si>
    <t>https://www.google.com/maps/search/?api=1&amp;query=Sal%C3%A3o%20Luiza%20Fashion&amp;query_place_id=ChIJJdSZ50GSjgcRy-EqjS_Y3_c</t>
  </si>
  <si>
    <t>Cantinho Da Beleza</t>
  </si>
  <si>
    <t>+55 99 99645-8012</t>
  </si>
  <si>
    <t>+5599996458012</t>
  </si>
  <si>
    <t>R. Dezesseis de Janeiro, 785-289 - Trizidela, Caxias - MA, 65608-270, Brasil</t>
  </si>
  <si>
    <t>-4.8634395</t>
  </si>
  <si>
    <t>-43.3750287</t>
  </si>
  <si>
    <t>https://www.google.com/maps/search/?api=1&amp;query=Cantinho%20Da%20Beleza&amp;query_place_id=ChIJh7Ido9aTjgcRSVchcKqO-uM</t>
  </si>
  <si>
    <t>Espaço Da Beleza Branca Cabelos</t>
  </si>
  <si>
    <t>+55 99 98192-8731</t>
  </si>
  <si>
    <t>+5599981928731</t>
  </si>
  <si>
    <t>R. Nossa Sra. de Fátima, 1997 - Centro, Caxias - MA, 65600-560, Brasil</t>
  </si>
  <si>
    <t>-4.8550888</t>
  </si>
  <si>
    <t>-43.3535627</t>
  </si>
  <si>
    <t>https://www.google.com/maps/search/?api=1&amp;query=Espa%C3%A7o%20Da%20Beleza%20Branca%20Cabelos&amp;query_place_id=ChIJyXSNHYqRjgcRKgev4laUBy8</t>
  </si>
  <si>
    <t>Espaço Divas Esmalteria e Estética</t>
  </si>
  <si>
    <t>+55 99 98157-3543</t>
  </si>
  <si>
    <t>+5599981573543</t>
  </si>
  <si>
    <t>R. Saturnino Belo, 724 - Centro, Caxias - MA, 65602-310, Brasil</t>
  </si>
  <si>
    <t>-4.8555343</t>
  </si>
  <si>
    <t>-43.3584001</t>
  </si>
  <si>
    <t>https://www.google.com/maps/search/?api=1&amp;query=Espa%C3%A7o%20Divas%20Esmalteria%20e%20Est%C3%A9tica&amp;query_place_id=ChIJVenDv-GTjgcRdyq9ZGWLkCU</t>
  </si>
  <si>
    <t>Andréia Sousa Estúdio</t>
  </si>
  <si>
    <t>+55 99 98278-6818</t>
  </si>
  <si>
    <t>+5599982786818</t>
  </si>
  <si>
    <t>Rua 23 Qb17 casa 16 Eugênio Coutinho rua 23 qb17, casa 16, Caxias - MA, 65604-589, Brasil</t>
  </si>
  <si>
    <t>-4.8263423</t>
  </si>
  <si>
    <t>-43.3323511</t>
  </si>
  <si>
    <t>https://www.google.com/maps/search/?api=1&amp;query=Andr%C3%A9ia%20Sousa%20Est%C3%BAdio&amp;query_place_id=ChIJ2-oOPauTjgcREF8-REdzzJo</t>
  </si>
  <si>
    <t>Top bronze</t>
  </si>
  <si>
    <t>+55 99 98856-9244</t>
  </si>
  <si>
    <t>+5599988569244</t>
  </si>
  <si>
    <t>Avenida caxias quadra d2 casa 02 Estrada caxias quadra d2, casa 02 - Teso Duro, Caxias - MA, 65604-535, Brasil</t>
  </si>
  <si>
    <t>-4.8358896</t>
  </si>
  <si>
    <t>-43.3426001</t>
  </si>
  <si>
    <t>https://www.google.com/maps/search/?api=1&amp;query=Top%20bronze&amp;query_place_id=ChIJG_MJZHWRjgcRFx9f3aXxQ40</t>
  </si>
  <si>
    <t>Studio AR Beauty Caxias</t>
  </si>
  <si>
    <t>+55 99 98415-1376</t>
  </si>
  <si>
    <t>+5599984151376</t>
  </si>
  <si>
    <t>Av. Central, 1820 - Centro, Caxias - MA, 65600-160, Brasil</t>
  </si>
  <si>
    <t>-4.856376</t>
  </si>
  <si>
    <t>-43.354828</t>
  </si>
  <si>
    <t>https://www.google.com/maps/search/?api=1&amp;query=Studio%20AR%20Beauty%20Caxias&amp;query_place_id=ChIJOZrIzpuTjgcRn55vECv5P0c</t>
  </si>
  <si>
    <t>KSSIA Fernandes Beleza &amp; Estetica</t>
  </si>
  <si>
    <t>+55 99 3521-2364</t>
  </si>
  <si>
    <t>+559935212364</t>
  </si>
  <si>
    <t>R. das Flôres, 935 - Seriema, Caxias - MA, 65602-560, Brasil</t>
  </si>
  <si>
    <t>-4.8475813</t>
  </si>
  <si>
    <t>-43.3603322</t>
  </si>
  <si>
    <t>https://www.google.com/maps/search/?api=1&amp;query=KSSIA%20Fernandes%20Beleza%20%26%20Estetica&amp;query_place_id=ChIJI-3bxlyRjgcRWdQDNVztyz8</t>
  </si>
  <si>
    <t>Salão Lima fashion</t>
  </si>
  <si>
    <t>Av. Santos Dumont, 55 - Centro, Caxias - MA, 65602-235, Brasil</t>
  </si>
  <si>
    <t>-4.8566562</t>
  </si>
  <si>
    <t>-43.3590381</t>
  </si>
  <si>
    <t>https://www.google.com/maps/search/?api=1&amp;query=Sal%C3%A3o%20Lima%20fashion&amp;query_place_id=ChIJZVRoVAWRjgcR3FeED02-bPQ</t>
  </si>
  <si>
    <t>Dalva Siqueira studio de beleza</t>
  </si>
  <si>
    <t>+55 99 98198-6070</t>
  </si>
  <si>
    <t>+5599981986070</t>
  </si>
  <si>
    <t>R. Rio Branco, 326 - Centro, Caxias - MA, 65602-080, Brasil</t>
  </si>
  <si>
    <t>-4.8587299</t>
  </si>
  <si>
    <t>-43.3599081</t>
  </si>
  <si>
    <t>https://www.google.com/maps/search/?api=1&amp;query=Dalva%20Siqueira%20studio%20de%20beleza&amp;query_place_id=ChIJ_ep4v_yTjgcRqd_v1A-DE1s</t>
  </si>
  <si>
    <t>Fabiane karine Studio de Beleza</t>
  </si>
  <si>
    <t>+55 99 98502-3475</t>
  </si>
  <si>
    <t>+5599985023475</t>
  </si>
  <si>
    <t>Av. Castelo Branco, 1215 - Castelo Branco, Caxias - MA, 65604-170, Brasil</t>
  </si>
  <si>
    <t>-4.8617893</t>
  </si>
  <si>
    <t>-43.3466909</t>
  </si>
  <si>
    <t>https://www.google.com/maps/search/?api=1&amp;query=Fabiane%20karine%20Studio%20de%20Beleza&amp;query_place_id=ChIJyezmAi-TjgcRjcasPgd9Th0</t>
  </si>
  <si>
    <t>Studio de Beleza Marquinhos</t>
  </si>
  <si>
    <t>+55 99 98168-8759</t>
  </si>
  <si>
    <t>+5599981688759</t>
  </si>
  <si>
    <t>R. Treze de Maio, 374 - Centro, Caxias - MA, 65606-180, Brasil</t>
  </si>
  <si>
    <t>-4.8660928</t>
  </si>
  <si>
    <t>-43.360577</t>
  </si>
  <si>
    <t>https://www.google.com/maps/search/?api=1&amp;query=Studio%20de%20Beleza%20Marquinhos&amp;query_place_id=ChIJU1XYhxCTjgcRM-c5fTIiS_A</t>
  </si>
  <si>
    <t>Studio Luiza Santos</t>
  </si>
  <si>
    <t>+55 99 98133-6991</t>
  </si>
  <si>
    <t>+5599981336991</t>
  </si>
  <si>
    <t>R. da Independência, 1121 - Centro, Caxias - MA, 65602-210, Brasil</t>
  </si>
  <si>
    <t>-4.8577024</t>
  </si>
  <si>
    <t>-43.360846</t>
  </si>
  <si>
    <t>https://www.google.com/maps/search/?api=1&amp;query=Studio%20Luiza%20Santos&amp;query_place_id=ChIJP-5SfHGTjgcRlI5uoOYNVrQ</t>
  </si>
  <si>
    <t>Stúdio De Beleza Odália Sousa</t>
  </si>
  <si>
    <t>+55 988328183</t>
  </si>
  <si>
    <t>R. Rio Branco - Centro, Caxias - MA, 65602-060, Brasil</t>
  </si>
  <si>
    <t>-4.8579239</t>
  </si>
  <si>
    <t>-43.359607</t>
  </si>
  <si>
    <t>https://www.google.com/maps/search/?api=1&amp;query=St%C3%BAdio%20De%20Beleza%20Od%C3%A1lia%20Sousa&amp;query_place_id=ChIJIeM0kyiSjgcRN0wAYcWs3FU</t>
  </si>
  <si>
    <t>STUDIO PATRÍCIA ALVES</t>
  </si>
  <si>
    <t>R. Saturnino Belo, 2008 - Matadouro Velho, Caxias - MA, 65602-130, Brasil</t>
  </si>
  <si>
    <t>-4.854915</t>
  </si>
  <si>
    <t>-43.3567244</t>
  </si>
  <si>
    <t>https://www.google.com/maps/search/?api=1&amp;query=STUDIO%20PATR%C3%8DCIA%20ALVES&amp;query_place_id=ChIJHz6Dqv2RjgcR9Y2ubpkyuSk</t>
  </si>
  <si>
    <t>Studio Sempre Bela</t>
  </si>
  <si>
    <t>R. Abel Antunes, 882 - Centro, Caxias - MA, 65600-130, Brasil</t>
  </si>
  <si>
    <t>-4.8591524</t>
  </si>
  <si>
    <t>-43.3543331</t>
  </si>
  <si>
    <t>https://www.google.com/maps/search/?api=1&amp;query=Studio%20Sempre%20Bela&amp;query_place_id=ChIJaaKlAgCTjgcRruzQVDQ5or8</t>
  </si>
  <si>
    <t>Studio Loren Borges</t>
  </si>
  <si>
    <t>R. da Fazenda, 29 - Alto do Ipem, Caxias - MA, 65603-310, Brasil</t>
  </si>
  <si>
    <t>-4.8441023</t>
  </si>
  <si>
    <t>-43.3514395</t>
  </si>
  <si>
    <t>https://www.google.com/maps/search/?api=1&amp;query=Studio%20Loren%20Borges&amp;query_place_id=ChIJW9TnlfORjgcRoPKJlR0OkPw</t>
  </si>
  <si>
    <t>Nayara Tamisia Studio da Beleza Femenina</t>
  </si>
  <si>
    <t>+55 99 98445-4009</t>
  </si>
  <si>
    <t>+5599984454009</t>
  </si>
  <si>
    <t>Rua Sesóstre Pereira, 2084 - Seriema, Caxias - MA, 65602-350, Brasil</t>
  </si>
  <si>
    <t>-4.8506228</t>
  </si>
  <si>
    <t>-43.3576104</t>
  </si>
  <si>
    <t>https://www.google.com/maps/search/?api=1&amp;query=Nayara%20Tamisia%20Studio%20da%20Beleza%20Femenina&amp;query_place_id=ChIJX09gwO6RjgcRgmzxojx1EMs</t>
  </si>
  <si>
    <t>Studio Jaine Tayana</t>
  </si>
  <si>
    <t>+55 99 98806-4842</t>
  </si>
  <si>
    <t>+5599988064842</t>
  </si>
  <si>
    <t>R. Bela Vista - Castelo Branco, Caxias - MA, 65604-160, Brasil</t>
  </si>
  <si>
    <t>-4.8617559</t>
  </si>
  <si>
    <t>-43.3493754</t>
  </si>
  <si>
    <t>https://www.google.com/maps/search/?api=1&amp;query=Studio%20Jaine%20Tayana&amp;query_place_id=ChIJddFQ-06TjgcRSzTAPkqOU78</t>
  </si>
  <si>
    <t>Labelle studio hair caxias ma</t>
  </si>
  <si>
    <t>+55 99 98804-1516</t>
  </si>
  <si>
    <t>+5599988041516</t>
  </si>
  <si>
    <t>-4.8499458</t>
  </si>
  <si>
    <t>-43.3562412</t>
  </si>
  <si>
    <t>https://www.google.com/maps/search/?api=1&amp;query=Labelle%20studio%20hair%20caxias%20ma&amp;query_place_id=ChIJI29kmaiRjgcR1BlKB3zGv64</t>
  </si>
  <si>
    <t>Studio Erika Gonçalves</t>
  </si>
  <si>
    <t>Povoado Passagem Da Ema, Caxias - MA, 65600-010, Brasil</t>
  </si>
  <si>
    <t>-5.0823889</t>
  </si>
  <si>
    <t>-43.5079881</t>
  </si>
  <si>
    <t>https://www.google.com/maps/search/?api=1&amp;query=Studio%20Erika%20Gon%C3%A7alves&amp;query_place_id=ChIJ2QHi-L3djgcR4ctI6QRvjV4</t>
  </si>
  <si>
    <t>Flávia Fonseca Beauty</t>
  </si>
  <si>
    <t>+55 99 98535-9436</t>
  </si>
  <si>
    <t>+5599985359436</t>
  </si>
  <si>
    <t>R. do Mangueirão, N° 684 - Vila Alecrim, Caxias - MA, 65605-670, Brasil</t>
  </si>
  <si>
    <t>-4.8714363</t>
  </si>
  <si>
    <t>-43.3546857</t>
  </si>
  <si>
    <t>https://www.google.com/maps/search/?api=1&amp;query=Fl%C3%A1via%20Fonseca%20Beauty&amp;query_place_id=ChIJVX_Wsj2TjgcR_lNzPcaHcMM</t>
  </si>
  <si>
    <t>Cabeleireiros Visual</t>
  </si>
  <si>
    <t>+55 99 98816-9200</t>
  </si>
  <si>
    <t>+5599988169200</t>
  </si>
  <si>
    <t>R. Segisnando Moura, 756 - Ponte, Caxias - MA, 65609-360, Brasil</t>
  </si>
  <si>
    <t>-4.8791966</t>
  </si>
  <si>
    <t>-43.3623312</t>
  </si>
  <si>
    <t>https://www.google.com/maps/search/?api=1&amp;query=Cabeleireiros%20Visual&amp;query_place_id=ChIJ798h_hWTjgcRN5jK66Qi_ms</t>
  </si>
  <si>
    <t>Rakel studio hair</t>
  </si>
  <si>
    <t>+55 99 98157-3886</t>
  </si>
  <si>
    <t>+5599981573886</t>
  </si>
  <si>
    <t>Av. Benjamin Constant, 2347A - Nova Caxias, Caxias - MA, 65604-260, Brasil</t>
  </si>
  <si>
    <t>-4.8667961</t>
  </si>
  <si>
    <t>-43.337172</t>
  </si>
  <si>
    <t>https://www.google.com/maps/search/?api=1&amp;query=Rakel%20studio%20hair&amp;query_place_id=ChIJ4R6tnuGTjgcR5B8_Ze70Scs</t>
  </si>
  <si>
    <t>Studio Franciane Velozo</t>
  </si>
  <si>
    <t>+55 99 98130-1558</t>
  </si>
  <si>
    <t>+5599981301558</t>
  </si>
  <si>
    <t>Rua das Cajazeiras - R. Alto da Cruz, 3260 - Nova Caxias, Caxias - MA, 65604-337, Brasil</t>
  </si>
  <si>
    <t>-4.8737867</t>
  </si>
  <si>
    <t>-43.3402158</t>
  </si>
  <si>
    <t>https://www.google.com/maps/search/?api=1&amp;query=Studio%20Franciane%20Velozo&amp;query_place_id=ChIJ82VyvpeTjgcRWVVbL2ynJrA</t>
  </si>
  <si>
    <t>Barbearia Denilson Cabelos</t>
  </si>
  <si>
    <t>+55 99 98404-5994</t>
  </si>
  <si>
    <t>+5599984045994</t>
  </si>
  <si>
    <t>Tv. Sao Jose Quarta, 2446 Trizidela - Campo de Belem, Caxias - MA, 65607-440, Brasil</t>
  </si>
  <si>
    <t>-4.8720865</t>
  </si>
  <si>
    <t>-43.3738598</t>
  </si>
  <si>
    <t>https://www.google.com/maps/search/?api=1&amp;query=Barbearia%20Denilson%20Cabelos&amp;query_place_id=ChIJvxoXQ0yTjgcR_wprrOFhAMM</t>
  </si>
  <si>
    <t>Fran Studio</t>
  </si>
  <si>
    <t>Rua Avenida, Av. Benjamin Constant, Caxias - MA, Brasil</t>
  </si>
  <si>
    <t>-4.8671612</t>
  </si>
  <si>
    <t>-43.3350942</t>
  </si>
  <si>
    <t>https://www.google.com/maps/search/?api=1&amp;query=Fran%20Studio&amp;query_place_id=ChIJQSmVKcqTjgcRF5NvAoIv0OE</t>
  </si>
  <si>
    <t>Studio Aldemara Cris</t>
  </si>
  <si>
    <t>+55 99 98831-5032</t>
  </si>
  <si>
    <t>+5599988315032</t>
  </si>
  <si>
    <t>R. Quatro, Qd 25 - Casa 12 - COHAB, Caxias - MA, 65604-605, Brasil</t>
  </si>
  <si>
    <t>-4.869919</t>
  </si>
  <si>
    <t>-43.3418189</t>
  </si>
  <si>
    <t>https://www.google.com/maps/search/?api=1&amp;query=Studio%20Aldemara%20Cris&amp;query_place_id=ChIJRSyOZByTjgcRLobF83dnxE4</t>
  </si>
  <si>
    <t>Brendo Henrique</t>
  </si>
  <si>
    <t>+55 99 99646-1826</t>
  </si>
  <si>
    <t>+5599996461826</t>
  </si>
  <si>
    <t>R. Santa Rita, 452 - Bairro - Refinaria, Caxias - MA, 65600-380, Brasil</t>
  </si>
  <si>
    <t>-4.8575576</t>
  </si>
  <si>
    <t>-43.347093</t>
  </si>
  <si>
    <t>https://www.google.com/maps/search/?api=1&amp;query=Brendo%20Henrique&amp;query_place_id=ChIJ8Z4FkoeTjgcR7MVcTsQsi4E</t>
  </si>
  <si>
    <t>Bia Cabelos marques</t>
  </si>
  <si>
    <t>+55 99 98431-2824</t>
  </si>
  <si>
    <t>+5599984312824</t>
  </si>
  <si>
    <t>Tv. Cristina Gonçalves, 2293 - Volta Redonda, Caxias - MA, 65606-370, Brasil</t>
  </si>
  <si>
    <t>-4.8854779</t>
  </si>
  <si>
    <t>-43.3520348</t>
  </si>
  <si>
    <t>https://www.google.com/maps/search/?api=1&amp;query=Bia%20Cabelos%20marques&amp;query_place_id=ChIJBUnDUn2TjgcR6fhEUxnVi_Y</t>
  </si>
  <si>
    <t>Studio Dailma Medeiros</t>
  </si>
  <si>
    <t>Conjunto Hab., Caxias - MA, Brasil</t>
  </si>
  <si>
    <t>-4.8979178</t>
  </si>
  <si>
    <t>-43.3246815</t>
  </si>
  <si>
    <t>https://www.google.com/maps/search/?api=1&amp;query=Studio%20Dailma%20Medeiros&amp;query_place_id=ChIJo4LTIACNjgcR6HyUcy2Z2W0</t>
  </si>
  <si>
    <t>Salão da Francisca W.F.A</t>
  </si>
  <si>
    <t>+55 99 99651-5095</t>
  </si>
  <si>
    <t>+5599996515095</t>
  </si>
  <si>
    <t>Rua paraíso Quadra: E9 Casa: 09 Residencial Paraíso, Caxias - MA, 65600-010, Brasil</t>
  </si>
  <si>
    <t>-4.8925813</t>
  </si>
  <si>
    <t>-43.3165061</t>
  </si>
  <si>
    <t>https://www.google.com/maps/search/?api=1&amp;query=Sal%C3%A3o%20da%20Francisca%20W.F.A&amp;query_place_id=ChIJ3UeY9hGNjgcRY7lwYE-s9Jo</t>
  </si>
  <si>
    <t>Studio de beleza elizete</t>
  </si>
  <si>
    <t>R. Gonçalves Dias, 41 - Vila Lobao, Caxias - MA, 65605-525, Brasil</t>
  </si>
  <si>
    <t>-4.8743248</t>
  </si>
  <si>
    <t>-43.3479479</t>
  </si>
  <si>
    <t>https://www.google.com/maps/search/?api=1&amp;query=Studio%20de%20beleza%20elizete&amp;query_place_id=ChIJ16b04S6TjgcR3i6KC-Ywx_0</t>
  </si>
  <si>
    <t>Studio Rosana Costa</t>
  </si>
  <si>
    <t>+55 99 99954-6221</t>
  </si>
  <si>
    <t>+5599999546221</t>
  </si>
  <si>
    <t>R. do Cajueiro - Volta Redonda, Caxias - MA, 65606-390, Brasil</t>
  </si>
  <si>
    <t>-4.8822847</t>
  </si>
  <si>
    <t>-43.3517661</t>
  </si>
  <si>
    <t>https://www.google.com/maps/search/?api=1&amp;query=Studio%20Rosana%20Costa&amp;query_place_id=ChIJXanC096TjgcRxFioz3ir9wA</t>
  </si>
  <si>
    <t>Salão unisex "o zibida"</t>
  </si>
  <si>
    <t>+55 99 99903-9728</t>
  </si>
  <si>
    <t>+5599999039728</t>
  </si>
  <si>
    <t>R. Veneza, 22 - Veneza, Caxias - MA, 65606-887, Brasil</t>
  </si>
  <si>
    <t>-4.9117632</t>
  </si>
  <si>
    <t>-43.3526293</t>
  </si>
  <si>
    <t>https://www.google.com/maps/search/?api=1&amp;query=Sal%C3%A3o%20unisex%20%22o%20zibida%22&amp;query_place_id=ChIJp3lK83CTjgcR-YvChMv_iSw</t>
  </si>
  <si>
    <t>Studio Geyza Gyzelly</t>
  </si>
  <si>
    <t>+55 99 98541-6720</t>
  </si>
  <si>
    <t>+5599985416720</t>
  </si>
  <si>
    <t>R. Natal, 814 - João Viana, Caxias - MA, 65605-040, Brasil</t>
  </si>
  <si>
    <t>-4.8643826</t>
  </si>
  <si>
    <t>-43.3332958</t>
  </si>
  <si>
    <t>https://www.google.com/maps/search/?api=1&amp;query=Studio%20Geyza%20Gyzelly&amp;query_place_id=ChIJeSFI8kWTjgcR-p-2OFVnLRA</t>
  </si>
  <si>
    <t>Salão Retrato da Beleza</t>
  </si>
  <si>
    <t>+55 99 98821-9212</t>
  </si>
  <si>
    <t>+5599988219212</t>
  </si>
  <si>
    <t>R. 14, 15 - COHAB, Caxias - MA, 65604-669, Brasil</t>
  </si>
  <si>
    <t>-4.8702798</t>
  </si>
  <si>
    <t>-43.3378389</t>
  </si>
  <si>
    <t>https://www.google.com/maps/search/?api=1&amp;query=Sal%C3%A3o%20Retrato%20da%20Beleza&amp;query_place_id=ChIJ3wP365aTjgcRm3yTN8Qix0o</t>
  </si>
  <si>
    <t>Estética Michele Melo</t>
  </si>
  <si>
    <t>+55 99 98496-1412</t>
  </si>
  <si>
    <t>+5599984961412</t>
  </si>
  <si>
    <t>MA-034, 223 - Itapecuruzinho, Caxias - MA, 65606-881, Brasil</t>
  </si>
  <si>
    <t>-4.9011763</t>
  </si>
  <si>
    <t>-43.3532697</t>
  </si>
  <si>
    <t>https://www.google.com/maps/search/?api=1&amp;query=Est%C3%A9tica%20Michele%20Melo&amp;query_place_id=ChIJqzh8-niTjgcRev5VoixfTkc</t>
  </si>
  <si>
    <t>Beauty Express - estética e beleza</t>
  </si>
  <si>
    <t>+55 99 98819-8730</t>
  </si>
  <si>
    <t>+5599988198730</t>
  </si>
  <si>
    <t>R. Acrísio Cruz, 637 - Centro, Caxias - MA, 65602-250, Brasil</t>
  </si>
  <si>
    <t>-4.8581878</t>
  </si>
  <si>
    <t>-43.3606715</t>
  </si>
  <si>
    <t>https://www.google.com/maps/search/?api=1&amp;query=Beauty%20Express%20-%20est%C3%A9tica%20e%20beleza&amp;query_place_id=ChIJD5uyh5iTjgcR9lZDCgsdWZc</t>
  </si>
  <si>
    <t>Espaco beleza e Perfumaria Adrielly</t>
  </si>
  <si>
    <t>2VX6+8J, Caxias - MA, Brasil</t>
  </si>
  <si>
    <t>-4.9516905</t>
  </si>
  <si>
    <t>-43.1384689</t>
  </si>
  <si>
    <t>https://www.google.com/maps/search/?api=1&amp;query=Espaco%20beleza%20e%20Perfumaria%20Adrielly&amp;query_place_id=ChIJC6fTRQBfjgcRxrZuA7naRsA</t>
  </si>
  <si>
    <t>Espaço Das Unhas</t>
  </si>
  <si>
    <t>Caxias - MA, Brasil</t>
  </si>
  <si>
    <t>-4.9115143</t>
  </si>
  <si>
    <t>-43.3527066</t>
  </si>
  <si>
    <t>https://www.google.com/maps/search/?api=1&amp;query=Espa%C3%A7o%20Das%20Unhas&amp;query_place_id=ChIJrYnUuMiSjgcRCXIhkh4Kjw4</t>
  </si>
  <si>
    <t>NAY SOUSA ESPAÇO DA BELEZA</t>
  </si>
  <si>
    <t>R. Aarão Réis, 672 - Centro, Caxias - MA, 65606-020, Brasil</t>
  </si>
  <si>
    <t>-4.8639759</t>
  </si>
  <si>
    <t>-43.3607499</t>
  </si>
  <si>
    <t>https://www.google.com/maps/search/?api=1&amp;query=NAY%20SOUSA%20ESPA%C3%87O%20DA%20BELEZA&amp;query_place_id=ChIJ0xNmNTCSjgcR7MksyI8SYls</t>
  </si>
  <si>
    <t>Espaço Julianny Priscyla Nail Designer</t>
  </si>
  <si>
    <t>+55 99 98149-8100</t>
  </si>
  <si>
    <t>+5599981498100</t>
  </si>
  <si>
    <t>Av. Alvorada, 555 - Mutirão, Caxias - MA, 65604-890, Brasil</t>
  </si>
  <si>
    <t>-4.8659139</t>
  </si>
  <si>
    <t>-43.3361125</t>
  </si>
  <si>
    <t>https://www.google.com/maps/search/?api=1&amp;query=Espa%C3%A7o%20Julianny%20Priscyla%20Nail%20Designer&amp;query_place_id=ChIJhZi3HEWTjgcRtDK4rWhrDzA</t>
  </si>
  <si>
    <t>ESPAÇO BEAUTY LINDA LUCIANA</t>
  </si>
  <si>
    <t>+55 99 99132-3980</t>
  </si>
  <si>
    <t>+5599991323980</t>
  </si>
  <si>
    <t>Tv. Nossa Sra. de Fátima, 133 - Centro, Caxias - MA, 65602-680, Brasil</t>
  </si>
  <si>
    <t>-4.8551582</t>
  </si>
  <si>
    <t>-43.3545537</t>
  </si>
  <si>
    <t>https://www.google.com/maps/search/?api=1&amp;query=ESPA%C3%87O%20BEAUTY%20LINDA%20LUCIANA&amp;query_place_id=ChIJfVhI3a-RjgcRua4YKPYOYww</t>
  </si>
  <si>
    <t>Espaço Laís</t>
  </si>
  <si>
    <t>+55 99 98159-8613</t>
  </si>
  <si>
    <t>+5599981598613</t>
  </si>
  <si>
    <t>Rua Moisés - Cangalheiro, Caxias - MA, 65686-025, Brasil</t>
  </si>
  <si>
    <t>-4.8653802</t>
  </si>
  <si>
    <t>-43.3587107</t>
  </si>
  <si>
    <t>https://www.google.com/maps/search/?api=1&amp;query=Espa%C3%A7o%20La%C3%ADs&amp;query_place_id=ChIJ0e_4_3GTjgcRoGeIqh8FrRY</t>
  </si>
  <si>
    <t>Studio G depilação feminina</t>
  </si>
  <si>
    <t>+55 99 98202-8051</t>
  </si>
  <si>
    <t>+5599982028051</t>
  </si>
  <si>
    <t>R. Riachuelo, 358 - Centro, Caxias - MA, 65606-620, Brasil</t>
  </si>
  <si>
    <t>-4.8641049</t>
  </si>
  <si>
    <t>-43.3613436</t>
  </si>
  <si>
    <t>https://www.google.com/maps/search/?api=1&amp;query=Studio%20G%20depila%C3%A7%C3%A3o%20feminina&amp;query_place_id=ChIJ-birYe6TjgcRMxB2-H26wIM</t>
  </si>
  <si>
    <t>Depilação Caxias-Ma Dayane</t>
  </si>
  <si>
    <t>R. José Sarney, 1006 - Campo de Belem, Caxias - MA, 65609-200, Brasil</t>
  </si>
  <si>
    <t>-4.8780654</t>
  </si>
  <si>
    <t>-43.3708665</t>
  </si>
  <si>
    <t>https://www.google.com/maps/search/?api=1&amp;query=Depila%C3%A7%C3%A3o%20Caxias-Ma%20Dayane&amp;query_place_id=ChIJWxpfAhuTjgcRRlJVRev7VxQ</t>
  </si>
  <si>
    <t>SalãoPaulasantos</t>
  </si>
  <si>
    <t>+55 99 98165-9480</t>
  </si>
  <si>
    <t>+5599981659480</t>
  </si>
  <si>
    <t>Avenida volta redonda Numero1753 - Volta Redonda, Caxias - MA, 65606-520, Brasil</t>
  </si>
  <si>
    <t>-4.8806706</t>
  </si>
  <si>
    <t>-43.3456923</t>
  </si>
  <si>
    <t>https://www.google.com/maps/search/?api=1&amp;query=Sal%C3%A3oPaulasantos&amp;query_place_id=ChIJHdwQeLWTjgcRyjl9CsB3QYc</t>
  </si>
  <si>
    <t>Espaço Daiana Martini</t>
  </si>
  <si>
    <t>Tv. Aniceto Cruz, 785 - Ponte, Caxias - MA, 65607-570, Brasil</t>
  </si>
  <si>
    <t>-4.8711256</t>
  </si>
  <si>
    <t>-43.367885</t>
  </si>
  <si>
    <t>https://www.google.com/maps/search/?api=1&amp;query=Espa%C3%A7o%20Daiana%20Martini&amp;query_place_id=ChIJgb5NtEqSjgcRxr7qZ_ttMI8</t>
  </si>
  <si>
    <t>Cílios | Design de Sobrancelhas | Micropigmentação de Sobrancelhas e Lábios|Cursos em Caxias- MA | Studio Ingrid Camila</t>
  </si>
  <si>
    <t>+55 99 99102-2780</t>
  </si>
  <si>
    <t>+5599991022780</t>
  </si>
  <si>
    <t>Rua da Felicidade, 5 - Vila Vitória, Caxias - MA, 65600-730, Brasil</t>
  </si>
  <si>
    <t>-4.8700436</t>
  </si>
  <si>
    <t>-43.3532772</t>
  </si>
  <si>
    <t>https://www.google.com/maps/search/?api=1&amp;query=C%C3%ADlios%20%7C%20Design%20de%20Sobrancelhas%20%7C%20Micropigmenta%C3%A7%C3%A3o%20de%20Sobrancelhas%20e%20L%C3%A1bios%7CCursos%20em%20Caxias-%20MA%20%7C%20Studio%20Ingrid%20Camila&amp;query_place_id=ChIJBbCC-qOTjgcR05sNHQU6FM8</t>
  </si>
  <si>
    <t>Studio Karolaine Lima</t>
  </si>
  <si>
    <t>+55 99 99187-8500</t>
  </si>
  <si>
    <t>+5599991878500</t>
  </si>
  <si>
    <t>R. do Alecrim, 327 - Centro, Caxias - MA, 65606-630, Brasil</t>
  </si>
  <si>
    <t>-4.8664925</t>
  </si>
  <si>
    <t>-43.3595774</t>
  </si>
  <si>
    <t>https://www.google.com/maps/search/?api=1&amp;query=Studio%20Karolaine%20Lima&amp;query_place_id=ChIJt_9qFI2TjgcRarVlv2MoDto</t>
  </si>
  <si>
    <t>Janaina Machado Espaço Terapêutico</t>
  </si>
  <si>
    <t>+55 99 98118-9287</t>
  </si>
  <si>
    <t>+5599981189287</t>
  </si>
  <si>
    <t>R. do Angelim, 261 - Cangalheiro, Caxias - MA, 65600-065, Brasil</t>
  </si>
  <si>
    <t>-4.8680305</t>
  </si>
  <si>
    <t>-43.3587635</t>
  </si>
  <si>
    <t>https://www.google.com/maps/search/?api=1&amp;query=Janaina%20Machado%20Espa%C3%A7o%20Terap%C3%AAutico&amp;query_place_id=ChIJFdnxMDKSjgcRPJ8inMzUZzE</t>
  </si>
  <si>
    <t>Sant'Ana Sobrancelhas</t>
  </si>
  <si>
    <t>+55 99 98857-0444</t>
  </si>
  <si>
    <t>+5599988570444</t>
  </si>
  <si>
    <t>R. Sr. Bonfim, 1638 - Castelo Branco, Caxias - MA, 65600-290, Brasil</t>
  </si>
  <si>
    <t>-4.8614114</t>
  </si>
  <si>
    <t>-43.3525924</t>
  </si>
  <si>
    <t>https://www.google.com/maps/search/?api=1&amp;query=Sant'Ana%20Sobrancelhas&amp;query_place_id=ChIJ0yBwwriTjgcRNT6iUiNHQQM</t>
  </si>
  <si>
    <t>Bella Sublime Sobrancelhas /Cílios /Micropigmentação</t>
  </si>
  <si>
    <t>+55 99 98447-1393</t>
  </si>
  <si>
    <t>+5599984471393</t>
  </si>
  <si>
    <t>Tv. Aniceto Cruz, 796 - C - Campo de Belem, Caxias - MA, 65600-010, Brasil</t>
  </si>
  <si>
    <t>-4.870873</t>
  </si>
  <si>
    <t>-43.3680714</t>
  </si>
  <si>
    <t>https://www.google.com/maps/search/?api=1&amp;query=Bella%20Sublime%20Sobrancelhas%20%2FC%C3%ADlios%20%2FMicropigmenta%C3%A7%C3%A3o&amp;query_place_id=ChIJu-VgTlKTjgcRtYbIlzt4MmY</t>
  </si>
  <si>
    <t>Salão Essência da Mulher</t>
  </si>
  <si>
    <t>+55 99 98210-8779</t>
  </si>
  <si>
    <t>+5599982108779</t>
  </si>
  <si>
    <t>Vila Alto do Sossego, Trezidela - Tamarineiro, Caxias - MA, 65608-290, Brasil</t>
  </si>
  <si>
    <t>-4.8614098</t>
  </si>
  <si>
    <t>-43.3775671</t>
  </si>
  <si>
    <t>https://www.google.com/maps/search/?api=1&amp;query=Sal%C3%A3o%20Ess%C3%AAncia%20da%20Mulher&amp;query_place_id=ChIJs0-CR3qTjgcREUbcvMutyqU</t>
  </si>
  <si>
    <t>Studio Daisy Fonseca</t>
  </si>
  <si>
    <t>+55 98 98894-6096</t>
  </si>
  <si>
    <t>+5598988946096</t>
  </si>
  <si>
    <t>BR 316, Posto Full - Loja 02 - Nova Caxias, Caxias - MA, 65600-010, Brasil</t>
  </si>
  <si>
    <t>-4.882849</t>
  </si>
  <si>
    <t>-43.3444747</t>
  </si>
  <si>
    <t>https://www.google.com/maps/search/?api=1&amp;query=Studio%20Daisy%20Fonseca&amp;query_place_id=ChIJY8xxQOGTjgcROs2x1FBvgKw</t>
  </si>
  <si>
    <t>Studio Aline Antunes</t>
  </si>
  <si>
    <t>+55 99 98431-4713</t>
  </si>
  <si>
    <t>+5599984314713</t>
  </si>
  <si>
    <t>R. São José, 1022 - Trizidela, Caxias - MA, 65607-440, Brasil</t>
  </si>
  <si>
    <t>-4.87132</t>
  </si>
  <si>
    <t>-43.3734679</t>
  </si>
  <si>
    <t>https://www.google.com/maps/search/?api=1&amp;query=Studio%20Aline%20Antunes&amp;query_place_id=ChIJZ7cu4miTjgcRb3D7c6btn-U</t>
  </si>
  <si>
    <t>Saphynailart.ofc</t>
  </si>
  <si>
    <t>Vila Alto do Sossego, 845 - Trizidela, Caxias - MA, 65608-290, Brasil</t>
  </si>
  <si>
    <t>-4.8614194</t>
  </si>
  <si>
    <t>-43.3778987</t>
  </si>
  <si>
    <t>https://www.google.com/maps/search/?api=1&amp;query=Saphynailart.ofc&amp;query_place_id=ChIJdUiAKQCTjgcRpEdAm1uaHoA</t>
  </si>
  <si>
    <t>Studio Cris</t>
  </si>
  <si>
    <t>+55 99 98852-6428</t>
  </si>
  <si>
    <t>+5599988526428</t>
  </si>
  <si>
    <t>Em frente a Arena VK - R. Edison Lobao, 334 - Mutirão, Caxias - MA, 65604-885, Brasil</t>
  </si>
  <si>
    <t>-4.864343</t>
  </si>
  <si>
    <t>-43.3354899</t>
  </si>
  <si>
    <t>https://www.google.com/maps/search/?api=1&amp;query=Studio%20Cris&amp;query_place_id=ChIJtQSZNXqTjgcRSn3BShsJUqg</t>
  </si>
  <si>
    <t>Salão T&amp;G Cabelos 2</t>
  </si>
  <si>
    <t>R. da Coheb, 678 - Vila Alecrim, Caxias - MA, 65606-730, Brasil</t>
  </si>
  <si>
    <t>-4.8715503</t>
  </si>
  <si>
    <t>-43.3498326</t>
  </si>
  <si>
    <t>https://www.google.com/maps/search/?api=1&amp;query=Sal%C3%A3o%20T%26G%20Cabelos%202&amp;query_place_id=ChIJiV9OBgCTjgcRQdMjkdML1FM</t>
  </si>
  <si>
    <t>Letícia Medeiros Beauty</t>
  </si>
  <si>
    <t>+55 99 98433-9152</t>
  </si>
  <si>
    <t>+5599984339152</t>
  </si>
  <si>
    <t>R. Pres. Dutra, 16A - Res. Helio Queiroz, Caxias - MA, 65605-310, Brasil</t>
  </si>
  <si>
    <t>-4.8739634</t>
  </si>
  <si>
    <t>-43.3447979</t>
  </si>
  <si>
    <t>https://www.google.com/maps/search/?api=1&amp;query=Let%C3%ADcia%20Medeiros%20Beauty&amp;query_place_id=ChIJZ5BSbP2TjgcRkIQnoqJZRwg</t>
  </si>
  <si>
    <t>Salão de Beleza Toque Feminino</t>
  </si>
  <si>
    <t>+55 99 99647-1839</t>
  </si>
  <si>
    <t>+5599996471839</t>
  </si>
  <si>
    <t>AVENIDA BENJAMIN CONSTANT, 01 A CONJ COHAB - Nova Caxias, Caxias - MA, 65604-685, Brasil</t>
  </si>
  <si>
    <t>-4.8663005</t>
  </si>
  <si>
    <t>-43.3449043</t>
  </si>
  <si>
    <t>https://www.google.com/maps/search/?api=1&amp;query=Sal%C3%A3o%20de%20Beleza%20Toque%20Feminino&amp;query_place_id=ChIJuaVyaASTjgcRf-pEyKnSr6k</t>
  </si>
  <si>
    <t>Studio Thays Filletti</t>
  </si>
  <si>
    <t>+55 99 99150-1281</t>
  </si>
  <si>
    <t>+5599991501281</t>
  </si>
  <si>
    <t>R. Seis, qd 20 - Casa 42 - Pampulha, Caxias - MA, 65606-869, Brasil</t>
  </si>
  <si>
    <t>-4.89066</t>
  </si>
  <si>
    <t>-43.3486128</t>
  </si>
  <si>
    <t>https://www.google.com/maps/search/?api=1&amp;query=Studio%20Thays%20Filletti&amp;query_place_id=ChIJK8MVFoGTjgcRBJbiryiEhOA</t>
  </si>
  <si>
    <t>STUDIO WINICIUS AQUINO</t>
  </si>
  <si>
    <t>R. do Sanharó - Pirajá, Caxias - MA, 65608-410, Brasil</t>
  </si>
  <si>
    <t>-4.8653868</t>
  </si>
  <si>
    <t>-43.3756834</t>
  </si>
  <si>
    <t>https://www.google.com/maps/search/?api=1&amp;query=STUDIO%20WINICIUS%20AQUINO&amp;query_place_id=ChIJGxSKRjmTjgcRJjl0PFKjgLQ</t>
  </si>
  <si>
    <t>Charlene Cabelos</t>
  </si>
  <si>
    <t>+55 99 98258-6100</t>
  </si>
  <si>
    <t>+5599982586100</t>
  </si>
  <si>
    <t>R. Chapadinha - Vila Lobao, Caxias - MA, 65605-587, Brasil</t>
  </si>
  <si>
    <t>-4.8754914</t>
  </si>
  <si>
    <t>-43.3491294</t>
  </si>
  <si>
    <t>https://www.google.com/maps/search/?api=1&amp;query=Charlene%20Cabelos&amp;query_place_id=ChIJcz1E-UGSjgcR6YIL0nrIKL8</t>
  </si>
  <si>
    <t>Ana Almada Studio</t>
  </si>
  <si>
    <t>+55 99 98112-2459</t>
  </si>
  <si>
    <t>+5599981122459</t>
  </si>
  <si>
    <t>Av. Volta Redonda, 1120 - Volta Redonda, Caxias - MA, 65606-730, Brasil</t>
  </si>
  <si>
    <t>-4.8817933</t>
  </si>
  <si>
    <t>-43.3525656</t>
  </si>
  <si>
    <t>https://www.google.com/maps/search/?api=1&amp;query=Ana%20Almada%20Studio&amp;query_place_id=ChIJC2yzVGWTjgcRIc00dRoYSKY</t>
  </si>
  <si>
    <t>Mirtes Cabelereira</t>
  </si>
  <si>
    <t>+55 99 98168-8950</t>
  </si>
  <si>
    <t>+5599981688950</t>
  </si>
  <si>
    <t>COHAB - Rua 5, QUADRA 3, N° 01 - Nova Caxias, Caxias - MA, 65604-650, Brasil</t>
  </si>
  <si>
    <t>-4.8664546</t>
  </si>
  <si>
    <t>-43.3406732</t>
  </si>
  <si>
    <t>https://www.google.com/maps/search/?api=1&amp;query=Mirtes%20Cabelereira&amp;query_place_id=ChIJjdgghIeTjgcRl6H7U00tVgQ</t>
  </si>
  <si>
    <t>Cantinho da beleza</t>
  </si>
  <si>
    <t>+55 99 98157-7844</t>
  </si>
  <si>
    <t>+5599981577844</t>
  </si>
  <si>
    <t>2A Travessa São José - Trizidela, Caxias - MA, 65607-460, Brasil</t>
  </si>
  <si>
    <t>-4.8690503</t>
  </si>
  <si>
    <t>-43.3731525</t>
  </si>
  <si>
    <t>https://www.google.com/maps/search/?api=1&amp;query=Cantinho%20da%20beleza&amp;query_place_id=ChIJX5S8J3OTjgcRE2qwQFxuBxc</t>
  </si>
  <si>
    <t>Ana Célia Cabelos</t>
  </si>
  <si>
    <t>R. Padre Gerosa, 1022 - Centro, Caxias - MA, 65602-080, Brasil</t>
  </si>
  <si>
    <t>-4.8585559</t>
  </si>
  <si>
    <t>-43.3582204</t>
  </si>
  <si>
    <t>https://www.google.com/maps/search/?api=1&amp;query=Ana%20C%C3%A9lia%20Cabelos&amp;query_place_id=ChIJTYDzHiaSjgcRlGkMle-0Ku0</t>
  </si>
  <si>
    <t>Depile-se e Showbrancelhas Caxias-MA</t>
  </si>
  <si>
    <t>R. Afonso Pena, 522 - Centro, Caxias - MA, 65600-060, Brasil</t>
  </si>
  <si>
    <t>-4.8606974</t>
  </si>
  <si>
    <t>-43.3596998</t>
  </si>
  <si>
    <t>https://www.google.com/maps/search/?api=1&amp;query=Depile-se%20e%20Showbrancelhas%20Caxias-MA&amp;query_place_id=ChIJ3ThG5CqTjgcR9ANeBncB3Es</t>
  </si>
  <si>
    <t>Poderosa cabelos e estética</t>
  </si>
  <si>
    <t>+55 99 99110-9546</t>
  </si>
  <si>
    <t>+5599991109546</t>
  </si>
  <si>
    <t>R. Pedreiras, n° 1126 - Vila Lobao, Caxias - MA, 65605-550, Brasil</t>
  </si>
  <si>
    <t>-4.8777289</t>
  </si>
  <si>
    <t>-43.3456963</t>
  </si>
  <si>
    <t>https://www.google.com/maps/search/?api=1&amp;query=Poderosa%20cabelos%20e%20est%C3%A9tica&amp;query_place_id=ChIJ9UXtF-CTjgcRdfSCYiQMpyY</t>
  </si>
  <si>
    <t>Marciele Cabelos</t>
  </si>
  <si>
    <t>+55 99 98234-6599</t>
  </si>
  <si>
    <t>+5599982346599</t>
  </si>
  <si>
    <t>Caldeirões Pirajá, Caxias - MA, Brasil</t>
  </si>
  <si>
    <t>-4.875083</t>
  </si>
  <si>
    <t>-43.3890681</t>
  </si>
  <si>
    <t>https://www.google.com/maps/search/?api=1&amp;query=Marciele%20Cabelos&amp;query_place_id=ChIJXcjrHyCTjgcRbNy_fXMkBzY</t>
  </si>
  <si>
    <t>Regina Cabelos</t>
  </si>
  <si>
    <t>+55 99 98256-7752</t>
  </si>
  <si>
    <t>+5599982567752</t>
  </si>
  <si>
    <t>R. Seis, quadra 09 - casa 12 - Pampulha, Caxias - MA, 65606-869, Brasil</t>
  </si>
  <si>
    <t>-4.8908319</t>
  </si>
  <si>
    <t>-43.3507174</t>
  </si>
  <si>
    <t>https://www.google.com/maps/search/?api=1&amp;query=Regina%20Cabelos&amp;query_place_id=ChIJp0D_hPSSjgcRTJEK3TaGinM</t>
  </si>
  <si>
    <t>Gleice Lima Studio De Beleza</t>
  </si>
  <si>
    <t>Av. Central - Centro, Caxias - MA, 65600-160, Brasil</t>
  </si>
  <si>
    <t>-4.8569669</t>
  </si>
  <si>
    <t>-43.3532503</t>
  </si>
  <si>
    <t>https://www.google.com/maps/search/?api=1&amp;query=Gleice%20Lima%20Studio%20De%20Beleza&amp;query_place_id=ChIJ1dlrySCSjgcRwtJI43goXcI</t>
  </si>
  <si>
    <t>Elis Amanda Studio</t>
  </si>
  <si>
    <t>R. Sen. Clodomir Cardoso, 1704 - Cangalheiro, Caxias - MA, 65606-690, Brasil</t>
  </si>
  <si>
    <t>-4.8756179</t>
  </si>
  <si>
    <t>-43.3573718</t>
  </si>
  <si>
    <t>https://www.google.com/maps/search/?api=1&amp;query=Elis%20Amanda%20Studio&amp;query_place_id=ChIJ45JZrM6TjgcRV8OsfJEPqbE</t>
  </si>
  <si>
    <t>Salão O André</t>
  </si>
  <si>
    <t>+55 99 98831-3980</t>
  </si>
  <si>
    <t>+5599988313980</t>
  </si>
  <si>
    <t>R. da Independência, 1201-1249 - Centro, Caxias - MA, 65602-210, Brasil</t>
  </si>
  <si>
    <t>-4.8575953</t>
  </si>
  <si>
    <t>-43.3601369</t>
  </si>
  <si>
    <t>https://www.google.com/maps/search/?api=1&amp;query=Sal%C3%A3o%20O%20Andr%C3%A9&amp;query_place_id=ChIJByD_8iiSjgcRS29tuajmr5E</t>
  </si>
  <si>
    <t>VS design de sobrancelhas</t>
  </si>
  <si>
    <t>+55 99 98852-2954</t>
  </si>
  <si>
    <t>+5599988522954</t>
  </si>
  <si>
    <t>R. São José, 2076 - Trizidela, Caxias - MA, 65607-440, Brasil</t>
  </si>
  <si>
    <t>-4.8683243</t>
  </si>
  <si>
    <t>-43.3719072</t>
  </si>
  <si>
    <t>https://www.google.com/maps/search/?api=1&amp;query=VS%20design%20de%20sobrancelhas&amp;query_place_id=ChIJuXLXNcqTjgcRAzOjpRGinOM</t>
  </si>
  <si>
    <t>Salão SOS HAIR</t>
  </si>
  <si>
    <t>+55 99 98428-0275</t>
  </si>
  <si>
    <t>+5599984280275</t>
  </si>
  <si>
    <t>2, Tv. São José, 90 - Trizidela, Caxias - MA, 65607-460, Brasil</t>
  </si>
  <si>
    <t>-4.8671681</t>
  </si>
  <si>
    <t>-43.3721519</t>
  </si>
  <si>
    <t>https://www.google.com/maps/search/?api=1&amp;query=Sal%C3%A3o%20SOS%20HAIR&amp;query_place_id=ChIJWd478WKTjgcRdQ38e_ucbbM</t>
  </si>
  <si>
    <t>cielly beauty hair</t>
  </si>
  <si>
    <t>+55 99 98550-2360</t>
  </si>
  <si>
    <t>+5599985502360</t>
  </si>
  <si>
    <t>R. 24 de Junho, QDA-C5 casa 9 - Conjunto Hab., Caxias - MA, 65606-820, Brasil</t>
  </si>
  <si>
    <t>-4.8904203</t>
  </si>
  <si>
    <t>-43.3266975</t>
  </si>
  <si>
    <t>https://www.google.com/maps/search/?api=1&amp;query=cielly%20beauty%20hair&amp;query_place_id=ChIJO7HNOSWNjgcRwFXLloa3IhY</t>
  </si>
  <si>
    <t>Studio Eulália Sabrine</t>
  </si>
  <si>
    <t>+55 99 98144-1473</t>
  </si>
  <si>
    <t>+5599981441473</t>
  </si>
  <si>
    <t>R. do Matadouro - Ponte, Caxias - MA, 65607-610, Brasil</t>
  </si>
  <si>
    <t>-4.8696205</t>
  </si>
  <si>
    <t>-43.3690868</t>
  </si>
  <si>
    <t>https://www.google.com/maps/search/?api=1&amp;query=Studio%20Eul%C3%A1lia%20Sabrine&amp;query_place_id=ChIJJz45_syTjgcRKAGqf6p19oY</t>
  </si>
  <si>
    <t>Salao Belos Fios</t>
  </si>
  <si>
    <t>+55 982348724</t>
  </si>
  <si>
    <t>Piquizeiro, Caxias - MA, 65600-170, Brasil</t>
  </si>
  <si>
    <t>-4.856368</t>
  </si>
  <si>
    <t>-43.3494809</t>
  </si>
  <si>
    <t>https://www.google.com/maps/search/?api=1&amp;query=Salao%20Belos%20Fios&amp;query_place_id=ChIJdU_DDiCSjgcRDC7ESBZrj38</t>
  </si>
  <si>
    <t>Salon Retro</t>
  </si>
  <si>
    <t>+55 99 99168-6550</t>
  </si>
  <si>
    <t>+5599991686550</t>
  </si>
  <si>
    <t>R. Lorêto, 1497 - Dinir Silva, Caxias - MA, 65605-315, Brasil</t>
  </si>
  <si>
    <t>-4.877207</t>
  </si>
  <si>
    <t>-43.342986</t>
  </si>
  <si>
    <t>https://www.google.com/maps/search/?api=1&amp;query=Salon%20Retro&amp;query_place_id=ChIJqVlZ0R6TjgcRBJx5YkWlBRE</t>
  </si>
  <si>
    <t>Salão Vera Fashion</t>
  </si>
  <si>
    <t>+55 99 98500-7270</t>
  </si>
  <si>
    <t>+5599985007270</t>
  </si>
  <si>
    <t>Tv. Primeiro de Agosto - Ponte, Caxias - MA, 65609-347, Brasil</t>
  </si>
  <si>
    <t>-4.8744939</t>
  </si>
  <si>
    <t>-43.3640256</t>
  </si>
  <si>
    <t>https://www.google.com/maps/search/?api=1&amp;query=Sal%C3%A3o%20Vera%20Fashion&amp;query_place_id=ChIJiZOXrbWTjgcR7fyVfg0D5ZA</t>
  </si>
  <si>
    <t>Boneca Studio</t>
  </si>
  <si>
    <t>+55 99 98121-7782</t>
  </si>
  <si>
    <t>+5599981217782</t>
  </si>
  <si>
    <t>R. São José, 2065 - Trizidela, Caxias - MA, 65607-440, Brasil</t>
  </si>
  <si>
    <t>-4.8683753</t>
  </si>
  <si>
    <t>-43.3716298</t>
  </si>
  <si>
    <t>https://www.google.com/maps/search/?api=1&amp;query=Boneca%20Studio&amp;query_place_id=ChIJv28lwg2TjgcRiB56E0ct36I</t>
  </si>
  <si>
    <t>Studio de Beleza Josiele Andrade</t>
  </si>
  <si>
    <t>+55 92 99519-6359</t>
  </si>
  <si>
    <t>+5592995196359</t>
  </si>
  <si>
    <t>R. Costa Sobrinho, 1361 - Volta Redonda, Caxias - MA, 65606-510, Brasil</t>
  </si>
  <si>
    <t>-4.8848764</t>
  </si>
  <si>
    <t>-43.3499639</t>
  </si>
  <si>
    <t>https://www.google.com/maps/search/?api=1&amp;query=Studio%20de%20Beleza%20Josiele%20Andrade&amp;query_place_id=ChIJy-glUEmTjgcRG1izNuAEYQw</t>
  </si>
  <si>
    <t>Tm Beauty Studio</t>
  </si>
  <si>
    <t>Av. Édson Lobão, 1704 - Volta Redonda, Caxias - MA, 65606-690, Brasil</t>
  </si>
  <si>
    <t>-4.8755996</t>
  </si>
  <si>
    <t>-43.3573529</t>
  </si>
  <si>
    <t>https://www.google.com/maps/search/?api=1&amp;query=Tm%20Beauty%20Studio&amp;query_place_id=ChIJ38FC6EWSjgcRhF-IbvYLpEY</t>
  </si>
  <si>
    <t>Studio Jhessyka Mattos</t>
  </si>
  <si>
    <t>R. Nova, 1125 - Itapecuruzinho, Caxias - MA, 65605-130, Brasil</t>
  </si>
  <si>
    <t>-4.8929996</t>
  </si>
  <si>
    <t>-43.3557817</t>
  </si>
  <si>
    <t>https://www.google.com/maps/search/?api=1&amp;query=Studio%20Jhessyka%20Mattos&amp;query_place_id=ChIJCf9rOY2TjgcRuKqBBkYlhE0</t>
  </si>
  <si>
    <t>Studio Maiane Moura</t>
  </si>
  <si>
    <t>+55 99 98801-1887</t>
  </si>
  <si>
    <t>+5599988011887</t>
  </si>
  <si>
    <t>Av. Doutor Walter Brito, 1311 - Campo de Belem, Caxias - MA, 65609-070, Brasil</t>
  </si>
  <si>
    <t>-4.8747643</t>
  </si>
  <si>
    <t>-43.3735652</t>
  </si>
  <si>
    <t>https://www.google.com/maps/search/?api=1&amp;query=Studio%20Maiane%20Moura&amp;query_place_id=ChIJr5TUDAeTjgcR8DDJlx_wNB0</t>
  </si>
  <si>
    <t>Tamires Almada Centro Estético</t>
  </si>
  <si>
    <t>+55 99 99124-5711</t>
  </si>
  <si>
    <t>+5599991245711</t>
  </si>
  <si>
    <t>R. do Sol, 1013 - Cangalheiro, Caxias - MA, 65606-320, Brasil</t>
  </si>
  <si>
    <t>-4.8762589</t>
  </si>
  <si>
    <t>-43.3547967</t>
  </si>
  <si>
    <t>https://www.google.com/maps/search/?api=1&amp;query=Tamires%20Almada%20Centro%20Est%C3%A9tico&amp;query_place_id=ChIJEYFCALKTjgcRaLe0RIhQpNY</t>
  </si>
  <si>
    <t>Edith Cabelos</t>
  </si>
  <si>
    <t>+55 99 98807-1364</t>
  </si>
  <si>
    <t>+5599988071364</t>
  </si>
  <si>
    <t>Tv. Padre Gerosa - Centro, Caxias - MA, 65602-100, Brasil</t>
  </si>
  <si>
    <t>-4.8588017</t>
  </si>
  <si>
    <t>-43.3587813</t>
  </si>
  <si>
    <t>https://www.google.com/maps/search/?api=1&amp;query=Edith%20Cabelos&amp;query_place_id=ChIJ0QyaiXOTjgcR0tlGE6y0Rko</t>
  </si>
  <si>
    <t>Studio Thays Maira</t>
  </si>
  <si>
    <t>+55 99 99934-0212</t>
  </si>
  <si>
    <t>+5599999340212</t>
  </si>
  <si>
    <t>Av. Central - Centro, Caxias - MA, 65600-175, Brasil</t>
  </si>
  <si>
    <t>-4.8573147</t>
  </si>
  <si>
    <t>-43.3522055</t>
  </si>
  <si>
    <t>https://www.google.com/maps/search/?api=1&amp;query=Studio%20Thays%20Maira&amp;query_place_id=ChIJSaIABySTjgcRbrcbcJLr40Q</t>
  </si>
  <si>
    <t>Santa Cor esmalteria</t>
  </si>
  <si>
    <t>+55 99 99151-7042</t>
  </si>
  <si>
    <t>+5599991517042</t>
  </si>
  <si>
    <t>Av. Central, 1858 - Lj 06 - Centro, Caxias - MA, 65600-160, Brasil</t>
  </si>
  <si>
    <t>-4.8565122</t>
  </si>
  <si>
    <t>-43.3543387</t>
  </si>
  <si>
    <t>https://www.google.com/maps/search/?api=1&amp;query=Santa%20Cor%20esmalteria&amp;query_place_id=ChIJxxgeRmeSjgcROE4pu66mWdY</t>
  </si>
  <si>
    <t>Lima Cabelos</t>
  </si>
  <si>
    <t>R. Itapeçuru, 162-188 - Centro, Caxias - MA, 65609-345, Brasil</t>
  </si>
  <si>
    <t>-4.8662493</t>
  </si>
  <si>
    <t>-43.3650416</t>
  </si>
  <si>
    <t>https://www.google.com/maps/search/?api=1&amp;query=Lima%20Cabelos&amp;query_place_id=ChIJjRSsf4eTjgcRsSlGaJR42iA</t>
  </si>
  <si>
    <t>Alice Sobrancelhas</t>
  </si>
  <si>
    <t>+55 99 98493-7714</t>
  </si>
  <si>
    <t>+5599984937714</t>
  </si>
  <si>
    <t>R. Parnarama, 1407 - Vila Lobao, Caxias - MA, 65605-501, Brasil</t>
  </si>
  <si>
    <t>-4.8775395</t>
  </si>
  <si>
    <t>-43.346319</t>
  </si>
  <si>
    <t>https://www.google.com/maps/search/?api=1&amp;query=Alice%20Sobrancelhas&amp;query_place_id=ChIJDxdQUJOTjgcRT8CLazTAFHo</t>
  </si>
  <si>
    <t>Segunda Pele Cx - Depilação Com Cera Caxias - MA</t>
  </si>
  <si>
    <t>+55 99 98813-7400</t>
  </si>
  <si>
    <t>+5599988137400</t>
  </si>
  <si>
    <t>Próximo ao Bar e Restaurante Selva do Braz - R. Santa Maria, 1742A - Centro, Caxias - MA, 65602-840, Brasil</t>
  </si>
  <si>
    <t>-4.8583554</t>
  </si>
  <si>
    <t>-43.3516073</t>
  </si>
  <si>
    <t>https://www.google.com/maps/search/?api=1&amp;query=Segunda%20Pele%20Cx%20-%20Depila%C3%A7%C3%A3o%20Com%20Cera%20Caxias%20-%20MA&amp;query_place_id=ChIJxW_ZXQCTjgcRd1yjd0pqgNc</t>
  </si>
  <si>
    <t>Elane esmalteria</t>
  </si>
  <si>
    <t>+55 99 98826-1370</t>
  </si>
  <si>
    <t>+5599988261370</t>
  </si>
  <si>
    <t>R. Abel Antunes, 439 - Centro, Caxias - MA, 65602-160, Brasil</t>
  </si>
  <si>
    <t>-4.8555743</t>
  </si>
  <si>
    <t>-43.3558835</t>
  </si>
  <si>
    <t>https://www.google.com/maps/search/?api=1&amp;query=Elane%20esmalteria&amp;query_place_id=ChIJOdZ2sP6TjgcR7KId0ovSaAA</t>
  </si>
  <si>
    <t>Bruna Cabelos</t>
  </si>
  <si>
    <t>R. João de Deus Moreira Ramos, 475 - Centro, Caxias - MA, 65602-140, Brasil</t>
  </si>
  <si>
    <t>-4.8579874</t>
  </si>
  <si>
    <t>-43.3564285</t>
  </si>
  <si>
    <t>https://www.google.com/maps/search/?api=1&amp;query=Bruna%20Cabelos&amp;query_place_id=ChIJESeEhzSTjgcRcT2mEATyt2M</t>
  </si>
  <si>
    <t>Renata Oliveira STUDIO HAIR</t>
  </si>
  <si>
    <t>Av. Central, 538 - Centro, Caxias - MA, 65600-160, Brasil</t>
  </si>
  <si>
    <t>-4.8576672</t>
  </si>
  <si>
    <t>-43.3516893</t>
  </si>
  <si>
    <t>https://www.google.com/maps/search/?api=1&amp;query=Renata%20Oliveira%20STUDIO%20HAIR&amp;query_place_id=ChIJBZSD_CCSjgcRmZgEuXuEkGg</t>
  </si>
  <si>
    <t>Nyck’s</t>
  </si>
  <si>
    <t>+55 99 98836-1680</t>
  </si>
  <si>
    <t>+5599988361680</t>
  </si>
  <si>
    <t>R. São Pedro - Centro, Caxias - MA, 65600-370, Brasil</t>
  </si>
  <si>
    <t>-4.8625985</t>
  </si>
  <si>
    <t>-43.3660867</t>
  </si>
  <si>
    <t>https://www.google.com/maps/search/?api=1&amp;query=Nyck%E2%80%99s&amp;query_place_id=ChIJ9QSu5VyRjgcR99DoAKW4KFI</t>
  </si>
  <si>
    <t>StudioLeticiaAndrade_cm</t>
  </si>
  <si>
    <t>+55 86 98144-8591</t>
  </si>
  <si>
    <t>+5586981448591</t>
  </si>
  <si>
    <t>R. Benedito Leite - Centro, Caxias - MA, 65604-020, Brasil</t>
  </si>
  <si>
    <t>-4.8623055</t>
  </si>
  <si>
    <t>-43.3589096</t>
  </si>
  <si>
    <t>https://www.google.com/maps/search/?api=1&amp;query=StudioLeticiaAndrade_cm&amp;query_place_id=ChIJ02wtAz-TjgcRl_RZa_zAOM8</t>
  </si>
  <si>
    <t>R.V Beleza &amp; Estética</t>
  </si>
  <si>
    <t>R. Benedito Leite, 663 - Centro, Caxias - MA, 65604-020, Brasil</t>
  </si>
  <si>
    <t>-4.8627982</t>
  </si>
  <si>
    <t>-43.3601652</t>
  </si>
  <si>
    <t>https://www.google.com/maps/search/?api=1&amp;query=R.V%20Beleza%20%26%20Est%C3%A9tica&amp;query_place_id=ChIJv664bO6TjgcR3jXq5Coxs8M</t>
  </si>
  <si>
    <t>Studio Delas</t>
  </si>
  <si>
    <t>3A Travessa Aniceto Cruz - Ponte, Caxias - MA, 65607-580, Brasil</t>
  </si>
  <si>
    <t>-4.8690588</t>
  </si>
  <si>
    <t>-43.3690128</t>
  </si>
  <si>
    <t>https://www.google.com/maps/search/?api=1&amp;query=Studio%20Delas&amp;query_place_id=ChIJGXV-EACTjgcRKg1yt1wNAfY</t>
  </si>
  <si>
    <t>Mércia Studio</t>
  </si>
  <si>
    <t>+55 99 98157-8782</t>
  </si>
  <si>
    <t>+5599981578782</t>
  </si>
  <si>
    <t>Tv. João da Costa Alecrim, 547 - Cangalheiro, Caxias - MA, 65606-200, Brasil</t>
  </si>
  <si>
    <t>-4.8670897</t>
  </si>
  <si>
    <t>-43.3569291</t>
  </si>
  <si>
    <t>https://www.google.com/maps/search/?api=1&amp;query=M%C3%A9rcia%20Studio&amp;query_place_id=ChIJ1we6yWaTjgcRh_beH8paF8A</t>
  </si>
  <si>
    <t>Studio Da Nayh</t>
  </si>
  <si>
    <t>+55 99 98114-4597</t>
  </si>
  <si>
    <t>+5599981144597</t>
  </si>
  <si>
    <t>R. do Burro, 1762 - Castelo Branco, Caxias - MA, 65604-197, Brasil</t>
  </si>
  <si>
    <t>-4.863171</t>
  </si>
  <si>
    <t>-43.3511307</t>
  </si>
  <si>
    <t>https://www.google.com/maps/search/?api=1&amp;query=Studio%20Da%20Nayh&amp;query_place_id=ChIJmUMunIeTjgcREV29Y-IpeW4</t>
  </si>
  <si>
    <t>Nicolle Torres Beauty</t>
  </si>
  <si>
    <t>+55 99 99102-5980</t>
  </si>
  <si>
    <t>+5599991025980</t>
  </si>
  <si>
    <t>R. Ernesto Geisel, 592 - Salobro, Caxias - MA, 65609-560, Brasil</t>
  </si>
  <si>
    <t>-4.8863342</t>
  </si>
  <si>
    <t>-43.3669763</t>
  </si>
  <si>
    <t>https://www.google.com/maps/search/?api=1&amp;query=Nicolle%20Torres%20Beauty&amp;query_place_id=ChIJc6qJ_fuTjgcRmEIgZQGadN8</t>
  </si>
  <si>
    <t>Regina Coiffeur</t>
  </si>
  <si>
    <t>+55 21 97483-9379</t>
  </si>
  <si>
    <t>+5521974839379</t>
  </si>
  <si>
    <t>R. do Fio, 407 - Cangalheiro, Caxias - MA, 65606-250, Brasil</t>
  </si>
  <si>
    <t>-4.866759</t>
  </si>
  <si>
    <t>-43.358757</t>
  </si>
  <si>
    <t>https://www.google.com/maps/search/?api=1&amp;query=Regina%20Coiffeur&amp;query_place_id=ChIJe1uxIuOTjgcRwQYx7c2MmH8</t>
  </si>
  <si>
    <t>Studio Silvana Pinho</t>
  </si>
  <si>
    <t>+55 99 98264-5666</t>
  </si>
  <si>
    <t>+5599982645666</t>
  </si>
  <si>
    <t>3A Travessa Benjamin Constant, 2132 - Nova Caxias, Caxias - MA, 65604-285, Brasil</t>
  </si>
  <si>
    <t>-4.8652426</t>
  </si>
  <si>
    <t>-43.3458295</t>
  </si>
  <si>
    <t>https://www.google.com/maps/search/?api=1&amp;query=Studio%20Silvana%20Pinho&amp;query_place_id=ChIJIbFESW-TjgcR7y-rtb7NTSM</t>
  </si>
  <si>
    <t>Studio_raquel.santos</t>
  </si>
  <si>
    <t>2, R. Bela Vista, 1172 - Bela Vista, Caxias - MA, 65605-227, Brasil</t>
  </si>
  <si>
    <t>-4.874135</t>
  </si>
  <si>
    <t>-43.335975</t>
  </si>
  <si>
    <t>https://www.google.com/maps/search/?api=1&amp;query=Studio_raquel.santos&amp;query_place_id=ChIJCxKZUbuTjgcRos20JMKhLII</t>
  </si>
  <si>
    <t>Pâmila Italiano</t>
  </si>
  <si>
    <t>+55 86 99587-4737</t>
  </si>
  <si>
    <t>+5586995874737</t>
  </si>
  <si>
    <t>Av. Sen. Alexandre Costa, 2729 - Res. Helio Queiroz, Caxias - MA, 65605-300, Brasil</t>
  </si>
  <si>
    <t>-4.874873</t>
  </si>
  <si>
    <t>-43.3453507</t>
  </si>
  <si>
    <t>https://www.google.com/maps/search/?api=1&amp;query=P%C3%A2mila%20Italiano&amp;query_place_id=ChIJm9_oG8iTjgcRWyPVZUmYigA</t>
  </si>
  <si>
    <t>Studio Sirley</t>
  </si>
  <si>
    <t>R. Santa Maria, 1992 - Piquizeiro, Caxias - MA, 65602-840, Brasil</t>
  </si>
  <si>
    <t>-4.857294</t>
  </si>
  <si>
    <t>-43.3498115</t>
  </si>
  <si>
    <t>https://www.google.com/maps/search/?api=1&amp;query=Studio%20Sirley&amp;query_place_id=ChIJtxbUPiCSjgcRQma2fQMQVZg</t>
  </si>
  <si>
    <t>Real Trance</t>
  </si>
  <si>
    <t>+55 99 98543-9028</t>
  </si>
  <si>
    <t>+5599985439028</t>
  </si>
  <si>
    <t>Rua Morro Alto da Santa 644 - Tamarineiro, Caxias - MA, 65608-580, Brasil</t>
  </si>
  <si>
    <t>-4.8584094</t>
  </si>
  <si>
    <t>-43.3758661</t>
  </si>
  <si>
    <t>https://www.google.com/maps/search/?api=1&amp;query=Real%20Trance&amp;query_place_id=ChIJBV9f2h6TjgcRCHngP7Euva8</t>
  </si>
  <si>
    <t>Mônica cabelos</t>
  </si>
  <si>
    <t>+55 99 98499-8122</t>
  </si>
  <si>
    <t>+5599984998122</t>
  </si>
  <si>
    <t>Ponto 1, Caxias - MA, Brasil</t>
  </si>
  <si>
    <t>-4.9150936</t>
  </si>
  <si>
    <t>-43.3873926</t>
  </si>
  <si>
    <t>https://www.google.com/maps/search/?api=1&amp;query=M%C3%B4nica%20cabelos&amp;query_place_id=ChIJofoSJwCTjgcR8ZkCWNATFqs</t>
  </si>
  <si>
    <t>Salão Loira Cabelos</t>
  </si>
  <si>
    <t>+55 99 98500-3773</t>
  </si>
  <si>
    <t>+5599985003773</t>
  </si>
  <si>
    <t>Av. Central - Mutirão, Caxias - MA, 65600-160, Brasil</t>
  </si>
  <si>
    <t>-4.8580593</t>
  </si>
  <si>
    <t>-43.338279</t>
  </si>
  <si>
    <t>https://www.google.com/maps/search/?api=1&amp;query=Sal%C3%A3o%20Loira%20Cabelos&amp;query_place_id=ChIJ1SMBanGTjgcRAcBPc6mg0yI</t>
  </si>
  <si>
    <t>Studio Serena Soares</t>
  </si>
  <si>
    <t>+55 99 98435-4211</t>
  </si>
  <si>
    <t>+5599984354211</t>
  </si>
  <si>
    <t>R. Jerusalém, 793 - Campo de Belem, Caxias - MA, 65609-100, Brasil</t>
  </si>
  <si>
    <t>-4.8743792</t>
  </si>
  <si>
    <t>-43.3695677</t>
  </si>
  <si>
    <t>https://www.google.com/maps/search/?api=1&amp;query=Studio%20Serena%20Soares&amp;query_place_id=ChIJ9T7bvGOTjgcReJn5TEeF_nQ</t>
  </si>
  <si>
    <t>Perfeição Bronze e Estética</t>
  </si>
  <si>
    <t>+55 99 98150-3830</t>
  </si>
  <si>
    <t>+5599981503830</t>
  </si>
  <si>
    <t>Av. 06, 21 - COHAB, Caxias - MA, 65604-650, Brasil</t>
  </si>
  <si>
    <t>-4.8677527</t>
  </si>
  <si>
    <t>-43.3400555</t>
  </si>
  <si>
    <t>https://www.google.com/maps/search/?api=1&amp;query=Perfei%C3%A7%C3%A3o%20Bronze%20e%20Est%C3%A9tica&amp;query_place_id=ChIJ0atoXQaTjgcRCTj6qrw5_LU</t>
  </si>
  <si>
    <t>SALÃO SÃO LUIS</t>
  </si>
  <si>
    <t>R. Santa Maria, 1608 - Castelo Branco, Caxias - MA, 65606-770, Brasil</t>
  </si>
  <si>
    <t>-4.8590461</t>
  </si>
  <si>
    <t>-43.3527372</t>
  </si>
  <si>
    <t>https://www.google.com/maps/search/?api=1&amp;query=SAL%C3%83O%20S%C3%83O%20LUIS&amp;query_place_id=ChIJPbcaRCGSjgcR7r98wYy34DQ</t>
  </si>
  <si>
    <t>Riccas salão</t>
  </si>
  <si>
    <t>+55 99 98114-5911</t>
  </si>
  <si>
    <t>+5599981145911</t>
  </si>
  <si>
    <t>R. Cel. Libânio Lobo, N° 640 - Centro, Caxias - MA, 65600-010, Brasil</t>
  </si>
  <si>
    <t>-4.8611535</t>
  </si>
  <si>
    <t>-43.3632015</t>
  </si>
  <si>
    <t>https://www.google.com/maps/search/?api=1&amp;query=Riccas%20sal%C3%A3o&amp;query_place_id=ChIJhwOIEmeTjgcRHPTA8lPOPwU</t>
  </si>
  <si>
    <t>Gleice Epilação e Estética Caxias-Ma - Depilação, Massagem, Limpeza de Pele, Drenagem linfática</t>
  </si>
  <si>
    <t>+55 99 98278-9283</t>
  </si>
  <si>
    <t>+5599982789283</t>
  </si>
  <si>
    <t>R. Prof. Leôncio Magno, 1117 - Volta Redonda, Caxias - MA, 65606-410, Brasil</t>
  </si>
  <si>
    <t>-4.8826171</t>
  </si>
  <si>
    <t>-43.3522194</t>
  </si>
  <si>
    <t>https://www.google.com/maps/search/?api=1&amp;query=Gleice%20Epila%C3%A7%C3%A3o%20e%20Est%C3%A9tica%20Caxias-Ma%20-%20Depila%C3%A7%C3%A3o%2C%20Massagem%2C%20Limpeza%20de%20Pele%2C%20Drenagem%20linf%C3%A1tica&amp;query_place_id=ChIJEZNoCWWTjgcRppov0avJVIg</t>
  </si>
  <si>
    <t>Studio Penteados</t>
  </si>
  <si>
    <t>Tv. Cel. M. Gonçalves, 1218a - Centro, Caxias - MA, Brasil</t>
  </si>
  <si>
    <t>-4.8584986</t>
  </si>
  <si>
    <t>-43.3589972</t>
  </si>
  <si>
    <t>https://www.google.com/maps/search/?api=1&amp;query=Studio%20Penteados&amp;query_place_id=ChIJE_NcVwCTjgcRt2NPUgVM2T4</t>
  </si>
  <si>
    <t>Depyl Design Studio</t>
  </si>
  <si>
    <t>R. do Fio, n° 890 - Sl 3 - Cangalheiro, Caxias - MA, 65606-250, Brasil</t>
  </si>
  <si>
    <t>-4.870777</t>
  </si>
  <si>
    <t>-43.3583459</t>
  </si>
  <si>
    <t>https://www.google.com/maps/search/?api=1&amp;query=Depyl%20Design%20Studio&amp;query_place_id=ChIJNyQqLJuTjgcRsvlrCjP4kPg</t>
  </si>
  <si>
    <t>Josué estética</t>
  </si>
  <si>
    <t>+55 19 99158-1238</t>
  </si>
  <si>
    <t>+5519991581238</t>
  </si>
  <si>
    <t>Quadra D2 casa 9 - Castelo Branco, Caxias - MA, 65600-000, Brasil</t>
  </si>
  <si>
    <t>-4.8596832</t>
  </si>
  <si>
    <t>-43.3536025</t>
  </si>
  <si>
    <t>https://www.google.com/maps/search/?api=1&amp;query=Josu%C3%A9%20est%C3%A9tica&amp;query_place_id=ChIJiSq7u2STjgcRe9naoa3xKls</t>
  </si>
  <si>
    <t>Salão Belíssima</t>
  </si>
  <si>
    <t>+55 99 3521-4162</t>
  </si>
  <si>
    <t>+559935214162</t>
  </si>
  <si>
    <t>R. Cristino Cruz, 757 - Centro, Caxias - MA, 65604-030, Brasil</t>
  </si>
  <si>
    <t>-4.863224</t>
  </si>
  <si>
    <t>-43.3594402</t>
  </si>
  <si>
    <t>https://www.google.com/maps/search/?api=1&amp;query=Sal%C3%A3o%20Bel%C3%ADssima&amp;query_place_id=ChIJR9tmHjCSjgcRQ26cF3-fcGk</t>
  </si>
  <si>
    <t>Rayh cabelos</t>
  </si>
  <si>
    <t>+55 99 98128-8153</t>
  </si>
  <si>
    <t>+5599981288153</t>
  </si>
  <si>
    <t>Povoado mulatas - Centro, Caxias - MA, 65606-060, Brasil</t>
  </si>
  <si>
    <t>-4.8650375</t>
  </si>
  <si>
    <t>-43.3588348</t>
  </si>
  <si>
    <t>https://www.google.com/maps/search/?api=1&amp;query=Rayh%20cabelos&amp;query_place_id=ChIJf3KBWkvtjgcRpEtufXeUs6c</t>
  </si>
  <si>
    <t>Revitalize</t>
  </si>
  <si>
    <t>+55 99 98124-8919</t>
  </si>
  <si>
    <t>+5599981248919</t>
  </si>
  <si>
    <t>Rua, 13 - 5 Q D Casa - COHAB, Coroatá - MA, 65415-000, Brasil</t>
  </si>
  <si>
    <t>-4.8715757</t>
  </si>
  <si>
    <t>-43.3383763</t>
  </si>
  <si>
    <t>https://www.google.com/maps/search/?api=1&amp;query=Revitalize&amp;query_place_id=ChIJb2VQcNCTjgcR9Rn1FGN9XFk</t>
  </si>
  <si>
    <t>Unhas De Luxo</t>
  </si>
  <si>
    <t>+55 99 98189-9726</t>
  </si>
  <si>
    <t>+5599981899726</t>
  </si>
  <si>
    <t>Tv. Antônio Joaquim, 224 - Centro, Caxias - MA, 65606-080, Brasil</t>
  </si>
  <si>
    <t>-4.8640594</t>
  </si>
  <si>
    <t>-43.3605167</t>
  </si>
  <si>
    <t>https://www.google.com/maps/search/?api=1&amp;query=Unhas%20De%20Luxo&amp;query_place_id=ChIJZ8-gZEOTjgcRTmJgLAVdKOU</t>
  </si>
  <si>
    <t>Salão Escola Eduwirgens Cabelereiros</t>
  </si>
  <si>
    <t>+55 99 99101-3111</t>
  </si>
  <si>
    <t>+5599991013111</t>
  </si>
  <si>
    <t>R. Cel. Libânio Lobo, 772 - Centro, Caxias - MA, 65608-010, Brasil</t>
  </si>
  <si>
    <t>-4.8600491</t>
  </si>
  <si>
    <t>-43.3627425</t>
  </si>
  <si>
    <t>https://www.google.com/maps/search/?api=1&amp;query=Sal%C3%A3o%20Escola%20Eduwirgens%20Cabelereiros&amp;query_place_id=ChIJDZgeP6uTjgcRjYbvkbQmqmg</t>
  </si>
  <si>
    <t>Loja Donna Maria</t>
  </si>
  <si>
    <t>+55 99 98402-0537</t>
  </si>
  <si>
    <t>+5599984020537</t>
  </si>
  <si>
    <t>Praça Rui Barbosa, 940 - Centro, Caxias - MA, 65600-040, Brasil</t>
  </si>
  <si>
    <t>-4.862375</t>
  </si>
  <si>
    <t>-43.361648</t>
  </si>
  <si>
    <t>https://www.google.com/maps/search/?api=1&amp;query=Loja%20Donna%20Maria&amp;query_place_id=ChIJMzk-MFyTjgcREq44opjeUsQ</t>
  </si>
  <si>
    <t>K Dias</t>
  </si>
  <si>
    <t>+55 99 99228-9979</t>
  </si>
  <si>
    <t>+5599992289979</t>
  </si>
  <si>
    <t>-4.8683163</t>
  </si>
  <si>
    <t>-43.362507</t>
  </si>
  <si>
    <t>https://www.google.com/maps/search/?api=1&amp;query=K%20Dias&amp;query_place_id=ChIJu20GbvCTjgcRyElm5Xfy6Rg</t>
  </si>
  <si>
    <t>jacy_sousa</t>
  </si>
  <si>
    <t>Tv. Quininha Píres, 492 - Centro, Caxias - MA, 65608-040, Brasil</t>
  </si>
  <si>
    <t>-4.8580791</t>
  </si>
  <si>
    <t>-43.3626777</t>
  </si>
  <si>
    <t>https://www.google.com/maps/search/?api=1&amp;query=jacy_sousa&amp;query_place_id=ChIJ45CwQimSjgcRSCShcV_Sqy4</t>
  </si>
  <si>
    <t>Daniela Viana Estética &amp; Pilates</t>
  </si>
  <si>
    <t>+55 99 98802-5910</t>
  </si>
  <si>
    <t>+5599988025910</t>
  </si>
  <si>
    <t>R. Gustavo Colaço, 276 - Centro, Caxias - MA, 65606-160, Brasil</t>
  </si>
  <si>
    <t>-4.8650511</t>
  </si>
  <si>
    <t>-43.362368</t>
  </si>
  <si>
    <t>https://www.google.com/maps/search/?api=1&amp;query=Daniela%20Viana%20Est%C3%A9tica%20%26%20Pilates&amp;query_place_id=ChIJG5XiwfeTjgcRrPKTX-6eAWI</t>
  </si>
  <si>
    <t>Studio Kids</t>
  </si>
  <si>
    <t>Praça Vespasiano Ramos número 488b, 65.600.000, Caxias - MA, Brasil</t>
  </si>
  <si>
    <t>-4.8606035</t>
  </si>
  <si>
    <t>-43.3596317</t>
  </si>
  <si>
    <t>https://www.google.com/maps/search/?api=1&amp;query=Studio%20Kids&amp;query_place_id=ChIJmdoNoseTjgcRgpbGODkNnnA</t>
  </si>
  <si>
    <t>Travessa da Pedreira</t>
  </si>
  <si>
    <t>R. Gustavo Colaço, 271 - Centro, Caxias - MA, 65606-160, Brasil</t>
  </si>
  <si>
    <t>-4.8649935</t>
  </si>
  <si>
    <t>-43.3627072</t>
  </si>
  <si>
    <t>https://www.google.com/maps/search/?api=1&amp;query=Travessa%20da%20Pedreira&amp;query_place_id=ChIJMf67MwCTjgcRP0PbNZEljkk</t>
  </si>
  <si>
    <t>STUDIO BARBER</t>
  </si>
  <si>
    <t>+55 99 99953-1016</t>
  </si>
  <si>
    <t>+5599999531016</t>
  </si>
  <si>
    <t>R. da Faveira, 239 - Refinaria, Caxias - MA, 65600-170, Brasil</t>
  </si>
  <si>
    <t>-4.8553924</t>
  </si>
  <si>
    <t>-43.3526552</t>
  </si>
  <si>
    <t>https://www.google.com/maps/search/?api=1&amp;query=STUDIO%20BARBER&amp;query_place_id=ChIJe0cLDoqRjgcRkzW7BgVX2YE</t>
  </si>
  <si>
    <t>Katia Cury Massoterapia</t>
  </si>
  <si>
    <t>+55 99 99161-0404</t>
  </si>
  <si>
    <t>+5599991610404</t>
  </si>
  <si>
    <t>Av. General Sampaio, 14 - Morro do Alecrim, Caxias - MA, 65604-090, Brasil</t>
  </si>
  <si>
    <t>-4.8662518</t>
  </si>
  <si>
    <t>-43.3556867</t>
  </si>
  <si>
    <t>https://www.google.com/maps/search/?api=1&amp;query=Katia%20Cury%20Massoterapia&amp;query_place_id=ChIJ6eGze4WTjgcRyGSx0O66wno</t>
  </si>
  <si>
    <t>JC BARBEARIA</t>
  </si>
  <si>
    <t>R. Dr. Miron Pedreira, 652 - Centro, Caxias - MA, 65602-050, Brasil</t>
  </si>
  <si>
    <t>-4.8591797</t>
  </si>
  <si>
    <t>-43.361699</t>
  </si>
  <si>
    <t>https://www.google.com/maps/search/?api=1&amp;query=JC%20BARBEARIA&amp;query_place_id=ChIJfcLGLCyTjgcRdBU7mbbFGsk</t>
  </si>
  <si>
    <t>Dra. Tatiana Álamos</t>
  </si>
  <si>
    <t>+55 99 98250-9493</t>
  </si>
  <si>
    <t>+5599982509493</t>
  </si>
  <si>
    <t>R. Vinte e Quatro de Outubro, 275 - Centro, Caxias - MA, 65608-130, Brasil</t>
  </si>
  <si>
    <t>-4.8588349</t>
  </si>
  <si>
    <t>-43.3636836</t>
  </si>
  <si>
    <t>https://www.google.com/maps/search/?api=1&amp;query=Dra.%20Tatiana%20%C3%81lamos&amp;query_place_id=ChIJ1Q76VhGTjgcRccGMtKsEYzY</t>
  </si>
  <si>
    <t>Hélkila Silva Nail Designer</t>
  </si>
  <si>
    <t>+55 99 98403-3558</t>
  </si>
  <si>
    <t>+5599984033558</t>
  </si>
  <si>
    <t>R. São Pedro, n° 519 - Centro, Caxias - MA, 65608-160, Brasil</t>
  </si>
  <si>
    <t>-4.8618223</t>
  </si>
  <si>
    <t>-43.3639197</t>
  </si>
  <si>
    <t>https://www.google.com/maps/search/?api=1&amp;query=H%C3%A9lkila%20Silva%20Nail%20Designer&amp;query_place_id=ChIJ84EAjf2TjgcR8cL4i-L6CP4</t>
  </si>
  <si>
    <t>LOJA WINICIUS AQUINO</t>
  </si>
  <si>
    <t>SHOPPING DA GENTE - Av. Otávio Passos, 867 - 1º andar – Box 111 - Centro, Caxias - MA, 65602-010, Brasil</t>
  </si>
  <si>
    <t>-4.8620236</t>
  </si>
  <si>
    <t>-43.3628521</t>
  </si>
  <si>
    <t>https://www.google.com/maps/search/?api=1&amp;query=LOJA%20WINICIUS%20AQUINO&amp;query_place_id=ChIJRTBDRQCTjgcRXYwicpHB8DI</t>
  </si>
  <si>
    <t>Thayná Neu Studio</t>
  </si>
  <si>
    <t>+55 99 98835-2026</t>
  </si>
  <si>
    <t>+5599988352026</t>
  </si>
  <si>
    <t>R. Teófilo Dias, 1270 - Centro, Caxias - MA, 65600-090, Brasil</t>
  </si>
  <si>
    <t>-4.8623972</t>
  </si>
  <si>
    <t>-43.3571574</t>
  </si>
  <si>
    <t>https://www.google.com/maps/search/?api=1&amp;query=Thayn%C3%A1%20Neu%20Studio&amp;query_place_id=ChIJ6SJHWZ-TjgcR5f3u59OdhGE</t>
  </si>
  <si>
    <t>TÚLIO BARBER</t>
  </si>
  <si>
    <t>R. João de Deus Moreira Ramos, 334 - Piquizeiro, Caxias - MA, 65600-010, Brasil</t>
  </si>
  <si>
    <t>-4.8569751</t>
  </si>
  <si>
    <t>-43.3567942</t>
  </si>
  <si>
    <t>https://www.google.com/maps/search/?api=1&amp;query=T%C3%9ALIO%20BARBER&amp;query_place_id=ChIJ67GhADqTjgcRHaegqRUE_Q0</t>
  </si>
  <si>
    <t>Studio Lutelles</t>
  </si>
  <si>
    <t>+55 99 98832-9047</t>
  </si>
  <si>
    <t>+5599988329047</t>
  </si>
  <si>
    <t>R. Conselheiro Furtado, 358 - Centro, Caxias - MA, 65607-340, Brasil</t>
  </si>
  <si>
    <t>-4.8658291</t>
  </si>
  <si>
    <t>-43.3630559</t>
  </si>
  <si>
    <t>https://www.google.com/maps/search/?api=1&amp;query=Studio%20Lutelles&amp;query_place_id=ChIJzabN5jORjgcRBS3Km1D-K5U</t>
  </si>
  <si>
    <t>Barbearia Salvatore</t>
  </si>
  <si>
    <t>Tv. Padre Gerosa, 1150 - Centro, Caxias - MA, 65602-080, Brasil</t>
  </si>
  <si>
    <t>-4.8573514</t>
  </si>
  <si>
    <t>-43.3575074</t>
  </si>
  <si>
    <t>https://www.google.com/maps/search/?api=1&amp;query=Barbearia%20Salvatore&amp;query_place_id=ChIJa7hgyyeSjgcRltxiVDAqC6M</t>
  </si>
  <si>
    <t>Dra. Sobrancelhas Design</t>
  </si>
  <si>
    <t>+55 99 98271-7502</t>
  </si>
  <si>
    <t>+5599982717502</t>
  </si>
  <si>
    <t>R. João de Deus Moreira Ramos, 381 - Centro, Caxias - MA, 65602-140, Brasil</t>
  </si>
  <si>
    <t>-4.8571453</t>
  </si>
  <si>
    <t>-43.3564135</t>
  </si>
  <si>
    <t>https://www.google.com/maps/search/?api=1&amp;query=Dra.%20Sobrancelhas%20Design&amp;query_place_id=ChIJ2aForyeSjgcRKQjj14OP9l0</t>
  </si>
  <si>
    <t>Marcia Cabelos</t>
  </si>
  <si>
    <t>R. Raimundo Severo Magalhães, 211 - Centro, Caxias - MA, 65608-075, Brasil</t>
  </si>
  <si>
    <t>-4.8576764</t>
  </si>
  <si>
    <t>-43.3633688</t>
  </si>
  <si>
    <t>https://www.google.com/maps/search/?api=1&amp;query=Marcia%20Cabelos&amp;query_place_id=ChIJBYXS2CuSjgcREQiM5ghkKNs</t>
  </si>
  <si>
    <t>Studio KT nails</t>
  </si>
  <si>
    <t>+55 99 99229-2592</t>
  </si>
  <si>
    <t>+5599992292592</t>
  </si>
  <si>
    <t>R. Nossa Sra. da Conceição, Q11 - C95 - Mutirão, Caxias - MA, 65604-830, Brasil</t>
  </si>
  <si>
    <t>-4.8642539</t>
  </si>
  <si>
    <t>-43.3367775</t>
  </si>
  <si>
    <t>https://www.google.com/maps/search/?api=1&amp;query=Studio%20KT%20nails&amp;query_place_id=ChIJ6zLwPACTjgcR0qoN1xoX634</t>
  </si>
  <si>
    <t>Nayara Fernandes Studio</t>
  </si>
  <si>
    <t>+55 99 98141-1894</t>
  </si>
  <si>
    <t>+5599981411894</t>
  </si>
  <si>
    <t>R. Nossa Sra. da Conceição - Mutirão, Caxias - MA, 65604-830, Brasil</t>
  </si>
  <si>
    <t>-4.8643876</t>
  </si>
  <si>
    <t>-43.3368526</t>
  </si>
  <si>
    <t>https://www.google.com/maps/search/?api=1&amp;query=Nayara%20Fernandes%20Studio&amp;query_place_id=ChIJxwAxmKyTjgcRveEIKoZBjD0</t>
  </si>
  <si>
    <t>Studio Myriam Thawane</t>
  </si>
  <si>
    <t>+55 99 98855-3808</t>
  </si>
  <si>
    <t>+5599988553808</t>
  </si>
  <si>
    <t>R. Pedreiras, 1000 - Vila Lobao, Caxias - MA, 65605-550, Brasil</t>
  </si>
  <si>
    <t>-4.8780132</t>
  </si>
  <si>
    <t>-43.3466781</t>
  </si>
  <si>
    <t>https://www.google.com/maps/search/?api=1&amp;query=Studio%20Myriam%20Thawane&amp;query_place_id=ChIJfeG0XueTjgcR0yaoTV1U0CA</t>
  </si>
  <si>
    <t>Salão luna cabelos</t>
  </si>
  <si>
    <t>R. Sen. Clodomir Cardoso - Cangalheiro, Caxias - MA, 65606-530, Brasil</t>
  </si>
  <si>
    <t>-4.8720008</t>
  </si>
  <si>
    <t>-43.3588379</t>
  </si>
  <si>
    <t>https://www.google.com/maps/search/?api=1&amp;query=Sal%C3%A3o%20luna%20cabelos&amp;query_place_id=ChIJY9IBUwCTjgcRaN6Hzzhf-UY</t>
  </si>
  <si>
    <t>Sophia Esmalteria - Hotel Alecrim</t>
  </si>
  <si>
    <t>+55 99 98202-9545</t>
  </si>
  <si>
    <t>+5599982029545</t>
  </si>
  <si>
    <t>Prédio do Hotel Alecrim - Av. Sen. Alexandre Costa, 06 - Vila Alecrim, Caxias - MA, 65605-515, Brasil</t>
  </si>
  <si>
    <t>-4.8702811</t>
  </si>
  <si>
    <t>-43.3480945</t>
  </si>
  <si>
    <t>https://www.google.com/maps/search/?api=1&amp;query=Sophia%20Esmalteria%20-%20Hotel%20Alecrim&amp;query_place_id=ChIJf9iYcRWSjgcRKTxGEVVOVzg</t>
  </si>
  <si>
    <t>Spa dos pés Esmalteria CX</t>
  </si>
  <si>
    <t>+55 99 98855-9334</t>
  </si>
  <si>
    <t>+5599988559334</t>
  </si>
  <si>
    <t>1A Travessa Santo Antônio, 1617 - João Viana, Caxias - MA, 65605-010, Brasil</t>
  </si>
  <si>
    <t>-4.8677773</t>
  </si>
  <si>
    <t>-43.3357145</t>
  </si>
  <si>
    <t>https://www.google.com/maps/search/?api=1&amp;query=Spa%20dos%20p%C3%A9s%20Esmalteria%20CX&amp;query_place_id=ChIJUYCUGwCTjgcRDs37fA-3Xag</t>
  </si>
  <si>
    <t>Suzy studio</t>
  </si>
  <si>
    <t>R. Ernesto Geisel, 1262 - Campo de Belem, Caxias - MA, 65609-560, Brasil</t>
  </si>
  <si>
    <t>-4.8768387</t>
  </si>
  <si>
    <t>-43.3733309</t>
  </si>
  <si>
    <t>https://www.google.com/maps/search/?api=1&amp;query=Suzy%20studio&amp;query_place_id=ChIJsS8yHgCTjgcRTI1F7-CB5wc</t>
  </si>
  <si>
    <t>Rayssah Cabelos</t>
  </si>
  <si>
    <t>+55 99 98819-4361</t>
  </si>
  <si>
    <t>+5599988194361</t>
  </si>
  <si>
    <t>Rua 10 quadra 20 casa 01 Pampulha - Itapecuruzinho, Caxias - MA, 65607-793, Brasil</t>
  </si>
  <si>
    <t>-4.8888096</t>
  </si>
  <si>
    <t>-43.3560358</t>
  </si>
  <si>
    <t>https://www.google.com/maps/search/?api=1&amp;query=Rayssah%20Cabelos&amp;query_place_id=ChIJhfnPO-mTjgcRKiKguO-6c9U</t>
  </si>
  <si>
    <t>Tamyres Cavalcante Studio De Beleza</t>
  </si>
  <si>
    <t>Av. Édson Lobão, 2501 - Volta Redonda, Caxias - MA, 65606-690, Brasil</t>
  </si>
  <si>
    <t>-4.8825376</t>
  </si>
  <si>
    <t>-43.3547003</t>
  </si>
  <si>
    <t>https://www.google.com/maps/search/?api=1&amp;query=Tamyres%20Cavalcante%20Studio%20De%20Beleza&amp;query_place_id=ChIJyf9C6FuSjgcR2o0X2N41RGI</t>
  </si>
  <si>
    <t>Studio Valquiria Alves</t>
  </si>
  <si>
    <t>R. Parnarama, 1486 - Nova Caxias, Caxias - MA, 65605-501, Brasil</t>
  </si>
  <si>
    <t>-4.878016</t>
  </si>
  <si>
    <t>-43.3456796</t>
  </si>
  <si>
    <t>https://www.google.com/maps/search/?api=1&amp;query=Studio%20Valquiria%20Alves&amp;query_place_id=ChIJR2BG_YOTjgcRgcKLBKmDJ-w</t>
  </si>
  <si>
    <t>Kevelyn Nails</t>
  </si>
  <si>
    <t>+55 99 98123-3314</t>
  </si>
  <si>
    <t>+5599981233314</t>
  </si>
  <si>
    <t>R. do Paulistão, 660 - Caldeirões Pirajá, Caxias - MA, 65600-970, Brasil</t>
  </si>
  <si>
    <t>-4.8689072</t>
  </si>
  <si>
    <t>-43.3829414</t>
  </si>
  <si>
    <t>https://www.google.com/maps/search/?api=1&amp;query=Kevelyn%20Nails&amp;query_place_id=ChIJy7Rp1jqTjgcRmJud7RR197I</t>
  </si>
  <si>
    <t>NALVA CABELOS</t>
  </si>
  <si>
    <t>R. Ernesto Geisel, 1190 - Campo de Belem, Caxias - MA, 65609-140, Brasil</t>
  </si>
  <si>
    <t>-4.8768349</t>
  </si>
  <si>
    <t>-43.3726907</t>
  </si>
  <si>
    <t>https://www.google.com/maps/search/?api=1&amp;query=NALVA%20CABELOS&amp;query_place_id=ChIJdd8ZH7KTjgcRURQ4wMMtFUs</t>
  </si>
  <si>
    <t>Fran Studio de Beleza</t>
  </si>
  <si>
    <t>R. da Coheb, 928 - Vila Sao Jose, Caxias - MA, 65606-760, Brasil</t>
  </si>
  <si>
    <t>-4.8782702</t>
  </si>
  <si>
    <t>-43.3488715</t>
  </si>
  <si>
    <t>https://www.google.com/maps/search/?api=1&amp;query=Fran%20Studio%20de%20Beleza&amp;query_place_id=ChIJ2VgLnUKSjgcRILsOJSqmgUY</t>
  </si>
  <si>
    <t>Studio Naianne Silva</t>
  </si>
  <si>
    <t>R. Frei Serafim, 660 - Nova Caxias, Caxias - MA, 65605-195, Brasil</t>
  </si>
  <si>
    <t>-4.8635277</t>
  </si>
  <si>
    <t>-43.3481789</t>
  </si>
  <si>
    <t>https://www.google.com/maps/search/?api=1&amp;query=Studio%20Naianne%20Silva&amp;query_place_id=ChIJ7arcIgCTjgcRIX8Z4qbJcUk</t>
  </si>
  <si>
    <t>Studio Rayele Soares</t>
  </si>
  <si>
    <t>+55 99 98124-8049</t>
  </si>
  <si>
    <t>+5599981248049</t>
  </si>
  <si>
    <t>Av. Sete, quadra 29 - COHAB, Caxias - MA, 65604-660, Brasil</t>
  </si>
  <si>
    <t>-4.8701366</t>
  </si>
  <si>
    <t>-43.3390345</t>
  </si>
  <si>
    <t>https://www.google.com/maps/search/?api=1&amp;query=Studio%20Rayele%20Soares&amp;query_place_id=ChIJJXwOZamTjgcRkyMUCwDKnnM</t>
  </si>
  <si>
    <t>Studio Ribeiro oficial</t>
  </si>
  <si>
    <t>+55 99 98198-3802</t>
  </si>
  <si>
    <t>+5599981983802</t>
  </si>
  <si>
    <t>R. da Coheb, 1844 - Vila Sao Jose, Caxias - MA, 65606-760, Brasil</t>
  </si>
  <si>
    <t>-4.8864512</t>
  </si>
  <si>
    <t>-43.3473903</t>
  </si>
  <si>
    <t>https://www.google.com/maps/search/?api=1&amp;query=Studio%20Ribeiro%20oficial&amp;query_place_id=ChIJC7ZREDCTjgcRmUwFhbbt7RI</t>
  </si>
  <si>
    <t>Studio Monycamakeup_</t>
  </si>
  <si>
    <t>+55 99 98159-5021</t>
  </si>
  <si>
    <t>+5599981595021</t>
  </si>
  <si>
    <t>Av. Sete, 30D - QD 19 - COHAB, Caxias - MA, 65604-660, Brasil</t>
  </si>
  <si>
    <t>-4.8695018</t>
  </si>
  <si>
    <t>-43.34031</t>
  </si>
  <si>
    <t>https://www.google.com/maps/search/?api=1&amp;query=Studio%20Monycamakeup_&amp;query_place_id=ChIJTzkBNK6TjgcRJf6v5buS8bU</t>
  </si>
  <si>
    <t>Salão lunna cabelos</t>
  </si>
  <si>
    <t>R. Prof. Leôncio Magno - Volta Redonda, Caxias - MA, 65606-720, Brasil</t>
  </si>
  <si>
    <t>-4.8825716</t>
  </si>
  <si>
    <t>-43.3511452</t>
  </si>
  <si>
    <t>https://www.google.com/maps/search/?api=1&amp;query=Sal%C3%A3o%20lunna%20cabelos&amp;query_place_id=ChIJBbljfQCTjgcRlys4NXuTDas</t>
  </si>
  <si>
    <t>Jacy_sousa nail designer</t>
  </si>
  <si>
    <t>+55 99 98819-2813</t>
  </si>
  <si>
    <t>+5599988192813</t>
  </si>
  <si>
    <t>Rua 05, Qd 06 - casa 117 - Caldeirões Pirajá, Caxias - MA, 65608-746, Brasil</t>
  </si>
  <si>
    <t>-4.875862</t>
  </si>
  <si>
    <t>-43.389043</t>
  </si>
  <si>
    <t>https://www.google.com/maps/search/?api=1&amp;query=Jacy_sousa%20nail%20designer&amp;query_place_id=ChIJS6qy76iTjgcR7iM6I6PYGpM</t>
  </si>
  <si>
    <t>Manu | Nail design</t>
  </si>
  <si>
    <t>+55 99 98401-7477</t>
  </si>
  <si>
    <t>+5599984017477</t>
  </si>
  <si>
    <t>R. da Sulina - tamarineiro, Caxias - MA, 65607-240, Brasil</t>
  </si>
  <si>
    <t>-4.862652</t>
  </si>
  <si>
    <t>-43.376902</t>
  </si>
  <si>
    <t>https://www.google.com/maps/search/?api=1&amp;query=Manu%20%7C%20Nail%20design&amp;query_place_id=ChIJqVcL67STjgcR138fQOv0Xkk</t>
  </si>
  <si>
    <t>Studio Geovana Sobrancelhas</t>
  </si>
  <si>
    <t>+55 99 98509-4592</t>
  </si>
  <si>
    <t>+5599985094592</t>
  </si>
  <si>
    <t>R. Sen. Clodomir Cardoso, 2519 - Cangalheiro, Caxias - MA, 65606-530, Brasil</t>
  </si>
  <si>
    <t>-4.8739048</t>
  </si>
  <si>
    <t>-43.3576165</t>
  </si>
  <si>
    <t>https://www.google.com/maps/search/?api=1&amp;query=Studio%20Geovana%20Sobrancelhas&amp;query_place_id=ChIJ8dRmF1KTjgcR1Xv2l4jzYW8</t>
  </si>
  <si>
    <t>Livya.nailsdsigner</t>
  </si>
  <si>
    <t>+55 99 98160-4144</t>
  </si>
  <si>
    <t>+5599981604144</t>
  </si>
  <si>
    <t>R. Heráclito Noronha, 43 - Salobro, Caxias - MA, 65609-527, Brasil</t>
  </si>
  <si>
    <t>-4.8848045</t>
  </si>
  <si>
    <t>-43.365557</t>
  </si>
  <si>
    <t>https://www.google.com/maps/search/?api=1&amp;query=Livya.nailsdsigner&amp;query_place_id=ChIJZen2GBWTjgcRTTebAbUgkiA</t>
  </si>
  <si>
    <t>Fran e Lu Unhas Decoradas</t>
  </si>
  <si>
    <t>+55 99 98453-2471</t>
  </si>
  <si>
    <t>+5599984532471</t>
  </si>
  <si>
    <t>R. da Coheb, 1946 - Vila Sao Jose, Caxias - MA, 65606-760, Brasil</t>
  </si>
  <si>
    <t>-4.8873825</t>
  </si>
  <si>
    <t>-43.3472455</t>
  </si>
  <si>
    <t>https://www.google.com/maps/search/?api=1&amp;query=Fran%20e%20Lu%20Unhas%20Decoradas&amp;query_place_id=ChIJs2S-ydmTjgcROJQSaD_038M</t>
  </si>
  <si>
    <t>Claudia cabelos</t>
  </si>
  <si>
    <t>+55 99 99645-3265</t>
  </si>
  <si>
    <t>+5599996453265</t>
  </si>
  <si>
    <t>Francisco vila nova - R. Maria do Rosário - São Pedro, Caxias - MA, 65605-510, Brasil</t>
  </si>
  <si>
    <t>-4.8767369</t>
  </si>
  <si>
    <t>-43.3762796</t>
  </si>
  <si>
    <t>https://www.google.com/maps/search/?api=1&amp;query=Claudia%20cabelos&amp;query_place_id=ChIJ6xZp2dOTjgcRCitYYSa_Ong</t>
  </si>
  <si>
    <t>Vilma santana nails</t>
  </si>
  <si>
    <t>R. Treze de Maio, 1607 - Mutirão, Caxias - MA, 65604-410, Brasil</t>
  </si>
  <si>
    <t>-4.8621949</t>
  </si>
  <si>
    <t>-43.3398765</t>
  </si>
  <si>
    <t>https://www.google.com/maps/search/?api=1&amp;query=Vilma%20santana%20nails&amp;query_place_id=ChIJO9MSS9-TjgcRs06TYOtjKls</t>
  </si>
  <si>
    <t>NF MANICURE</t>
  </si>
  <si>
    <t>+55 99 98807-4644</t>
  </si>
  <si>
    <t>+5599988074644</t>
  </si>
  <si>
    <t>R. Nossa Sra. da Conceição, 423 - Cj - Mutirão, Caxias - MA, 65604-830, Brasil</t>
  </si>
  <si>
    <t>-4.8641407</t>
  </si>
  <si>
    <t>-43.3367922</t>
  </si>
  <si>
    <t>https://www.google.com/maps/search/?api=1&amp;query=NF%20MANICURE&amp;query_place_id=ChIJnzXN5FmTjgcRU9bjjW6olag</t>
  </si>
  <si>
    <t>Ligiane Araújo a Beauty</t>
  </si>
  <si>
    <t>+55 99 98126-9857</t>
  </si>
  <si>
    <t>+5599981269857</t>
  </si>
  <si>
    <t>Av. Benjamin Constant, 1638 - Nova Caxias, Caxias - MA, 65604-260, Brasil</t>
  </si>
  <si>
    <t>-4.8664647</t>
  </si>
  <si>
    <t>-43.3440942</t>
  </si>
  <si>
    <t>https://www.google.com/maps/search/?api=1&amp;query=Ligiane%20Ara%C3%BAjo%20a%20Beauty&amp;query_place_id=ChIJO18700iTjgcRhjpafYLd7Rs</t>
  </si>
  <si>
    <t>Lash Designer - Luciene Silva</t>
  </si>
  <si>
    <t>+55 99 98105-1511</t>
  </si>
  <si>
    <t>+5599981051511</t>
  </si>
  <si>
    <t>R. Mal. Costa E Silva - Salobro, Caxias - MA, 65609-590, Brasil</t>
  </si>
  <si>
    <t>-4.8853101</t>
  </si>
  <si>
    <t>-43.3706527</t>
  </si>
  <si>
    <t>https://www.google.com/maps/search/?api=1&amp;query=Lash%20Designer%20-%20Luciene%20Silva&amp;query_place_id=ChIJgXn9fPOTjgcRhuhUxJnphXs</t>
  </si>
  <si>
    <t>Espacco Fashion Hair</t>
  </si>
  <si>
    <t>-4.8835183</t>
  </si>
  <si>
    <t>-43.3494891</t>
  </si>
  <si>
    <t>https://www.google.com/maps/search/?api=1&amp;query=Espacco%20Fashion%20Hair&amp;query_place_id=ChIJPYAfCF6SjgcRcs-L707VJ04</t>
  </si>
  <si>
    <t>Kauu_nhas</t>
  </si>
  <si>
    <t>+55 99 98811-6292</t>
  </si>
  <si>
    <t>+5599988116292</t>
  </si>
  <si>
    <t>Rua 14 de maio QC8, casa 07 - Vila paraiso, Caxias - MA, 65606-817, Brasil</t>
  </si>
  <si>
    <t>-4.8912902</t>
  </si>
  <si>
    <t>-43.3283018</t>
  </si>
  <si>
    <t>https://www.google.com/maps/search/?api=1&amp;query=Kauu_nhas&amp;query_place_id=ChIJH4S7mG2NjgcRyBKxzHKXQEU</t>
  </si>
  <si>
    <t>Studio Myllena nail designer</t>
  </si>
  <si>
    <t>+55 99 99651-5289</t>
  </si>
  <si>
    <t>+5599996515289</t>
  </si>
  <si>
    <t>R. Natal - João Viana, Caxias - MA, 65605-040, Brasil</t>
  </si>
  <si>
    <t>-4.8670484</t>
  </si>
  <si>
    <t>-43.3335224</t>
  </si>
  <si>
    <t>https://www.google.com/maps/search/?api=1&amp;query=Studio%20Myllena%20nail%20designer&amp;query_place_id=ChIJM7mOusyTjgcRJdz9_RlAG3g</t>
  </si>
  <si>
    <t>Ana Paula unhas</t>
  </si>
  <si>
    <t>+55 99 98547-8554</t>
  </si>
  <si>
    <t>+5599985478554</t>
  </si>
  <si>
    <t>R. Ernesto Geisel, 1343 - Campo de Belem, Caxias - MA, 65609-140, Brasil</t>
  </si>
  <si>
    <t>-4.8772033</t>
  </si>
  <si>
    <t>-43.3740999</t>
  </si>
  <si>
    <t>https://www.google.com/maps/search/?api=1&amp;query=Ana%20Paula%20unhas&amp;query_place_id=ChIJS3z-JACTjgcRqAE7Bz7qJs8</t>
  </si>
  <si>
    <t>Luana Farias Studio Caxias-MA</t>
  </si>
  <si>
    <t>+55 98 98101-3782</t>
  </si>
  <si>
    <t>+5598981013782</t>
  </si>
  <si>
    <t>Por trás do Campo - R. dos Caldeirões, 496 - Caldeirões, Caxias - MA, 65607-305, Brasil</t>
  </si>
  <si>
    <t>-4.8567492</t>
  </si>
  <si>
    <t>-43.3693683</t>
  </si>
  <si>
    <t>https://www.google.com/maps/search/?api=1&amp;query=Luana%20Farias%20Studio%20Caxias-MA&amp;query_place_id=ChIJEwTv1c6TjgcRDgvZDAncRD4</t>
  </si>
  <si>
    <t>Bianca unhas</t>
  </si>
  <si>
    <t>+55 99 98461-0075</t>
  </si>
  <si>
    <t>+5599984610075</t>
  </si>
  <si>
    <t>R. São José - Trizidela, Caxias - MA, 65607-440, Brasil</t>
  </si>
  <si>
    <t>-4.8705077</t>
  </si>
  <si>
    <t>-43.3728731</t>
  </si>
  <si>
    <t>https://www.google.com/maps/search/?api=1&amp;query=Bianca%20unhas&amp;query_place_id=ChIJsVuxvQuTjgcRA0HAvyedaaw</t>
  </si>
  <si>
    <t>WalXimenes Desingner de Unhas</t>
  </si>
  <si>
    <t>R. Vespasiano Ramos, 1158 - Ponte, Caxias - MA, 65609-410, Brasil</t>
  </si>
  <si>
    <t>-4.8788816</t>
  </si>
  <si>
    <t>-43.3638307</t>
  </si>
  <si>
    <t>https://www.google.com/maps/search/?api=1&amp;query=WalXimenes%20Desingner%20de%20Unhas&amp;query_place_id=ChIJTVnpNQCTjgcR5Bxt_oMhDrU</t>
  </si>
  <si>
    <t>Hanna Esmalteria</t>
  </si>
  <si>
    <t>+55 99 98831-3124</t>
  </si>
  <si>
    <t>+5599988313124</t>
  </si>
  <si>
    <t>3A Travessa São José - Trizidela, Caxias - MA, 65607, Brasil</t>
  </si>
  <si>
    <t>-4.8691148</t>
  </si>
  <si>
    <t>-43.3749335</t>
  </si>
  <si>
    <t>https://www.google.com/maps/search/?api=1&amp;query=Hanna%20Esmalteria&amp;query_place_id=ChIJU2GLg8WTjgcR58uIkw7KPPk</t>
  </si>
  <si>
    <t>Joyce Furtado &amp; Loren Borges Makeup Beauty</t>
  </si>
  <si>
    <t>Centro, Caxias - MA, Brasil</t>
  </si>
  <si>
    <t>-4.8564616</t>
  </si>
  <si>
    <t>-43.3545396</t>
  </si>
  <si>
    <t>https://www.google.com/maps/search/?api=1&amp;query=Joyce%20Furtado%20%26%20Loren%20Borges%20Makeup%20Beauty&amp;query_place_id=ChIJnd5PQSeSjgcR0ItjHR3pWAY</t>
  </si>
  <si>
    <t>Brenda sobrancelhas</t>
  </si>
  <si>
    <t>+55 99 98856-9586</t>
  </si>
  <si>
    <t>+5599988569586</t>
  </si>
  <si>
    <t>R. da Balaiada - Pampulha, Caxias - MA, 65606-816, Brasil</t>
  </si>
  <si>
    <t>-4.8898773</t>
  </si>
  <si>
    <t>-43.3269984</t>
  </si>
  <si>
    <t>https://www.google.com/maps/search/?api=1&amp;query=Brenda%20sobrancelhas&amp;query_place_id=ChIJFbx4ZkONjgcRCba5Qh1-87Q</t>
  </si>
  <si>
    <t>Salão Novovisual O Raimundo Cabelo</t>
  </si>
  <si>
    <t>Cangalheiro, Caxias - MA, 65606-580, Brasil</t>
  </si>
  <si>
    <t>-4.8673268</t>
  </si>
  <si>
    <t>-43.3611306</t>
  </si>
  <si>
    <t>https://www.google.com/maps/search/?api=1&amp;query=Sal%C3%A3o%20Novovisual%20O%20Raimundo%20Cabelo&amp;query_place_id=ChIJw0001zaSjgcRDRkHe5loK7Q</t>
  </si>
  <si>
    <t>Fran unhas</t>
  </si>
  <si>
    <t>+55 99 98466-0122</t>
  </si>
  <si>
    <t>+5599984660122</t>
  </si>
  <si>
    <t>R. Maria do Rosário, 1241 - Campo de Belem, Caxias - MA, 65609-000, Brasil</t>
  </si>
  <si>
    <t>-4.87267</t>
  </si>
  <si>
    <t>-43.3716287</t>
  </si>
  <si>
    <t>https://www.google.com/maps/search/?api=1&amp;query=Fran%20unhas&amp;query_place_id=ChIJewOn0zqTjgcRE27DWKgF-pY</t>
  </si>
  <si>
    <t>https://www.google.com/maps/search/?api=1&amp;query=Sal%C3%A3o%20Retrato%20da%20Beleza&amp;query_place_id=ChIJUSgV86tPYi8RLGm8515_K78</t>
  </si>
  <si>
    <t>Centro de Beleza Aline</t>
  </si>
  <si>
    <t>R. do Espírito Santo, 1212 - Cangalheiro, Caxias - MA, 65606-290, Brasil</t>
  </si>
  <si>
    <t>-4.8759929</t>
  </si>
  <si>
    <t>-43.3557102</t>
  </si>
  <si>
    <t>https://www.google.com/maps/search/?api=1&amp;query=Centro%20de%20Beleza%20Aline&amp;query_place_id=ChIJaSpkbACTjgcR8EdHi_zmpZY</t>
  </si>
  <si>
    <t>Elizeu Cabelos</t>
  </si>
  <si>
    <t>R. José Tadeu, 1965 - Campo de Belem, Caxias - MA, 65609-180, Brasil</t>
  </si>
  <si>
    <t>-4.8824894</t>
  </si>
  <si>
    <t>-43.3735923</t>
  </si>
  <si>
    <t>https://www.google.com/maps/search/?api=1&amp;query=Elizeu%20Cabelos&amp;query_place_id=ChIJp06UQqmTjgcRD-HQKidaajo</t>
  </si>
  <si>
    <t>Lívia Chagas Hair</t>
  </si>
  <si>
    <t>+55 99 98146-1751</t>
  </si>
  <si>
    <t>+5599981461751</t>
  </si>
  <si>
    <t>R. Frei Serafim - Nova Caxias, Caxias - MA, 65604-340, Brasil</t>
  </si>
  <si>
    <t>-4.8637555</t>
  </si>
  <si>
    <t>-43.3461674</t>
  </si>
  <si>
    <t>https://www.google.com/maps/search/?api=1&amp;query=L%C3%ADvia%20Chagas%20Hair&amp;query_place_id=ChIJoY2ZkN-TjgcRMBygi4bczK0</t>
  </si>
  <si>
    <t>SALÃO JR</t>
  </si>
  <si>
    <t>+55 86 99452-2685</t>
  </si>
  <si>
    <t>+5586994522685</t>
  </si>
  <si>
    <t>Povoado canto virado, Caxias - MA, 65600-010, Brasil</t>
  </si>
  <si>
    <t>-4.7115351</t>
  </si>
  <si>
    <t>-42.9529559</t>
  </si>
  <si>
    <t>https://www.google.com/maps/search/?api=1&amp;query=SAL%C3%83O%20JR&amp;query_place_id=ChIJXQSzvoyTjgcR_NT3XRI5KKw</t>
  </si>
  <si>
    <t>Espaço Cuidar</t>
  </si>
  <si>
    <t>R. 16, Quadra 08 - Casa 04 - COHAB, Caxias - MA, 65604-640, Brasil</t>
  </si>
  <si>
    <t>-4.8672495</t>
  </si>
  <si>
    <t>-43.3372344</t>
  </si>
  <si>
    <t>https://www.google.com/maps/search/?api=1&amp;query=Espa%C3%A7o%20Cuidar&amp;query_place_id=ChIJLz8sHwCTjgcRbQATbFhgfBM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</si>
</sst>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Studio%20AR%20Beauty%20Caxias&amp;query_place_id=ChIJOZrIzpuTjgcRn55vECv5P0c" TargetMode="External"/><Relationship Id="rId190" Type="http://schemas.openxmlformats.org/officeDocument/2006/relationships/hyperlink" Target="https://www.google.com/maps/search/?api=1&amp;query=Fran%20Studio%20de%20Beleza&amp;query_place_id=ChIJ2VgLnUKSjgcRILsOJSqmgUY" TargetMode="External"/><Relationship Id="rId42" Type="http://schemas.openxmlformats.org/officeDocument/2006/relationships/hyperlink" Target="https://www.google.com/maps/search/?api=1&amp;query=Sal%C3%A3o%20Lima%20fashion&amp;query_place_id=ChIJZVRoVAWRjgcR3FeED02-bPQ" TargetMode="External"/><Relationship Id="rId41" Type="http://schemas.openxmlformats.org/officeDocument/2006/relationships/hyperlink" Target="https://www.google.com/maps/search/?api=1&amp;query=KSSIA%20Fernandes%20Beleza%20%26%20Estetica&amp;query_place_id=ChIJI-3bxlyRjgcRWdQDNVztyz8" TargetMode="External"/><Relationship Id="rId44" Type="http://schemas.openxmlformats.org/officeDocument/2006/relationships/hyperlink" Target="https://www.google.com/maps/search/?api=1&amp;query=Fabiane%20karine%20Studio%20de%20Beleza&amp;query_place_id=ChIJyezmAi-TjgcRjcasPgd9Th0" TargetMode="External"/><Relationship Id="rId194" Type="http://schemas.openxmlformats.org/officeDocument/2006/relationships/hyperlink" Target="https://www.google.com/maps/search/?api=1&amp;query=Studio%20Monycamakeup_&amp;query_place_id=ChIJTzkBNK6TjgcRJf6v5buS8bU" TargetMode="External"/><Relationship Id="rId43" Type="http://schemas.openxmlformats.org/officeDocument/2006/relationships/hyperlink" Target="https://www.google.com/maps/search/?api=1&amp;query=Dalva%20Siqueira%20studio%20de%20beleza&amp;query_place_id=ChIJ_ep4v_yTjgcRqd_v1A-DE1s" TargetMode="External"/><Relationship Id="rId193" Type="http://schemas.openxmlformats.org/officeDocument/2006/relationships/hyperlink" Target="https://www.google.com/maps/search/?api=1&amp;query=Studio%20Ribeiro%20oficial&amp;query_place_id=ChIJC7ZREDCTjgcRmUwFhbbt7RI" TargetMode="External"/><Relationship Id="rId46" Type="http://schemas.openxmlformats.org/officeDocument/2006/relationships/hyperlink" Target="https://www.google.com/maps/search/?api=1&amp;query=Studio%20Luiza%20Santos&amp;query_place_id=ChIJP-5SfHGTjgcRlI5uoOYNVrQ" TargetMode="External"/><Relationship Id="rId192" Type="http://schemas.openxmlformats.org/officeDocument/2006/relationships/hyperlink" Target="https://www.google.com/maps/search/?api=1&amp;query=Studio%20Rayele%20Soares&amp;query_place_id=ChIJJXwOZamTjgcRkyMUCwDKnnM" TargetMode="External"/><Relationship Id="rId45" Type="http://schemas.openxmlformats.org/officeDocument/2006/relationships/hyperlink" Target="https://www.google.com/maps/search/?api=1&amp;query=Studio%20de%20Beleza%20Marquinhos&amp;query_place_id=ChIJU1XYhxCTjgcRM-c5fTIiS_A" TargetMode="External"/><Relationship Id="rId191" Type="http://schemas.openxmlformats.org/officeDocument/2006/relationships/hyperlink" Target="https://www.google.com/maps/search/?api=1&amp;query=Studio%20Naianne%20Silva&amp;query_place_id=ChIJ7arcIgCTjgcRIX8Z4qbJcUk" TargetMode="External"/><Relationship Id="rId48" Type="http://schemas.openxmlformats.org/officeDocument/2006/relationships/hyperlink" Target="https://www.google.com/maps/search/?api=1&amp;query=STUDIO%20PATR%C3%8DCIA%20ALVES&amp;query_place_id=ChIJHz6Dqv2RjgcR9Y2ubpkyuSk" TargetMode="External"/><Relationship Id="rId187" Type="http://schemas.openxmlformats.org/officeDocument/2006/relationships/hyperlink" Target="https://www.google.com/maps/search/?api=1&amp;query=Studio%20Valquiria%20Alves&amp;query_place_id=ChIJR2BG_YOTjgcRgcKLBKmDJ-w" TargetMode="External"/><Relationship Id="rId47" Type="http://schemas.openxmlformats.org/officeDocument/2006/relationships/hyperlink" Target="https://www.google.com/maps/search/?api=1&amp;query=St%C3%BAdio%20De%20Beleza%20Od%C3%A1lia%20Sousa&amp;query_place_id=ChIJIeM0kyiSjgcRN0wAYcWs3FU" TargetMode="External"/><Relationship Id="rId186" Type="http://schemas.openxmlformats.org/officeDocument/2006/relationships/hyperlink" Target="https://www.google.com/maps/search/?api=1&amp;query=Tamyres%20Cavalcante%20Studio%20De%20Beleza&amp;query_place_id=ChIJyf9C6FuSjgcR2o0X2N41RGI" TargetMode="External"/><Relationship Id="rId185" Type="http://schemas.openxmlformats.org/officeDocument/2006/relationships/hyperlink" Target="https://www.google.com/maps/search/?api=1&amp;query=Rayssah%20Cabelos&amp;query_place_id=ChIJhfnPO-mTjgcRKiKguO-6c9U" TargetMode="External"/><Relationship Id="rId49" Type="http://schemas.openxmlformats.org/officeDocument/2006/relationships/hyperlink" Target="https://www.google.com/maps/search/?api=1&amp;query=Studio%20Sempre%20Bela&amp;query_place_id=ChIJaaKlAgCTjgcRruzQVDQ5or8" TargetMode="External"/><Relationship Id="rId184" Type="http://schemas.openxmlformats.org/officeDocument/2006/relationships/hyperlink" Target="https://www.google.com/maps/search/?api=1&amp;query=Suzy%20studio&amp;query_place_id=ChIJsS8yHgCTjgcRTI1F7-CB5wc" TargetMode="External"/><Relationship Id="rId189" Type="http://schemas.openxmlformats.org/officeDocument/2006/relationships/hyperlink" Target="https://www.google.com/maps/search/?api=1&amp;query=NALVA%20CABELOS&amp;query_place_id=ChIJdd8ZH7KTjgcRURQ4wMMtFUs" TargetMode="External"/><Relationship Id="rId188" Type="http://schemas.openxmlformats.org/officeDocument/2006/relationships/hyperlink" Target="https://www.google.com/maps/search/?api=1&amp;query=Kevelyn%20Nails&amp;query_place_id=ChIJy7Rp1jqTjgcRmJud7RR197I" TargetMode="External"/><Relationship Id="rId31" Type="http://schemas.openxmlformats.org/officeDocument/2006/relationships/hyperlink" Target="https://www.google.com/maps/search/?api=1&amp;query=LeidyCabelos&amp;query_place_id=ChIJ2Zixv6HJTggRDRvZYwxahJ0" TargetMode="External"/><Relationship Id="rId30" Type="http://schemas.openxmlformats.org/officeDocument/2006/relationships/hyperlink" Target="https://www.google.com/maps/search/?api=1&amp;query=Cabeleireiro%20Kilson&amp;query_place_id=ChIJ6yJbJbKTjgcRuZrOgmhW-B8" TargetMode="External"/><Relationship Id="rId33" Type="http://schemas.openxmlformats.org/officeDocument/2006/relationships/hyperlink" Target="https://www.google.com/maps/search/?api=1&amp;query=B.Beauty%20Sal%C3%A3o%20de%20Beleza&amp;query_place_id=ChIJP1kwEHGSjgcRk07zOG43DV4" TargetMode="External"/><Relationship Id="rId183" Type="http://schemas.openxmlformats.org/officeDocument/2006/relationships/hyperlink" Target="https://www.google.com/maps/search/?api=1&amp;query=Spa%20dos%20p%C3%A9s%20Esmalteria%20CX&amp;query_place_id=ChIJUYCUGwCTjgcRDs37fA-3Xag" TargetMode="External"/><Relationship Id="rId32" Type="http://schemas.openxmlformats.org/officeDocument/2006/relationships/hyperlink" Target="https://www.google.com/maps/search/?api=1&amp;query=Sal%C3%A3o%20Styllus%20%26%20Beleza&amp;query_place_id=ChIJocWTGEWTjgcRVreRA2JXvwI" TargetMode="External"/><Relationship Id="rId182" Type="http://schemas.openxmlformats.org/officeDocument/2006/relationships/hyperlink" Target="https://www.google.com/maps/search/?api=1&amp;query=Sophia%20Esmalteria%20-%20Hotel%20Alecrim&amp;query_place_id=ChIJf9iYcRWSjgcRKTxGEVVOVzg" TargetMode="External"/><Relationship Id="rId35" Type="http://schemas.openxmlformats.org/officeDocument/2006/relationships/hyperlink" Target="https://www.google.com/maps/search/?api=1&amp;query=Cantinho%20Da%20Beleza&amp;query_place_id=ChIJh7Ido9aTjgcRSVchcKqO-uM" TargetMode="External"/><Relationship Id="rId181" Type="http://schemas.openxmlformats.org/officeDocument/2006/relationships/hyperlink" Target="https://www.google.com/maps/search/?api=1&amp;query=Sal%C3%A3o%20luna%20cabelos&amp;query_place_id=ChIJY9IBUwCTjgcRaN6Hzzhf-UY" TargetMode="External"/><Relationship Id="rId34" Type="http://schemas.openxmlformats.org/officeDocument/2006/relationships/hyperlink" Target="https://www.google.com/maps/search/?api=1&amp;query=Sal%C3%A3o%20Luiza%20Fashion&amp;query_place_id=ChIJJdSZ50GSjgcRy-EqjS_Y3_c" TargetMode="External"/><Relationship Id="rId180" Type="http://schemas.openxmlformats.org/officeDocument/2006/relationships/hyperlink" Target="https://www.google.com/maps/search/?api=1&amp;query=Studio%20Myriam%20Thawane&amp;query_place_id=ChIJfeG0XueTjgcR0yaoTV1U0CA" TargetMode="External"/><Relationship Id="rId37" Type="http://schemas.openxmlformats.org/officeDocument/2006/relationships/hyperlink" Target="https://www.google.com/maps/search/?api=1&amp;query=Espa%C3%A7o%20Divas%20Esmalteria%20e%20Est%C3%A9tica&amp;query_place_id=ChIJVenDv-GTjgcRdyq9ZGWLkCU" TargetMode="External"/><Relationship Id="rId176" Type="http://schemas.openxmlformats.org/officeDocument/2006/relationships/hyperlink" Target="https://www.google.com/maps/search/?api=1&amp;query=Dra.%20Sobrancelhas%20Design&amp;query_place_id=ChIJ2aForyeSjgcRKQjj14OP9l0" TargetMode="External"/><Relationship Id="rId36" Type="http://schemas.openxmlformats.org/officeDocument/2006/relationships/hyperlink" Target="https://www.google.com/maps/search/?api=1&amp;query=Espa%C3%A7o%20Da%20Beleza%20Branca%20Cabelos&amp;query_place_id=ChIJyXSNHYqRjgcRKgev4laUBy8" TargetMode="External"/><Relationship Id="rId175" Type="http://schemas.openxmlformats.org/officeDocument/2006/relationships/hyperlink" Target="https://www.google.com/maps/search/?api=1&amp;query=Barbearia%20Salvatore&amp;query_place_id=ChIJa7hgyyeSjgcRltxiVDAqC6M" TargetMode="External"/><Relationship Id="rId39" Type="http://schemas.openxmlformats.org/officeDocument/2006/relationships/hyperlink" Target="https://www.google.com/maps/search/?api=1&amp;query=Top%20bronze&amp;query_place_id=ChIJG_MJZHWRjgcRFx9f3aXxQ40" TargetMode="External"/><Relationship Id="rId174" Type="http://schemas.openxmlformats.org/officeDocument/2006/relationships/hyperlink" Target="https://www.google.com/maps/search/?api=1&amp;query=Studio%20Lutelles&amp;query_place_id=ChIJzabN5jORjgcRBS3Km1D-K5U" TargetMode="External"/><Relationship Id="rId38" Type="http://schemas.openxmlformats.org/officeDocument/2006/relationships/hyperlink" Target="https://www.google.com/maps/search/?api=1&amp;query=Andr%C3%A9ia%20Sousa%20Est%C3%BAdio&amp;query_place_id=ChIJ2-oOPauTjgcREF8-REdzzJo" TargetMode="External"/><Relationship Id="rId173" Type="http://schemas.openxmlformats.org/officeDocument/2006/relationships/hyperlink" Target="https://www.google.com/maps/search/?api=1&amp;query=T%C3%9ALIO%20BARBER&amp;query_place_id=ChIJ67GhADqTjgcRHaegqRUE_Q0" TargetMode="External"/><Relationship Id="rId179" Type="http://schemas.openxmlformats.org/officeDocument/2006/relationships/hyperlink" Target="https://www.google.com/maps/search/?api=1&amp;query=Nayara%20Fernandes%20Studio&amp;query_place_id=ChIJxwAxmKyTjgcRveEIKoZBjD0" TargetMode="External"/><Relationship Id="rId178" Type="http://schemas.openxmlformats.org/officeDocument/2006/relationships/hyperlink" Target="https://www.google.com/maps/search/?api=1&amp;query=Studio%20KT%20nails&amp;query_place_id=ChIJ6zLwPACTjgcR0qoN1xoX634" TargetMode="External"/><Relationship Id="rId177" Type="http://schemas.openxmlformats.org/officeDocument/2006/relationships/hyperlink" Target="https://www.google.com/maps/search/?api=1&amp;query=Marcia%20Cabelos&amp;query_place_id=ChIJBYXS2CuSjgcREQiM5ghkKNs" TargetMode="External"/><Relationship Id="rId20" Type="http://schemas.openxmlformats.org/officeDocument/2006/relationships/hyperlink" Target="https://www.google.com/maps/search/?api=1&amp;query=Studio%20By%20Maria&amp;query_place_id=ChIJ2cAPbUiRjgcRZOnO3fEIRZ0" TargetMode="External"/><Relationship Id="rId22" Type="http://schemas.openxmlformats.org/officeDocument/2006/relationships/hyperlink" Target="https://www.google.com/maps/search/?api=1&amp;query=Dayse%20cabelos-%20caxias%20ma&amp;query_place_id=ChIJs4yeH3mRjgcRiNOmeMoJ2bU" TargetMode="External"/><Relationship Id="rId21" Type="http://schemas.openxmlformats.org/officeDocument/2006/relationships/hyperlink" Target="https://www.google.com/maps/search/?api=1&amp;query=Play%20Cabelos%20-%20O%20Melhor.&amp;query_place_id=ChIJa5lpvNOTjgcRi7tVKWXL1oU" TargetMode="External"/><Relationship Id="rId24" Type="http://schemas.openxmlformats.org/officeDocument/2006/relationships/hyperlink" Target="https://www.google.com/maps/search/?api=1&amp;query=Helen%20cabeleireira&amp;query_place_id=ChIJCVQ7Ew-TjgcRoQ2r_IbBf48" TargetMode="External"/><Relationship Id="rId23" Type="http://schemas.openxmlformats.org/officeDocument/2006/relationships/hyperlink" Target="https://www.google.com/maps/search/?api=1&amp;query=Studio%20MB%20hair&amp;query_place_id=ChIJXy5WW4KTjgcRXtuF9JncPY0" TargetMode="External"/><Relationship Id="rId26" Type="http://schemas.openxmlformats.org/officeDocument/2006/relationships/hyperlink" Target="https://www.google.com/maps/search/?api=1&amp;query=D%C3%A9bora%20Cabelos&amp;query_place_id=ChIJ47cNX-mTjgcR6sIfrkNwECw" TargetMode="External"/><Relationship Id="rId25" Type="http://schemas.openxmlformats.org/officeDocument/2006/relationships/hyperlink" Target="https://www.google.com/maps/search/?api=1&amp;query=Lurdinha%20cabeleireira&amp;query_place_id=ChIJj3Jl3tyTjgcR-vrfV2m5TKw" TargetMode="External"/><Relationship Id="rId28" Type="http://schemas.openxmlformats.org/officeDocument/2006/relationships/hyperlink" Target="https://www.google.com/maps/search/?api=1&amp;query=Dora%20Cabelos&amp;query_place_id=ChIJo3vj4l2SjgcRkQAPJUwWoAo" TargetMode="External"/><Relationship Id="rId27" Type="http://schemas.openxmlformats.org/officeDocument/2006/relationships/hyperlink" Target="https://www.google.com/maps/search/?api=1&amp;query=Sal%C3%A3o%20D'%20Angel%20Cabelos&amp;query_place_id=ChIJYwdgscqTjgcRudgleZ-a0Vw" TargetMode="External"/><Relationship Id="rId29" Type="http://schemas.openxmlformats.org/officeDocument/2006/relationships/hyperlink" Target="https://www.google.com/maps/search/?api=1&amp;query=MM%20Est%C3%BAdio%20de%20Beleza&amp;query_place_id=ChIJV6QA2jiSjgcRRl8xAtEnWXU" TargetMode="External"/><Relationship Id="rId11" Type="http://schemas.openxmlformats.org/officeDocument/2006/relationships/hyperlink" Target="https://www.google.com/maps/search/?api=1&amp;query=Studiola&amp;query_place_id=ChIJExo1WmeRjgcRXg4l0vfBqZc" TargetMode="External"/><Relationship Id="rId10" Type="http://schemas.openxmlformats.org/officeDocument/2006/relationships/hyperlink" Target="https://www.google.com/maps/search/?api=1&amp;query=Sal%C3%A3o%20Maycon&amp;query_place_id=ChIJpzQYiMGRjgcRhUinJVCfD4Q" TargetMode="External"/><Relationship Id="rId13" Type="http://schemas.openxmlformats.org/officeDocument/2006/relationships/hyperlink" Target="https://www.google.com/maps/search/?api=1&amp;query=Studio%20Daniela%20Torres&amp;query_place_id=ChIJoTKwQgCRjgcRMqtOowGjUlQ" TargetMode="External"/><Relationship Id="rId12" Type="http://schemas.openxmlformats.org/officeDocument/2006/relationships/hyperlink" Target="https://www.google.com/maps/search/?api=1&amp;query=Lannynails%20Studio&amp;query_place_id=ChIJA7kWuGiRjgcReiwQ8PO4kuc" TargetMode="External"/><Relationship Id="rId15" Type="http://schemas.openxmlformats.org/officeDocument/2006/relationships/hyperlink" Target="https://www.google.com/maps/search/?api=1&amp;query=Est%C3%BAdio%20Grazielle%20Palhano&amp;query_place_id=ChIJ6Ry2fgCRjgcRU4OOnRKpuDM" TargetMode="External"/><Relationship Id="rId198" Type="http://schemas.openxmlformats.org/officeDocument/2006/relationships/hyperlink" Target="https://www.google.com/maps/search/?api=1&amp;query=Studio%20Geovana%20Sobrancelhas&amp;query_place_id=ChIJ8dRmF1KTjgcR1Xv2l4jzYW8" TargetMode="External"/><Relationship Id="rId14" Type="http://schemas.openxmlformats.org/officeDocument/2006/relationships/hyperlink" Target="https://www.google.com/maps/search/?api=1&amp;query=Casa%20da%20Dayane&amp;query_place_id=ChIJk5M-ehGRjgcRVjconPTMqQ8" TargetMode="External"/><Relationship Id="rId197" Type="http://schemas.openxmlformats.org/officeDocument/2006/relationships/hyperlink" Target="https://www.google.com/maps/search/?api=1&amp;query=Manu%20%7C%20Nail%20design&amp;query_place_id=ChIJqVcL67STjgcR138fQOv0Xkk" TargetMode="External"/><Relationship Id="rId17" Type="http://schemas.openxmlformats.org/officeDocument/2006/relationships/hyperlink" Target="https://www.google.com/maps/search/?api=1&amp;query=Sal%C3%A3o%20Miguelim&amp;query_place_id=ChIJ-zzKYiyRjgcR4iSMV4DHJcg" TargetMode="External"/><Relationship Id="rId196" Type="http://schemas.openxmlformats.org/officeDocument/2006/relationships/hyperlink" Target="https://www.google.com/maps/search/?api=1&amp;query=Jacy_sousa%20nail%20designer&amp;query_place_id=ChIJS6qy76iTjgcR7iM6I6PYGpM" TargetMode="External"/><Relationship Id="rId16" Type="http://schemas.openxmlformats.org/officeDocument/2006/relationships/hyperlink" Target="https://www.google.com/maps/search/?api=1&amp;query=Arine%20Ramos%20Studio&amp;query_place_id=ChIJ6f22dIWRjgcR3xN48yNZc3E" TargetMode="External"/><Relationship Id="rId195" Type="http://schemas.openxmlformats.org/officeDocument/2006/relationships/hyperlink" Target="https://www.google.com/maps/search/?api=1&amp;query=Sal%C3%A3o%20lunna%20cabelos&amp;query_place_id=ChIJBbljfQCTjgcRlys4NXuTDas" TargetMode="External"/><Relationship Id="rId19" Type="http://schemas.openxmlformats.org/officeDocument/2006/relationships/hyperlink" Target="https://www.google.com/maps/search/?api=1&amp;query=Luana%20cabelos&amp;query_place_id=ChIJkQVXj6STjgcRFCOfNrzom3M" TargetMode="External"/><Relationship Id="rId18" Type="http://schemas.openxmlformats.org/officeDocument/2006/relationships/hyperlink" Target="https://www.google.com/maps/search/?api=1&amp;query=Studio%20Fran%20Felipe&amp;query_place_id=ChIJe3kXtpWRjgcR9CecqT_dS44" TargetMode="External"/><Relationship Id="rId199" Type="http://schemas.openxmlformats.org/officeDocument/2006/relationships/hyperlink" Target="https://www.google.com/maps/search/?api=1&amp;query=Livya.nailsdsigner&amp;query_place_id=ChIJZen2GBWTjgcRTTebAbUgkiA" TargetMode="External"/><Relationship Id="rId84" Type="http://schemas.openxmlformats.org/officeDocument/2006/relationships/hyperlink" Target="https://www.google.com/maps/search/?api=1&amp;query=Studio%20Karolaine%20Lima&amp;query_place_id=ChIJt_9qFI2TjgcRarVlv2MoDto" TargetMode="External"/><Relationship Id="rId83" Type="http://schemas.openxmlformats.org/officeDocument/2006/relationships/hyperlink" Target="https://www.google.com/maps/search/?api=1&amp;query=C%C3%ADlios%20%7C%20Design%20de%20Sobrancelhas%20%7C%20Micropigmenta%C3%A7%C3%A3o%20de%20Sobrancelhas%20e%20L%C3%A1bios%7CCursos%20em%20Caxias-%20MA%20%7C%20Studio%20Ingrid%20Camila&amp;query_place_id=ChIJBbCC-qOTjgcR05sNHQU6FM8" TargetMode="External"/><Relationship Id="rId86" Type="http://schemas.openxmlformats.org/officeDocument/2006/relationships/hyperlink" Target="https://www.google.com/maps/search/?api=1&amp;query=Sant'Ana%20Sobrancelhas&amp;query_place_id=ChIJ0yBwwriTjgcRNT6iUiNHQQM" TargetMode="External"/><Relationship Id="rId85" Type="http://schemas.openxmlformats.org/officeDocument/2006/relationships/hyperlink" Target="https://www.google.com/maps/search/?api=1&amp;query=Janaina%20Machado%20Espa%C3%A7o%20Terap%C3%AAutico&amp;query_place_id=ChIJFdnxMDKSjgcRPJ8inMzUZzE" TargetMode="External"/><Relationship Id="rId88" Type="http://schemas.openxmlformats.org/officeDocument/2006/relationships/hyperlink" Target="https://www.google.com/maps/search/?api=1&amp;query=Sal%C3%A3o%20Ess%C3%AAncia%20da%20Mulher&amp;query_place_id=ChIJs0-CR3qTjgcREUbcvMutyqU" TargetMode="External"/><Relationship Id="rId150" Type="http://schemas.openxmlformats.org/officeDocument/2006/relationships/hyperlink" Target="https://www.google.com/maps/search/?api=1&amp;query=Riccas%20sal%C3%A3o&amp;query_place_id=ChIJhwOIEmeTjgcRHPTA8lPOPwU" TargetMode="External"/><Relationship Id="rId87" Type="http://schemas.openxmlformats.org/officeDocument/2006/relationships/hyperlink" Target="https://www.google.com/maps/search/?api=1&amp;query=Bella%20Sublime%20Sobrancelhas%20%2FC%C3%ADlios%20%2FMicropigmenta%C3%A7%C3%A3o&amp;query_place_id=ChIJu-VgTlKTjgcRtYbIlzt4MmY" TargetMode="External"/><Relationship Id="rId89" Type="http://schemas.openxmlformats.org/officeDocument/2006/relationships/hyperlink" Target="https://www.google.com/maps/search/?api=1&amp;query=Studio%20Daisy%20Fonseca&amp;query_place_id=ChIJY8xxQOGTjgcROs2x1FBvgKw" TargetMode="External"/><Relationship Id="rId80" Type="http://schemas.openxmlformats.org/officeDocument/2006/relationships/hyperlink" Target="https://www.google.com/maps/search/?api=1&amp;query=Depila%C3%A7%C3%A3o%20Caxias-Ma%20Dayane&amp;query_place_id=ChIJWxpfAhuTjgcRRlJVRev7VxQ" TargetMode="External"/><Relationship Id="rId82" Type="http://schemas.openxmlformats.org/officeDocument/2006/relationships/hyperlink" Target="https://www.google.com/maps/search/?api=1&amp;query=Espa%C3%A7o%20Daiana%20Martini&amp;query_place_id=ChIJgb5NtEqSjgcRxr7qZ_ttMI8" TargetMode="External"/><Relationship Id="rId81" Type="http://schemas.openxmlformats.org/officeDocument/2006/relationships/hyperlink" Target="https://www.google.com/maps/search/?api=1&amp;query=Sal%C3%A3oPaulasantos&amp;query_place_id=ChIJHdwQeLWTjgcRyjl9CsB3QYc" TargetMode="External"/><Relationship Id="rId1" Type="http://schemas.openxmlformats.org/officeDocument/2006/relationships/hyperlink" Target="https://www.google.com/maps/search/?api=1&amp;query=Sal%C3%A3o%20T%26G%20cabelos&amp;query_place_id=ChIJzVeVsLGTjgcRVgE9t4hwu3Y" TargetMode="External"/><Relationship Id="rId2" Type="http://schemas.openxmlformats.org/officeDocument/2006/relationships/hyperlink" Target="https://www.google.com/maps/search/?api=1&amp;query=STUDIO%20BEAUTY%20Cabelo%20%26%20Maquiagem&amp;query_place_id=ChIJY7z3kMSTjgcRMLiCqP3nJw4" TargetMode="External"/><Relationship Id="rId3" Type="http://schemas.openxmlformats.org/officeDocument/2006/relationships/hyperlink" Target="https://www.google.com/maps/search/?api=1&amp;query=Studiobrunacosta&amp;query_place_id=ChIJ680zbT2SjgcRHvgZZM8KaME" TargetMode="External"/><Relationship Id="rId149" Type="http://schemas.openxmlformats.org/officeDocument/2006/relationships/hyperlink" Target="https://www.google.com/maps/search/?api=1&amp;query=SAL%C3%83O%20S%C3%83O%20LUIS&amp;query_place_id=ChIJPbcaRCGSjgcR7r98wYy34DQ" TargetMode="External"/><Relationship Id="rId4" Type="http://schemas.openxmlformats.org/officeDocument/2006/relationships/hyperlink" Target="https://www.google.com/maps/search/?api=1&amp;query=studio%20sandry%20raiely&amp;query_place_id=ChIJYesydnKRjgcRvOApX3VXAVs" TargetMode="External"/><Relationship Id="rId148" Type="http://schemas.openxmlformats.org/officeDocument/2006/relationships/hyperlink" Target="https://www.google.com/maps/search/?api=1&amp;query=Perfei%C3%A7%C3%A3o%20Bronze%20e%20Est%C3%A9tica&amp;query_place_id=ChIJ0atoXQaTjgcRCTj6qrw5_LU" TargetMode="External"/><Relationship Id="rId9" Type="http://schemas.openxmlformats.org/officeDocument/2006/relationships/hyperlink" Target="https://www.google.com/maps/search/?api=1&amp;query=STUDIO%20KEILA%20XAVIER&amp;query_place_id=ChIJOzsYVyiRjgcRxQBGKgVzrpU" TargetMode="External"/><Relationship Id="rId143" Type="http://schemas.openxmlformats.org/officeDocument/2006/relationships/hyperlink" Target="https://www.google.com/maps/search/?api=1&amp;query=Studio%20Sirley&amp;query_place_id=ChIJtxbUPiCSjgcRQma2fQMQVZg" TargetMode="External"/><Relationship Id="rId142" Type="http://schemas.openxmlformats.org/officeDocument/2006/relationships/hyperlink" Target="https://www.google.com/maps/search/?api=1&amp;query=P%C3%A2mila%20Italiano&amp;query_place_id=ChIJm9_oG8iTjgcRWyPVZUmYigA" TargetMode="External"/><Relationship Id="rId141" Type="http://schemas.openxmlformats.org/officeDocument/2006/relationships/hyperlink" Target="https://www.google.com/maps/search/?api=1&amp;query=Studio_raquel.santos&amp;query_place_id=ChIJCxKZUbuTjgcRos20JMKhLII" TargetMode="External"/><Relationship Id="rId140" Type="http://schemas.openxmlformats.org/officeDocument/2006/relationships/hyperlink" Target="https://www.google.com/maps/search/?api=1&amp;query=Studio%20Silvana%20Pinho&amp;query_place_id=ChIJIbFESW-TjgcR7y-rtb7NTSM" TargetMode="External"/><Relationship Id="rId5" Type="http://schemas.openxmlformats.org/officeDocument/2006/relationships/hyperlink" Target="https://www.google.com/maps/search/?api=1&amp;query=Sal%C3%A3o%20De%20Beleza%20Creuza&amp;query_place_id=ChIJd2Lr9cGRjgcRA0w5y1VeAlQ" TargetMode="External"/><Relationship Id="rId147" Type="http://schemas.openxmlformats.org/officeDocument/2006/relationships/hyperlink" Target="https://www.google.com/maps/search/?api=1&amp;query=Studio%20Serena%20Soares&amp;query_place_id=ChIJ9T7bvGOTjgcReJn5TEeF_nQ" TargetMode="External"/><Relationship Id="rId6" Type="http://schemas.openxmlformats.org/officeDocument/2006/relationships/hyperlink" Target="https://www.google.com/maps/search/?api=1&amp;query=Sal%C3%A3o%20J.C%20cabelos&amp;query_place_id=ChIJm8UCHDiRjgcRIFhX4g9qDso" TargetMode="External"/><Relationship Id="rId146" Type="http://schemas.openxmlformats.org/officeDocument/2006/relationships/hyperlink" Target="https://www.google.com/maps/search/?api=1&amp;query=Sal%C3%A3o%20Loira%20Cabelos&amp;query_place_id=ChIJ1SMBanGTjgcRAcBPc6mg0yI" TargetMode="External"/><Relationship Id="rId7" Type="http://schemas.openxmlformats.org/officeDocument/2006/relationships/hyperlink" Target="https://www.google.com/maps/search/?api=1&amp;query=Maria%20Luiza%20Studio&amp;query_place_id=ChIJkYjAZwCRjgcR_avjgYz5d30" TargetMode="External"/><Relationship Id="rId145" Type="http://schemas.openxmlformats.org/officeDocument/2006/relationships/hyperlink" Target="https://www.google.com/maps/search/?api=1&amp;query=M%C3%B4nica%20cabelos&amp;query_place_id=ChIJofoSJwCTjgcR8ZkCWNATFqs" TargetMode="External"/><Relationship Id="rId8" Type="http://schemas.openxmlformats.org/officeDocument/2006/relationships/hyperlink" Target="https://www.google.com/maps/search/?api=1&amp;query=St%C3%BAdio%20Jonas%20carvalho&amp;query_place_id=ChIJ71RhNvmRjgcR0ByXfuYKyC0" TargetMode="External"/><Relationship Id="rId144" Type="http://schemas.openxmlformats.org/officeDocument/2006/relationships/hyperlink" Target="https://www.google.com/maps/search/?api=1&amp;query=Real%20Trance&amp;query_place_id=ChIJBV9f2h6TjgcRCHngP7Euva8" TargetMode="External"/><Relationship Id="rId73" Type="http://schemas.openxmlformats.org/officeDocument/2006/relationships/hyperlink" Target="https://www.google.com/maps/search/?api=1&amp;query=Espaco%20beleza%20e%20Perfumaria%20Adrielly&amp;query_place_id=ChIJC6fTRQBfjgcRxrZuA7naRsA" TargetMode="External"/><Relationship Id="rId72" Type="http://schemas.openxmlformats.org/officeDocument/2006/relationships/hyperlink" Target="https://www.google.com/maps/search/?api=1&amp;query=Beauty%20Express%20-%20est%C3%A9tica%20e%20beleza&amp;query_place_id=ChIJD5uyh5iTjgcR9lZDCgsdWZc" TargetMode="External"/><Relationship Id="rId75" Type="http://schemas.openxmlformats.org/officeDocument/2006/relationships/hyperlink" Target="https://www.google.com/maps/search/?api=1&amp;query=NAY%20SOUSA%20ESPA%C3%87O%20DA%20BELEZA&amp;query_place_id=ChIJ0xNmNTCSjgcR7MksyI8SYls" TargetMode="External"/><Relationship Id="rId74" Type="http://schemas.openxmlformats.org/officeDocument/2006/relationships/hyperlink" Target="https://www.google.com/maps/search/?api=1&amp;query=Espa%C3%A7o%20Das%20Unhas&amp;query_place_id=ChIJrYnUuMiSjgcRCXIhkh4Kjw4" TargetMode="External"/><Relationship Id="rId77" Type="http://schemas.openxmlformats.org/officeDocument/2006/relationships/hyperlink" Target="https://www.google.com/maps/search/?api=1&amp;query=ESPA%C3%87O%20BEAUTY%20LINDA%20LUCIANA&amp;query_place_id=ChIJfVhI3a-RjgcRua4YKPYOYww" TargetMode="External"/><Relationship Id="rId76" Type="http://schemas.openxmlformats.org/officeDocument/2006/relationships/hyperlink" Target="https://www.google.com/maps/search/?api=1&amp;query=Espa%C3%A7o%20Julianny%20Priscyla%20Nail%20Designer&amp;query_place_id=ChIJhZi3HEWTjgcRtDK4rWhrDzA" TargetMode="External"/><Relationship Id="rId79" Type="http://schemas.openxmlformats.org/officeDocument/2006/relationships/hyperlink" Target="https://www.google.com/maps/search/?api=1&amp;query=Studio%20G%20depila%C3%A7%C3%A3o%20feminina&amp;query_place_id=ChIJ-birYe6TjgcRMxB2-H26wIM" TargetMode="External"/><Relationship Id="rId78" Type="http://schemas.openxmlformats.org/officeDocument/2006/relationships/hyperlink" Target="https://www.google.com/maps/search/?api=1&amp;query=Espa%C3%A7o%20La%C3%ADs&amp;query_place_id=ChIJ0e_4_3GTjgcRoGeIqh8FrRY" TargetMode="External"/><Relationship Id="rId71" Type="http://schemas.openxmlformats.org/officeDocument/2006/relationships/hyperlink" Target="https://www.google.com/maps/search/?api=1&amp;query=Est%C3%A9tica%20Michele%20Melo&amp;query_place_id=ChIJqzh8-niTjgcRev5VoixfTkc" TargetMode="External"/><Relationship Id="rId70" Type="http://schemas.openxmlformats.org/officeDocument/2006/relationships/hyperlink" Target="https://www.google.com/maps/search/?api=1&amp;query=Sal%C3%A3o%20Retrato%20da%20Beleza&amp;query_place_id=ChIJ3wP365aTjgcRm3yTN8Qix0o" TargetMode="External"/><Relationship Id="rId139" Type="http://schemas.openxmlformats.org/officeDocument/2006/relationships/hyperlink" Target="https://www.google.com/maps/search/?api=1&amp;query=Regina%20Coiffeur&amp;query_place_id=ChIJe1uxIuOTjgcRwQYx7c2MmH8" TargetMode="External"/><Relationship Id="rId138" Type="http://schemas.openxmlformats.org/officeDocument/2006/relationships/hyperlink" Target="https://www.google.com/maps/search/?api=1&amp;query=Nicolle%20Torres%20Beauty&amp;query_place_id=ChIJc6qJ_fuTjgcRmEIgZQGadN8" TargetMode="External"/><Relationship Id="rId137" Type="http://schemas.openxmlformats.org/officeDocument/2006/relationships/hyperlink" Target="https://www.google.com/maps/search/?api=1&amp;query=Studio%20Da%20Nayh&amp;query_place_id=ChIJmUMunIeTjgcREV29Y-IpeW4" TargetMode="External"/><Relationship Id="rId132" Type="http://schemas.openxmlformats.org/officeDocument/2006/relationships/hyperlink" Target="https://www.google.com/maps/search/?api=1&amp;query=Nyck%E2%80%99s&amp;query_place_id=ChIJ9QSu5VyRjgcR99DoAKW4KFI" TargetMode="External"/><Relationship Id="rId131" Type="http://schemas.openxmlformats.org/officeDocument/2006/relationships/hyperlink" Target="https://www.google.com/maps/search/?api=1&amp;query=Renata%20Oliveira%20STUDIO%20HAIR&amp;query_place_id=ChIJBZSD_CCSjgcRmZgEuXuEkGg" TargetMode="External"/><Relationship Id="rId130" Type="http://schemas.openxmlformats.org/officeDocument/2006/relationships/hyperlink" Target="https://www.google.com/maps/search/?api=1&amp;query=Bruna%20Cabelos&amp;query_place_id=ChIJESeEhzSTjgcRcT2mEATyt2M" TargetMode="External"/><Relationship Id="rId136" Type="http://schemas.openxmlformats.org/officeDocument/2006/relationships/hyperlink" Target="https://www.google.com/maps/search/?api=1&amp;query=M%C3%A9rcia%20Studio&amp;query_place_id=ChIJ1we6yWaTjgcRh_beH8paF8A" TargetMode="External"/><Relationship Id="rId135" Type="http://schemas.openxmlformats.org/officeDocument/2006/relationships/hyperlink" Target="https://www.google.com/maps/search/?api=1&amp;query=Studio%20Delas&amp;query_place_id=ChIJGXV-EACTjgcRKg1yt1wNAfY" TargetMode="External"/><Relationship Id="rId134" Type="http://schemas.openxmlformats.org/officeDocument/2006/relationships/hyperlink" Target="https://www.google.com/maps/search/?api=1&amp;query=R.V%20Beleza%20%26%20Est%C3%A9tica&amp;query_place_id=ChIJv664bO6TjgcR3jXq5Coxs8M" TargetMode="External"/><Relationship Id="rId133" Type="http://schemas.openxmlformats.org/officeDocument/2006/relationships/hyperlink" Target="https://www.google.com/maps/search/?api=1&amp;query=StudioLeticiaAndrade_cm&amp;query_place_id=ChIJ02wtAz-TjgcRl_RZa_zAOM8" TargetMode="External"/><Relationship Id="rId62" Type="http://schemas.openxmlformats.org/officeDocument/2006/relationships/hyperlink" Target="https://www.google.com/maps/search/?api=1&amp;query=Brendo%20Henrique&amp;query_place_id=ChIJ8Z4FkoeTjgcR7MVcTsQsi4E" TargetMode="External"/><Relationship Id="rId61" Type="http://schemas.openxmlformats.org/officeDocument/2006/relationships/hyperlink" Target="https://www.google.com/maps/search/?api=1&amp;query=Studio%20Aldemara%20Cris&amp;query_place_id=ChIJRSyOZByTjgcRLobF83dnxE4" TargetMode="External"/><Relationship Id="rId64" Type="http://schemas.openxmlformats.org/officeDocument/2006/relationships/hyperlink" Target="https://www.google.com/maps/search/?api=1&amp;query=Studio%20Dailma%20Medeiros&amp;query_place_id=ChIJo4LTIACNjgcR6HyUcy2Z2W0" TargetMode="External"/><Relationship Id="rId63" Type="http://schemas.openxmlformats.org/officeDocument/2006/relationships/hyperlink" Target="https://www.google.com/maps/search/?api=1&amp;query=Bia%20Cabelos%20marques&amp;query_place_id=ChIJBUnDUn2TjgcR6fhEUxnVi_Y" TargetMode="External"/><Relationship Id="rId66" Type="http://schemas.openxmlformats.org/officeDocument/2006/relationships/hyperlink" Target="https://www.google.com/maps/search/?api=1&amp;query=Studio%20de%20beleza%20elizete&amp;query_place_id=ChIJ16b04S6TjgcR3i6KC-Ywx_0" TargetMode="External"/><Relationship Id="rId172" Type="http://schemas.openxmlformats.org/officeDocument/2006/relationships/hyperlink" Target="https://www.google.com/maps/search/?api=1&amp;query=Thayn%C3%A1%20Neu%20Studio&amp;query_place_id=ChIJ6SJHWZ-TjgcR5f3u59OdhGE" TargetMode="External"/><Relationship Id="rId65" Type="http://schemas.openxmlformats.org/officeDocument/2006/relationships/hyperlink" Target="https://www.google.com/maps/search/?api=1&amp;query=Sal%C3%A3o%20da%20Francisca%20W.F.A&amp;query_place_id=ChIJ3UeY9hGNjgcRY7lwYE-s9Jo" TargetMode="External"/><Relationship Id="rId171" Type="http://schemas.openxmlformats.org/officeDocument/2006/relationships/hyperlink" Target="https://www.google.com/maps/search/?api=1&amp;query=LOJA%20WINICIUS%20AQUINO&amp;query_place_id=ChIJRTBDRQCTjgcRXYwicpHB8DI" TargetMode="External"/><Relationship Id="rId68" Type="http://schemas.openxmlformats.org/officeDocument/2006/relationships/hyperlink" Target="https://www.google.com/maps/search/?api=1&amp;query=Sal%C3%A3o%20unisex%20%22o%20zibida%22&amp;query_place_id=ChIJp3lK83CTjgcR-YvChMv_iSw" TargetMode="External"/><Relationship Id="rId170" Type="http://schemas.openxmlformats.org/officeDocument/2006/relationships/hyperlink" Target="https://www.google.com/maps/search/?api=1&amp;query=H%C3%A9lkila%20Silva%20Nail%20Designer&amp;query_place_id=ChIJ84EAjf2TjgcR8cL4i-L6CP4" TargetMode="External"/><Relationship Id="rId67" Type="http://schemas.openxmlformats.org/officeDocument/2006/relationships/hyperlink" Target="https://www.google.com/maps/search/?api=1&amp;query=Studio%20Rosana%20Costa&amp;query_place_id=ChIJXanC096TjgcRxFioz3ir9wA" TargetMode="External"/><Relationship Id="rId60" Type="http://schemas.openxmlformats.org/officeDocument/2006/relationships/hyperlink" Target="https://www.google.com/maps/search/?api=1&amp;query=Fran%20Studio&amp;query_place_id=ChIJQSmVKcqTjgcRF5NvAoIv0OE" TargetMode="External"/><Relationship Id="rId165" Type="http://schemas.openxmlformats.org/officeDocument/2006/relationships/hyperlink" Target="https://www.google.com/maps/search/?api=1&amp;query=Travessa%20da%20Pedreira&amp;query_place_id=ChIJMf67MwCTjgcRP0PbNZEljkk" TargetMode="External"/><Relationship Id="rId69" Type="http://schemas.openxmlformats.org/officeDocument/2006/relationships/hyperlink" Target="https://www.google.com/maps/search/?api=1&amp;query=Studio%20Geyza%20Gyzelly&amp;query_place_id=ChIJeSFI8kWTjgcR-p-2OFVnLRA" TargetMode="External"/><Relationship Id="rId164" Type="http://schemas.openxmlformats.org/officeDocument/2006/relationships/hyperlink" Target="https://www.google.com/maps/search/?api=1&amp;query=Studio%20Kids&amp;query_place_id=ChIJmdoNoseTjgcRgpbGODkNnnA" TargetMode="External"/><Relationship Id="rId163" Type="http://schemas.openxmlformats.org/officeDocument/2006/relationships/hyperlink" Target="https://www.google.com/maps/search/?api=1&amp;query=Daniela%20Viana%20Est%C3%A9tica%20%26%20Pilates&amp;query_place_id=ChIJG5XiwfeTjgcRrPKTX-6eAWI" TargetMode="External"/><Relationship Id="rId162" Type="http://schemas.openxmlformats.org/officeDocument/2006/relationships/hyperlink" Target="https://www.google.com/maps/search/?api=1&amp;query=jacy_sousa&amp;query_place_id=ChIJ45CwQimSjgcRSCShcV_Sqy4" TargetMode="External"/><Relationship Id="rId169" Type="http://schemas.openxmlformats.org/officeDocument/2006/relationships/hyperlink" Target="https://www.google.com/maps/search/?api=1&amp;query=Dra.%20Tatiana%20%C3%81lamos&amp;query_place_id=ChIJ1Q76VhGTjgcRccGMtKsEYzY" TargetMode="External"/><Relationship Id="rId168" Type="http://schemas.openxmlformats.org/officeDocument/2006/relationships/hyperlink" Target="https://www.google.com/maps/search/?api=1&amp;query=JC%20BARBEARIA&amp;query_place_id=ChIJfcLGLCyTjgcRdBU7mbbFGsk" TargetMode="External"/><Relationship Id="rId167" Type="http://schemas.openxmlformats.org/officeDocument/2006/relationships/hyperlink" Target="https://www.google.com/maps/search/?api=1&amp;query=Katia%20Cury%20Massoterapia&amp;query_place_id=ChIJ6eGze4WTjgcRyGSx0O66wno" TargetMode="External"/><Relationship Id="rId166" Type="http://schemas.openxmlformats.org/officeDocument/2006/relationships/hyperlink" Target="https://www.google.com/maps/search/?api=1&amp;query=STUDIO%20BARBER&amp;query_place_id=ChIJe0cLDoqRjgcRkzW7BgVX2YE" TargetMode="External"/><Relationship Id="rId51" Type="http://schemas.openxmlformats.org/officeDocument/2006/relationships/hyperlink" Target="https://www.google.com/maps/search/?api=1&amp;query=Nayara%20Tamisia%20Studio%20da%20Beleza%20Femenina&amp;query_place_id=ChIJX09gwO6RjgcRgmzxojx1EMs" TargetMode="External"/><Relationship Id="rId50" Type="http://schemas.openxmlformats.org/officeDocument/2006/relationships/hyperlink" Target="https://www.google.com/maps/search/?api=1&amp;query=Studio%20Loren%20Borges&amp;query_place_id=ChIJW9TnlfORjgcRoPKJlR0OkPw" TargetMode="External"/><Relationship Id="rId53" Type="http://schemas.openxmlformats.org/officeDocument/2006/relationships/hyperlink" Target="https://www.google.com/maps/search/?api=1&amp;query=Labelle%20studio%20hair%20caxias%20ma&amp;query_place_id=ChIJI29kmaiRjgcR1BlKB3zGv64" TargetMode="External"/><Relationship Id="rId52" Type="http://schemas.openxmlformats.org/officeDocument/2006/relationships/hyperlink" Target="https://www.google.com/maps/search/?api=1&amp;query=Studio%20Jaine%20Tayana&amp;query_place_id=ChIJddFQ-06TjgcRSzTAPkqOU78" TargetMode="External"/><Relationship Id="rId55" Type="http://schemas.openxmlformats.org/officeDocument/2006/relationships/hyperlink" Target="https://www.google.com/maps/search/?api=1&amp;query=Fl%C3%A1via%20Fonseca%20Beauty&amp;query_place_id=ChIJVX_Wsj2TjgcR_lNzPcaHcMM" TargetMode="External"/><Relationship Id="rId161" Type="http://schemas.openxmlformats.org/officeDocument/2006/relationships/hyperlink" Target="https://www.google.com/maps/search/?api=1&amp;query=K%20Dias&amp;query_place_id=ChIJu20GbvCTjgcRyElm5Xfy6Rg" TargetMode="External"/><Relationship Id="rId54" Type="http://schemas.openxmlformats.org/officeDocument/2006/relationships/hyperlink" Target="https://www.google.com/maps/search/?api=1&amp;query=Studio%20Erika%20Gon%C3%A7alves&amp;query_place_id=ChIJ2QHi-L3djgcR4ctI6QRvjV4" TargetMode="External"/><Relationship Id="rId160" Type="http://schemas.openxmlformats.org/officeDocument/2006/relationships/hyperlink" Target="https://www.google.com/maps/search/?api=1&amp;query=Loja%20Donna%20Maria&amp;query_place_id=ChIJMzk-MFyTjgcREq44opjeUsQ" TargetMode="External"/><Relationship Id="rId57" Type="http://schemas.openxmlformats.org/officeDocument/2006/relationships/hyperlink" Target="https://www.google.com/maps/search/?api=1&amp;query=Rakel%20studio%20hair&amp;query_place_id=ChIJ4R6tnuGTjgcR5B8_Ze70Scs" TargetMode="External"/><Relationship Id="rId56" Type="http://schemas.openxmlformats.org/officeDocument/2006/relationships/hyperlink" Target="https://www.google.com/maps/search/?api=1&amp;query=Cabeleireiros%20Visual&amp;query_place_id=ChIJ798h_hWTjgcRN5jK66Qi_ms" TargetMode="External"/><Relationship Id="rId159" Type="http://schemas.openxmlformats.org/officeDocument/2006/relationships/hyperlink" Target="https://www.google.com/maps/search/?api=1&amp;query=Sal%C3%A3o%20Escola%20Eduwirgens%20Cabelereiros&amp;query_place_id=ChIJDZgeP6uTjgcRjYbvkbQmqmg" TargetMode="External"/><Relationship Id="rId59" Type="http://schemas.openxmlformats.org/officeDocument/2006/relationships/hyperlink" Target="https://www.google.com/maps/search/?api=1&amp;query=Barbearia%20Denilson%20Cabelos&amp;query_place_id=ChIJvxoXQ0yTjgcR_wprrOFhAMM" TargetMode="External"/><Relationship Id="rId154" Type="http://schemas.openxmlformats.org/officeDocument/2006/relationships/hyperlink" Target="https://www.google.com/maps/search/?api=1&amp;query=Josu%C3%A9%20est%C3%A9tica&amp;query_place_id=ChIJiSq7u2STjgcRe9naoa3xKls" TargetMode="External"/><Relationship Id="rId58" Type="http://schemas.openxmlformats.org/officeDocument/2006/relationships/hyperlink" Target="https://www.google.com/maps/search/?api=1&amp;query=Studio%20Franciane%20Velozo&amp;query_place_id=ChIJ82VyvpeTjgcRWVVbL2ynJrA" TargetMode="External"/><Relationship Id="rId153" Type="http://schemas.openxmlformats.org/officeDocument/2006/relationships/hyperlink" Target="https://www.google.com/maps/search/?api=1&amp;query=Depyl%20Design%20Studio&amp;query_place_id=ChIJNyQqLJuTjgcRsvlrCjP4kPg" TargetMode="External"/><Relationship Id="rId152" Type="http://schemas.openxmlformats.org/officeDocument/2006/relationships/hyperlink" Target="https://www.google.com/maps/search/?api=1&amp;query=Studio%20Penteados&amp;query_place_id=ChIJE_NcVwCTjgcRt2NPUgVM2T4" TargetMode="External"/><Relationship Id="rId151" Type="http://schemas.openxmlformats.org/officeDocument/2006/relationships/hyperlink" Target="https://www.google.com/maps/search/?api=1&amp;query=Gleice%20Epila%C3%A7%C3%A3o%20e%20Est%C3%A9tica%20Caxias-Ma%20-%20Depila%C3%A7%C3%A3o%2C%20Massagem%2C%20Limpeza%20de%20Pele%2C%20Drenagem%20linf%C3%A1tica&amp;query_place_id=ChIJEZNoCWWTjgcRppov0avJVIg" TargetMode="External"/><Relationship Id="rId158" Type="http://schemas.openxmlformats.org/officeDocument/2006/relationships/hyperlink" Target="https://www.google.com/maps/search/?api=1&amp;query=Unhas%20De%20Luxo&amp;query_place_id=ChIJZ8-gZEOTjgcRTmJgLAVdKOU" TargetMode="External"/><Relationship Id="rId157" Type="http://schemas.openxmlformats.org/officeDocument/2006/relationships/hyperlink" Target="https://www.google.com/maps/search/?api=1&amp;query=Revitalize&amp;query_place_id=ChIJb2VQcNCTjgcR9Rn1FGN9XFk" TargetMode="External"/><Relationship Id="rId156" Type="http://schemas.openxmlformats.org/officeDocument/2006/relationships/hyperlink" Target="https://www.google.com/maps/search/?api=1&amp;query=Rayh%20cabelos&amp;query_place_id=ChIJf3KBWkvtjgcRpEtufXeUs6c" TargetMode="External"/><Relationship Id="rId155" Type="http://schemas.openxmlformats.org/officeDocument/2006/relationships/hyperlink" Target="https://www.google.com/maps/search/?api=1&amp;query=Sal%C3%A3o%20Bel%C3%ADssima&amp;query_place_id=ChIJR9tmHjCSjgcRQ26cF3-fcGk" TargetMode="External"/><Relationship Id="rId107" Type="http://schemas.openxmlformats.org/officeDocument/2006/relationships/hyperlink" Target="https://www.google.com/maps/search/?api=1&amp;query=Gleice%20Lima%20Studio%20De%20Beleza&amp;query_place_id=ChIJ1dlrySCSjgcRwtJI43goXcI" TargetMode="External"/><Relationship Id="rId106" Type="http://schemas.openxmlformats.org/officeDocument/2006/relationships/hyperlink" Target="https://www.google.com/maps/search/?api=1&amp;query=Regina%20Cabelos&amp;query_place_id=ChIJp0D_hPSSjgcRTJEK3TaGinM" TargetMode="External"/><Relationship Id="rId105" Type="http://schemas.openxmlformats.org/officeDocument/2006/relationships/hyperlink" Target="https://www.google.com/maps/search/?api=1&amp;query=Marciele%20Cabelos&amp;query_place_id=ChIJXcjrHyCTjgcRbNy_fXMkBzY" TargetMode="External"/><Relationship Id="rId104" Type="http://schemas.openxmlformats.org/officeDocument/2006/relationships/hyperlink" Target="https://www.google.com/maps/search/?api=1&amp;query=Poderosa%20cabelos%20e%20est%C3%A9tica&amp;query_place_id=ChIJ9UXtF-CTjgcRdfSCYiQMpyY" TargetMode="External"/><Relationship Id="rId109" Type="http://schemas.openxmlformats.org/officeDocument/2006/relationships/hyperlink" Target="https://www.google.com/maps/search/?api=1&amp;query=Sal%C3%A3o%20O%20Andr%C3%A9&amp;query_place_id=ChIJByD_8iiSjgcRS29tuajmr5E" TargetMode="External"/><Relationship Id="rId108" Type="http://schemas.openxmlformats.org/officeDocument/2006/relationships/hyperlink" Target="https://www.google.com/maps/search/?api=1&amp;query=Elis%20Amanda%20Studio&amp;query_place_id=ChIJ45JZrM6TjgcRV8OsfJEPqbE" TargetMode="External"/><Relationship Id="rId220" Type="http://schemas.openxmlformats.org/officeDocument/2006/relationships/hyperlink" Target="https://www.google.com/maps/search/?api=1&amp;query=Elizeu%20Cabelos&amp;query_place_id=ChIJp06UQqmTjgcRD-HQKidaajo" TargetMode="External"/><Relationship Id="rId103" Type="http://schemas.openxmlformats.org/officeDocument/2006/relationships/hyperlink" Target="https://www.google.com/maps/search/?api=1&amp;query=Depile-se%20e%20Showbrancelhas%20Caxias-MA&amp;query_place_id=ChIJ3ThG5CqTjgcR9ANeBncB3Es" TargetMode="External"/><Relationship Id="rId224" Type="http://schemas.openxmlformats.org/officeDocument/2006/relationships/drawing" Target="../drawings/drawing1.xml"/><Relationship Id="rId102" Type="http://schemas.openxmlformats.org/officeDocument/2006/relationships/hyperlink" Target="https://www.google.com/maps/search/?api=1&amp;query=Ana%20C%C3%A9lia%20Cabelos&amp;query_place_id=ChIJTYDzHiaSjgcRlGkMle-0Ku0" TargetMode="External"/><Relationship Id="rId223" Type="http://schemas.openxmlformats.org/officeDocument/2006/relationships/hyperlink" Target="https://www.google.com/maps/search/?api=1&amp;query=Espa%C3%A7o%20Cuidar&amp;query_place_id=ChIJLz8sHwCTjgcRbQATbFhgfBM" TargetMode="External"/><Relationship Id="rId101" Type="http://schemas.openxmlformats.org/officeDocument/2006/relationships/hyperlink" Target="https://www.google.com/maps/search/?api=1&amp;query=Cantinho%20da%20beleza&amp;query_place_id=ChIJX5S8J3OTjgcRE2qwQFxuBxc" TargetMode="External"/><Relationship Id="rId222" Type="http://schemas.openxmlformats.org/officeDocument/2006/relationships/hyperlink" Target="https://www.google.com/maps/search/?api=1&amp;query=SAL%C3%83O%20JR&amp;query_place_id=ChIJXQSzvoyTjgcR_NT3XRI5KKw" TargetMode="External"/><Relationship Id="rId100" Type="http://schemas.openxmlformats.org/officeDocument/2006/relationships/hyperlink" Target="https://www.google.com/maps/search/?api=1&amp;query=Mirtes%20Cabelereira&amp;query_place_id=ChIJjdgghIeTjgcRl6H7U00tVgQ" TargetMode="External"/><Relationship Id="rId221" Type="http://schemas.openxmlformats.org/officeDocument/2006/relationships/hyperlink" Target="https://www.google.com/maps/search/?api=1&amp;query=L%C3%ADvia%20Chagas%20Hair&amp;query_place_id=ChIJoY2ZkN-TjgcRMBygi4bczK0" TargetMode="External"/><Relationship Id="rId217" Type="http://schemas.openxmlformats.org/officeDocument/2006/relationships/hyperlink" Target="https://www.google.com/maps/search/?api=1&amp;query=Fran%20unhas&amp;query_place_id=ChIJewOn0zqTjgcRE27DWKgF-pY" TargetMode="External"/><Relationship Id="rId216" Type="http://schemas.openxmlformats.org/officeDocument/2006/relationships/hyperlink" Target="https://www.google.com/maps/search/?api=1&amp;query=Sal%C3%A3o%20Novovisual%20O%20Raimundo%20Cabelo&amp;query_place_id=ChIJw0001zaSjgcRDRkHe5loK7Q" TargetMode="External"/><Relationship Id="rId215" Type="http://schemas.openxmlformats.org/officeDocument/2006/relationships/hyperlink" Target="https://www.google.com/maps/search/?api=1&amp;query=Brenda%20sobrancelhas&amp;query_place_id=ChIJFbx4ZkONjgcRCba5Qh1-87Q" TargetMode="External"/><Relationship Id="rId214" Type="http://schemas.openxmlformats.org/officeDocument/2006/relationships/hyperlink" Target="https://www.google.com/maps/search/?api=1&amp;query=Joyce%20Furtado%20%26%20Loren%20Borges%20Makeup%20Beauty&amp;query_place_id=ChIJnd5PQSeSjgcR0ItjHR3pWAY" TargetMode="External"/><Relationship Id="rId219" Type="http://schemas.openxmlformats.org/officeDocument/2006/relationships/hyperlink" Target="https://www.google.com/maps/search/?api=1&amp;query=Centro%20de%20Beleza%20Aline&amp;query_place_id=ChIJaSpkbACTjgcR8EdHi_zmpZY" TargetMode="External"/><Relationship Id="rId218" Type="http://schemas.openxmlformats.org/officeDocument/2006/relationships/hyperlink" Target="https://www.google.com/maps/search/?api=1&amp;query=Sal%C3%A3o%20Retrato%20da%20Beleza&amp;query_place_id=ChIJUSgV86tPYi8RLGm8515_K78" TargetMode="External"/><Relationship Id="rId213" Type="http://schemas.openxmlformats.org/officeDocument/2006/relationships/hyperlink" Target="https://www.google.com/maps/search/?api=1&amp;query=Hanna%20Esmalteria&amp;query_place_id=ChIJU2GLg8WTjgcR58uIkw7KPPk" TargetMode="External"/><Relationship Id="rId212" Type="http://schemas.openxmlformats.org/officeDocument/2006/relationships/hyperlink" Target="https://www.google.com/maps/search/?api=1&amp;query=WalXimenes%20Desingner%20de%20Unhas&amp;query_place_id=ChIJTVnpNQCTjgcR5Bxt_oMhDrU" TargetMode="External"/><Relationship Id="rId211" Type="http://schemas.openxmlformats.org/officeDocument/2006/relationships/hyperlink" Target="https://www.google.com/maps/search/?api=1&amp;query=Bianca%20unhas&amp;query_place_id=ChIJsVuxvQuTjgcRA0HAvyedaaw" TargetMode="External"/><Relationship Id="rId210" Type="http://schemas.openxmlformats.org/officeDocument/2006/relationships/hyperlink" Target="https://www.google.com/maps/search/?api=1&amp;query=Luana%20Farias%20Studio%20Caxias-MA&amp;query_place_id=ChIJEwTv1c6TjgcRDgvZDAncRD4" TargetMode="External"/><Relationship Id="rId129" Type="http://schemas.openxmlformats.org/officeDocument/2006/relationships/hyperlink" Target="https://www.google.com/maps/search/?api=1&amp;query=Elane%20esmalteria&amp;query_place_id=ChIJOdZ2sP6TjgcR7KId0ovSaAA" TargetMode="External"/><Relationship Id="rId128" Type="http://schemas.openxmlformats.org/officeDocument/2006/relationships/hyperlink" Target="https://www.google.com/maps/search/?api=1&amp;query=Segunda%20Pele%20Cx%20-%20Depila%C3%A7%C3%A3o%20Com%20Cera%20Caxias%20-%20MA&amp;query_place_id=ChIJxW_ZXQCTjgcRd1yjd0pqgNc" TargetMode="External"/><Relationship Id="rId127" Type="http://schemas.openxmlformats.org/officeDocument/2006/relationships/hyperlink" Target="https://www.google.com/maps/search/?api=1&amp;query=Alice%20Sobrancelhas&amp;query_place_id=ChIJDxdQUJOTjgcRT8CLazTAFHo" TargetMode="External"/><Relationship Id="rId126" Type="http://schemas.openxmlformats.org/officeDocument/2006/relationships/hyperlink" Target="https://www.google.com/maps/search/?api=1&amp;query=Lima%20Cabelos&amp;query_place_id=ChIJjRSsf4eTjgcRsSlGaJR42iA" TargetMode="External"/><Relationship Id="rId121" Type="http://schemas.openxmlformats.org/officeDocument/2006/relationships/hyperlink" Target="https://www.google.com/maps/search/?api=1&amp;query=Studio%20Maiane%20Moura&amp;query_place_id=ChIJr5TUDAeTjgcR8DDJlx_wNB0" TargetMode="External"/><Relationship Id="rId120" Type="http://schemas.openxmlformats.org/officeDocument/2006/relationships/hyperlink" Target="https://www.google.com/maps/search/?api=1&amp;query=Studio%20Jhessyka%20Mattos&amp;query_place_id=ChIJCf9rOY2TjgcRuKqBBkYlhE0" TargetMode="External"/><Relationship Id="rId125" Type="http://schemas.openxmlformats.org/officeDocument/2006/relationships/hyperlink" Target="https://www.google.com/maps/search/?api=1&amp;query=Santa%20Cor%20esmalteria&amp;query_place_id=ChIJxxgeRmeSjgcROE4pu66mWdY" TargetMode="External"/><Relationship Id="rId124" Type="http://schemas.openxmlformats.org/officeDocument/2006/relationships/hyperlink" Target="https://www.google.com/maps/search/?api=1&amp;query=Studio%20Thays%20Maira&amp;query_place_id=ChIJSaIABySTjgcRbrcbcJLr40Q" TargetMode="External"/><Relationship Id="rId123" Type="http://schemas.openxmlformats.org/officeDocument/2006/relationships/hyperlink" Target="https://www.google.com/maps/search/?api=1&amp;query=Edith%20Cabelos&amp;query_place_id=ChIJ0QyaiXOTjgcR0tlGE6y0Rko" TargetMode="External"/><Relationship Id="rId122" Type="http://schemas.openxmlformats.org/officeDocument/2006/relationships/hyperlink" Target="https://www.google.com/maps/search/?api=1&amp;query=Tamires%20Almada%20Centro%20Est%C3%A9tico&amp;query_place_id=ChIJEYFCALKTjgcRaLe0RIhQpNY" TargetMode="External"/><Relationship Id="rId95" Type="http://schemas.openxmlformats.org/officeDocument/2006/relationships/hyperlink" Target="https://www.google.com/maps/search/?api=1&amp;query=Sal%C3%A3o%20de%20Beleza%20Toque%20Feminino&amp;query_place_id=ChIJuaVyaASTjgcRf-pEyKnSr6k" TargetMode="External"/><Relationship Id="rId94" Type="http://schemas.openxmlformats.org/officeDocument/2006/relationships/hyperlink" Target="https://www.google.com/maps/search/?api=1&amp;query=Let%C3%ADcia%20Medeiros%20Beauty&amp;query_place_id=ChIJZ5BSbP2TjgcRkIQnoqJZRwg" TargetMode="External"/><Relationship Id="rId97" Type="http://schemas.openxmlformats.org/officeDocument/2006/relationships/hyperlink" Target="https://www.google.com/maps/search/?api=1&amp;query=STUDIO%20WINICIUS%20AQUINO&amp;query_place_id=ChIJGxSKRjmTjgcRJjl0PFKjgLQ" TargetMode="External"/><Relationship Id="rId96" Type="http://schemas.openxmlformats.org/officeDocument/2006/relationships/hyperlink" Target="https://www.google.com/maps/search/?api=1&amp;query=Studio%20Thays%20Filletti&amp;query_place_id=ChIJK8MVFoGTjgcRBJbiryiEhOA" TargetMode="External"/><Relationship Id="rId99" Type="http://schemas.openxmlformats.org/officeDocument/2006/relationships/hyperlink" Target="https://www.google.com/maps/search/?api=1&amp;query=Ana%20Almada%20Studio&amp;query_place_id=ChIJC2yzVGWTjgcRIc00dRoYSKY" TargetMode="External"/><Relationship Id="rId98" Type="http://schemas.openxmlformats.org/officeDocument/2006/relationships/hyperlink" Target="https://www.google.com/maps/search/?api=1&amp;query=Charlene%20Cabelos&amp;query_place_id=ChIJcz1E-UGSjgcR6YIL0nrIKL8" TargetMode="External"/><Relationship Id="rId91" Type="http://schemas.openxmlformats.org/officeDocument/2006/relationships/hyperlink" Target="https://www.google.com/maps/search/?api=1&amp;query=Saphynailart.ofc&amp;query_place_id=ChIJdUiAKQCTjgcRpEdAm1uaHoA" TargetMode="External"/><Relationship Id="rId90" Type="http://schemas.openxmlformats.org/officeDocument/2006/relationships/hyperlink" Target="https://www.google.com/maps/search/?api=1&amp;query=Studio%20Aline%20Antunes&amp;query_place_id=ChIJZ7cu4miTjgcRb3D7c6btn-U" TargetMode="External"/><Relationship Id="rId93" Type="http://schemas.openxmlformats.org/officeDocument/2006/relationships/hyperlink" Target="https://www.google.com/maps/search/?api=1&amp;query=Sal%C3%A3o%20T%26G%20Cabelos%202&amp;query_place_id=ChIJiV9OBgCTjgcRQdMjkdML1FM" TargetMode="External"/><Relationship Id="rId92" Type="http://schemas.openxmlformats.org/officeDocument/2006/relationships/hyperlink" Target="https://www.google.com/maps/search/?api=1&amp;query=Studio%20Cris&amp;query_place_id=ChIJtQSZNXqTjgcRSn3BShsJUqg" TargetMode="External"/><Relationship Id="rId118" Type="http://schemas.openxmlformats.org/officeDocument/2006/relationships/hyperlink" Target="https://www.google.com/maps/search/?api=1&amp;query=Studio%20de%20Beleza%20Josiele%20Andrade&amp;query_place_id=ChIJy-glUEmTjgcRG1izNuAEYQw" TargetMode="External"/><Relationship Id="rId117" Type="http://schemas.openxmlformats.org/officeDocument/2006/relationships/hyperlink" Target="https://www.google.com/maps/search/?api=1&amp;query=Boneca%20Studio&amp;query_place_id=ChIJv28lwg2TjgcRiB56E0ct36I" TargetMode="External"/><Relationship Id="rId116" Type="http://schemas.openxmlformats.org/officeDocument/2006/relationships/hyperlink" Target="https://www.google.com/maps/search/?api=1&amp;query=Sal%C3%A3o%20Vera%20Fashion&amp;query_place_id=ChIJiZOXrbWTjgcR7fyVfg0D5ZA" TargetMode="External"/><Relationship Id="rId115" Type="http://schemas.openxmlformats.org/officeDocument/2006/relationships/hyperlink" Target="https://www.google.com/maps/search/?api=1&amp;query=Salon%20Retro&amp;query_place_id=ChIJqVlZ0R6TjgcRBJx5YkWlBRE" TargetMode="External"/><Relationship Id="rId119" Type="http://schemas.openxmlformats.org/officeDocument/2006/relationships/hyperlink" Target="https://www.google.com/maps/search/?api=1&amp;query=Tm%20Beauty%20Studio&amp;query_place_id=ChIJ38FC6EWSjgcRhF-IbvYLpEY" TargetMode="External"/><Relationship Id="rId110" Type="http://schemas.openxmlformats.org/officeDocument/2006/relationships/hyperlink" Target="https://www.google.com/maps/search/?api=1&amp;query=VS%20design%20de%20sobrancelhas&amp;query_place_id=ChIJuXLXNcqTjgcRAzOjpRGinOM" TargetMode="External"/><Relationship Id="rId114" Type="http://schemas.openxmlformats.org/officeDocument/2006/relationships/hyperlink" Target="https://www.google.com/maps/search/?api=1&amp;query=Salao%20Belos%20Fios&amp;query_place_id=ChIJdU_DDiCSjgcRDC7ESBZrj38" TargetMode="External"/><Relationship Id="rId113" Type="http://schemas.openxmlformats.org/officeDocument/2006/relationships/hyperlink" Target="https://www.google.com/maps/search/?api=1&amp;query=Studio%20Eul%C3%A1lia%20Sabrine&amp;query_place_id=ChIJJz45_syTjgcRKAGqf6p19oY" TargetMode="External"/><Relationship Id="rId112" Type="http://schemas.openxmlformats.org/officeDocument/2006/relationships/hyperlink" Target="https://www.google.com/maps/search/?api=1&amp;query=cielly%20beauty%20hair&amp;query_place_id=ChIJO7HNOSWNjgcRwFXLloa3IhY" TargetMode="External"/><Relationship Id="rId111" Type="http://schemas.openxmlformats.org/officeDocument/2006/relationships/hyperlink" Target="https://www.google.com/maps/search/?api=1&amp;query=Sal%C3%A3o%20SOS%20HAIR&amp;query_place_id=ChIJWd478WKTjgcRdQ38e_ucbbM" TargetMode="External"/><Relationship Id="rId206" Type="http://schemas.openxmlformats.org/officeDocument/2006/relationships/hyperlink" Target="https://www.google.com/maps/search/?api=1&amp;query=Espacco%20Fashion%20Hair&amp;query_place_id=ChIJPYAfCF6SjgcRcs-L707VJ04" TargetMode="External"/><Relationship Id="rId205" Type="http://schemas.openxmlformats.org/officeDocument/2006/relationships/hyperlink" Target="https://www.google.com/maps/search/?api=1&amp;query=Lash%20Designer%20-%20Luciene%20Silva&amp;query_place_id=ChIJgXn9fPOTjgcRhuhUxJnphXs" TargetMode="External"/><Relationship Id="rId204" Type="http://schemas.openxmlformats.org/officeDocument/2006/relationships/hyperlink" Target="https://www.google.com/maps/search/?api=1&amp;query=Ligiane%20Ara%C3%BAjo%20a%20Beauty&amp;query_place_id=ChIJO18700iTjgcRhjpafYLd7Rs" TargetMode="External"/><Relationship Id="rId203" Type="http://schemas.openxmlformats.org/officeDocument/2006/relationships/hyperlink" Target="https://www.google.com/maps/search/?api=1&amp;query=NF%20MANICURE&amp;query_place_id=ChIJnzXN5FmTjgcRU9bjjW6olag" TargetMode="External"/><Relationship Id="rId209" Type="http://schemas.openxmlformats.org/officeDocument/2006/relationships/hyperlink" Target="https://www.google.com/maps/search/?api=1&amp;query=Ana%20Paula%20unhas&amp;query_place_id=ChIJS3z-JACTjgcRqAE7Bz7qJs8" TargetMode="External"/><Relationship Id="rId208" Type="http://schemas.openxmlformats.org/officeDocument/2006/relationships/hyperlink" Target="https://www.google.com/maps/search/?api=1&amp;query=Studio%20Myllena%20nail%20designer&amp;query_place_id=ChIJM7mOusyTjgcRJdz9_RlAG3g" TargetMode="External"/><Relationship Id="rId207" Type="http://schemas.openxmlformats.org/officeDocument/2006/relationships/hyperlink" Target="https://www.google.com/maps/search/?api=1&amp;query=Kauu_nhas&amp;query_place_id=ChIJH4S7mG2NjgcRyBKxzHKXQEU" TargetMode="External"/><Relationship Id="rId202" Type="http://schemas.openxmlformats.org/officeDocument/2006/relationships/hyperlink" Target="https://www.google.com/maps/search/?api=1&amp;query=Vilma%20santana%20nails&amp;query_place_id=ChIJO9MSS9-TjgcRs06TYOtjKls" TargetMode="External"/><Relationship Id="rId201" Type="http://schemas.openxmlformats.org/officeDocument/2006/relationships/hyperlink" Target="https://www.google.com/maps/search/?api=1&amp;query=Claudia%20cabelos&amp;query_place_id=ChIJ6xZp2dOTjgcRCitYYSa_Ong" TargetMode="External"/><Relationship Id="rId200" Type="http://schemas.openxmlformats.org/officeDocument/2006/relationships/hyperlink" Target="https://www.google.com/maps/search/?api=1&amp;query=Fran%20e%20Lu%20Unhas%20Decoradas&amp;query_place_id=ChIJs2S-ydmTjgcROJQSaD_038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9" max="9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3" t="str">
        <f>IFERROR(__xludf.DUMMYFUNCTION("IF(A2="""", """", IFS(REGEXMATCH(LOWER(A2), ""barbearia|barber""), ""Barbearia"", REGEXMATCH(LOWER(A2), ""sobrancelh|c[ií]lio|lash|micropigment|showbrancelhas""), ""Sobrancelhas e Cílios"", REGEXMATCH(LOWER(A2), ""maquia|make""), ""Maquiagem"", REGEXMATCH"&amp;"(LOWER(A2), ""depil|epil""), ""Depilação"", REGEXMATCH(LOWER(A2), ""esmalteria|unha|nail|manicur|spa dos p[eé]s|kauu_nhas""), ""Manicure - Esmalteria"", REGEXMATCH(LOWER(A2), ""est[eé]tic|bronze|massot|terap|pilates|revitalize|dra""), ""Clínica de Estétic"&amp;"a"", TRUE, ""Salão de Beleza""))"),"Salão de Beleza")</f>
        <v>Salão de Beleza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3" t="str">
        <f>IFERROR(__xludf.DUMMYFUNCTION("AI(""Preencha um valor adequado para esta célula com base no contexto da tabela"")"),"Caxias -MA")</f>
        <v>Caxias -MA</v>
      </c>
      <c r="H3" s="2" t="s">
        <v>23</v>
      </c>
      <c r="I3" s="1" t="s">
        <v>24</v>
      </c>
    </row>
    <row r="4">
      <c r="A4" s="1" t="s">
        <v>25</v>
      </c>
      <c r="B4" s="1" t="s">
        <v>26</v>
      </c>
      <c r="D4" s="1" t="s">
        <v>27</v>
      </c>
      <c r="E4" s="1" t="s">
        <v>28</v>
      </c>
      <c r="F4" s="1" t="s">
        <v>29</v>
      </c>
      <c r="G4" s="3" t="str">
        <f>IFERROR(__xludf.DUMMYFUNCTION("AI(""Preencha um valor adequado para esta célula com base no contexto da tabela"")"),"Caxias -MA")</f>
        <v>Caxias -MA</v>
      </c>
      <c r="H4" s="2" t="s">
        <v>30</v>
      </c>
      <c r="I4" s="3" t="str">
        <f>IFERROR(__xludf.DUMMYFUNCTION("IF(A4="""", """", IFS(REGEXMATCH(LOWER(A4), ""barbearia|barber""), ""Barbearia"", REGEXMATCH(LOWER(A4), ""sobrancelh|c[ií]lio|lash|micropigment|showbrancelhas""), ""Sobrancelhas e Cílios"", REGEXMATCH(LOWER(A4), ""maquia|make""), ""Maquiagem"", REGEXMATCH"&amp;"(LOWER(A4), ""depil|epil""), ""Depilação"", REGEXMATCH(LOWER(A4), ""esmalteria|unha|nail|manicur|spa dos p[eé]s|kauu_nhas""), ""Manicure - Esmalteria"", REGEXMATCH(LOWER(A4), ""est[eé]tic|bronze|massot|terap|pilates|revitalize|dra""), ""Clínica de Estétic"&amp;"a"", TRUE, ""Salão de Beleza""))"),"Salão de Beleza")</f>
        <v>Salão de Beleza</v>
      </c>
    </row>
    <row r="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" t="str">
        <f>IFERROR(__xludf.DUMMYFUNCTION("AI(""Preencha um valor adequado para esta célula com base no contexto da tabela"")"),"Caxias -MA")</f>
        <v>Caxias -MA</v>
      </c>
      <c r="H5" s="2" t="s">
        <v>37</v>
      </c>
      <c r="I5" s="3" t="str">
        <f>IFERROR(__xludf.DUMMYFUNCTION("IF(A5="""", """", IFS(REGEXMATCH(LOWER(A5), ""barbearia|barber""), ""Barbearia"", REGEXMATCH(LOWER(A5), ""sobrancelh|c[ií]lio|lash|micropigment|showbrancelhas""), ""Sobrancelhas e Cílios"", REGEXMATCH(LOWER(A5), ""maquia|make""), ""Maquiagem"", REGEXMATCH"&amp;"(LOWER(A5), ""depil|epil""), ""Depilação"", REGEXMATCH(LOWER(A5), ""esmalteria|unha|nail|manicur|spa dos p[eé]s|kauu_nhas""), ""Manicure - Esmalteria"", REGEXMATCH(LOWER(A5), ""est[eé]tic|bronze|massot|terap|pilates|revitalize|dra""), ""Clínica de Estétic"&amp;"a"", TRUE, ""Salão de Beleza""))"),"Salão de Beleza")</f>
        <v>Salão de Beleza</v>
      </c>
    </row>
    <row r="6">
      <c r="A6" s="1" t="s">
        <v>38</v>
      </c>
      <c r="D6" s="1" t="s">
        <v>39</v>
      </c>
      <c r="E6" s="1" t="s">
        <v>40</v>
      </c>
      <c r="F6" s="1" t="s">
        <v>41</v>
      </c>
      <c r="G6" s="3" t="str">
        <f>IFERROR(__xludf.DUMMYFUNCTION("AI(""Preencha um valor adequado para esta célula com base no contexto da tabela"")"),"Caxias -MA")</f>
        <v>Caxias -MA</v>
      </c>
      <c r="H6" s="2" t="s">
        <v>42</v>
      </c>
      <c r="I6" s="3" t="str">
        <f>IFERROR(__xludf.DUMMYFUNCTION("IF(A6="""", """", IFS(REGEXMATCH(LOWER(A6), ""barbearia|barber""), ""Barbearia"", REGEXMATCH(LOWER(A6), ""sobrancelh|c[ií]lio|lash|micropigment|showbrancelhas""), ""Sobrancelhas e Cílios"", REGEXMATCH(LOWER(A6), ""maquia|make""), ""Maquiagem"", REGEXMATCH"&amp;"(LOWER(A6), ""depil|epil""), ""Depilação"", REGEXMATCH(LOWER(A6), ""esmalteria|unha|nail|manicur|spa dos p[eé]s|kauu_nhas""), ""Manicure - Esmalteria"", REGEXMATCH(LOWER(A6), ""est[eé]tic|bronze|massot|terap|pilates|revitalize|dra""), ""Clínica de Estétic"&amp;"a"", TRUE, ""Salão de Beleza""))"),"Salão de Beleza")</f>
        <v>Salão de Beleza</v>
      </c>
    </row>
    <row r="7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tr">
        <f>IFERROR(__xludf.DUMMYFUNCTION("AI(""Preencha um valor adequado para esta célula com base no contexto da tabela"")"),"Caxias -MA")</f>
        <v>Caxias -MA</v>
      </c>
      <c r="H7" s="2" t="s">
        <v>49</v>
      </c>
      <c r="I7" s="3" t="str">
        <f>IFERROR(__xludf.DUMMYFUNCTION("IF(A7="""", """", IFS(REGEXMATCH(LOWER(A7), ""barbearia|barber""), ""Barbearia"", REGEXMATCH(LOWER(A7), ""sobrancelh|c[ií]lio|lash|micropigment|showbrancelhas""), ""Sobrancelhas e Cílios"", REGEXMATCH(LOWER(A7), ""maquia|make""), ""Maquiagem"", REGEXMATCH"&amp;"(LOWER(A7), ""depil|epil""), ""Depilação"", REGEXMATCH(LOWER(A7), ""esmalteria|unha|nail|manicur|spa dos p[eé]s|kauu_nhas""), ""Manicure - Esmalteria"", REGEXMATCH(LOWER(A7), ""est[eé]tic|bronze|massot|terap|pilates|revitalize|dra""), ""Clínica de Estétic"&amp;"a"", TRUE, ""Salão de Beleza""))"),"Salão de Beleza")</f>
        <v>Salão de Beleza</v>
      </c>
    </row>
    <row r="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tr">
        <f>IFERROR(__xludf.DUMMYFUNCTION("AI(""Preencha um valor adequado para esta célula com base no contexto da tabela"")"),"Caxias -MA")</f>
        <v>Caxias -MA</v>
      </c>
      <c r="H8" s="2" t="s">
        <v>56</v>
      </c>
      <c r="I8" s="3" t="str">
        <f>IFERROR(__xludf.DUMMYFUNCTION("IF(A8="""", """", IFS(REGEXMATCH(LOWER(A8), ""barbearia|barber""), ""Barbearia"", REGEXMATCH(LOWER(A8), ""sobrancelh|c[ií]lio|lash|micropigment|showbrancelhas""), ""Sobrancelhas e Cílios"", REGEXMATCH(LOWER(A8), ""maquia|make""), ""Maquiagem"", REGEXMATCH"&amp;"(LOWER(A8), ""depil|epil""), ""Depilação"", REGEXMATCH(LOWER(A8), ""esmalteria|unha|nail|manicur|spa dos p[eé]s|kauu_nhas""), ""Manicure - Esmalteria"", REGEXMATCH(LOWER(A8), ""est[eé]tic|bronze|massot|terap|pilates|revitalize|dra""), ""Clínica de Estétic"&amp;"a"", TRUE, ""Salão de Beleza""))"),"Salão de Beleza")</f>
        <v>Salão de Beleza</v>
      </c>
    </row>
    <row r="9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tr">
        <f>IFERROR(__xludf.DUMMYFUNCTION("AI(""Preencha um valor adequado para esta célula com base no contexto da tabela"")"),"Caxias -MA")</f>
        <v>Caxias -MA</v>
      </c>
      <c r="H9" s="2" t="s">
        <v>63</v>
      </c>
      <c r="I9" s="3" t="str">
        <f>IFERROR(__xludf.DUMMYFUNCTION("IF(A9="""", """", IFS(REGEXMATCH(LOWER(A9), ""barbearia|barber""), ""Barbearia"", REGEXMATCH(LOWER(A9), ""sobrancelh|c[ií]lio|lash|micropigment|showbrancelhas""), ""Sobrancelhas e Cílios"", REGEXMATCH(LOWER(A9), ""maquia|make""), ""Maquiagem"", REGEXMATCH"&amp;"(LOWER(A9), ""depil|epil""), ""Depilação"", REGEXMATCH(LOWER(A9), ""esmalteria|unha|nail|manicur|spa dos p[eé]s|kauu_nhas""), ""Manicure - Esmalteria"", REGEXMATCH(LOWER(A9), ""est[eé]tic|bronze|massot|terap|pilates|revitalize|dra""), ""Clínica de Estétic"&amp;"a"", TRUE, ""Salão de Beleza""))"),"Salão de Beleza")</f>
        <v>Salão de Beleza</v>
      </c>
    </row>
    <row r="10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tr">
        <f>IFERROR(__xludf.DUMMYFUNCTION("AI(""Preencha um valor adequado para esta célula com base no contexto da tabela"")"),"Caxias -MA")</f>
        <v>Caxias -MA</v>
      </c>
      <c r="H10" s="2" t="s">
        <v>70</v>
      </c>
      <c r="I10" s="3" t="str">
        <f>IFERROR(__xludf.DUMMYFUNCTION("IF(A10="""", """", IFS(REGEXMATCH(LOWER(A10), ""barbearia|barber""), ""Barbearia"", REGEXMATCH(LOWER(A10), ""sobrancelh|c[ií]lio|lash|micropigment|showbrancelhas""), ""Sobrancelhas e Cílios"", REGEXMATCH(LOWER(A10), ""maquia|make""), ""Maquiagem"", REGEXM"&amp;"ATCH(LOWER(A10), ""depil|epil""), ""Depilação"", REGEXMATCH(LOWER(A10), ""esmalteria|unha|nail|manicur|spa dos p[eé]s|kauu_nhas""), ""Manicure - Esmalteria"", REGEXMATCH(LOWER(A10), ""est[eé]tic|bronze|massot|terap|pilates|revitalize|dra""), ""Clínica de "&amp;"Estética"", TRUE, ""Salão de Beleza""))"),"Salão de Beleza")</f>
        <v>Salão de Beleza</v>
      </c>
    </row>
    <row r="11">
      <c r="A11" s="1" t="s">
        <v>71</v>
      </c>
      <c r="D11" s="1" t="s">
        <v>72</v>
      </c>
      <c r="E11" s="1" t="s">
        <v>73</v>
      </c>
      <c r="F11" s="1" t="s">
        <v>74</v>
      </c>
      <c r="G11" s="3" t="str">
        <f>IFERROR(__xludf.DUMMYFUNCTION("AI(""Preencha um valor adequado para esta célula com base no contexto da tabela"")"),"Caxias -MA")</f>
        <v>Caxias -MA</v>
      </c>
      <c r="H11" s="2" t="s">
        <v>75</v>
      </c>
      <c r="I11" s="3" t="str">
        <f>IFERROR(__xludf.DUMMYFUNCTION("IF(A11="""", """", IFS(REGEXMATCH(LOWER(A11), ""barbearia|barber""), ""Barbearia"", REGEXMATCH(LOWER(A11), ""sobrancelh|c[ií]lio|lash|micropigment|showbrancelhas""), ""Sobrancelhas e Cílios"", REGEXMATCH(LOWER(A11), ""maquia|make""), ""Maquiagem"", REGEXM"&amp;"ATCH(LOWER(A11), ""depil|epil""), ""Depilação"", REGEXMATCH(LOWER(A11), ""esmalteria|unha|nail|manicur|spa dos p[eé]s|kauu_nhas""), ""Manicure - Esmalteria"", REGEXMATCH(LOWER(A11), ""est[eé]tic|bronze|massot|terap|pilates|revitalize|dra""), ""Clínica de "&amp;"Estética"", TRUE, ""Salão de Beleza""))"),"Salão de Beleza")</f>
        <v>Salão de Beleza</v>
      </c>
    </row>
    <row r="12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  <c r="G12" s="3" t="str">
        <f>IFERROR(__xludf.DUMMYFUNCTION("AI(""Preencha um valor adequado para esta célula com base no contexto da tabela"")"),"Caxias -MA")</f>
        <v>Caxias -MA</v>
      </c>
      <c r="H12" s="2" t="s">
        <v>82</v>
      </c>
      <c r="I12" s="3" t="str">
        <f>IFERROR(__xludf.DUMMYFUNCTION("IF(A12="""", """", IFS(REGEXMATCH(LOWER(A12), ""barbearia|barber""), ""Barbearia"", REGEXMATCH(LOWER(A12), ""sobrancelh|c[ií]lio|lash|micropigment|showbrancelhas""), ""Sobrancelhas e Cílios"", REGEXMATCH(LOWER(A12), ""maquia|make""), ""Maquiagem"", REGEXM"&amp;"ATCH(LOWER(A12), ""depil|epil""), ""Depilação"", REGEXMATCH(LOWER(A12), ""esmalteria|unha|nail|manicur|spa dos p[eé]s|kauu_nhas""), ""Manicure - Esmalteria"", REGEXMATCH(LOWER(A12), ""est[eé]tic|bronze|massot|terap|pilates|revitalize|dra""), ""Clínica de "&amp;"Estética"", TRUE, ""Salão de Beleza""))"),"Salão de Beleza")</f>
        <v>Salão de Beleza</v>
      </c>
    </row>
    <row r="13">
      <c r="A13" s="1" t="s">
        <v>83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88</v>
      </c>
      <c r="G13" s="3" t="str">
        <f>IFERROR(__xludf.DUMMYFUNCTION("AI(""Preencha um valor adequado para esta célula com base no contexto da tabela"")"),"Caxias -MA")</f>
        <v>Caxias -MA</v>
      </c>
      <c r="H13" s="2" t="s">
        <v>89</v>
      </c>
      <c r="I13" s="3" t="str">
        <f>IFERROR(__xludf.DUMMYFUNCTION("IF(A13="""", """", IFS(REGEXMATCH(LOWER(A13), ""barbearia|barber""), ""Barbearia"", REGEXMATCH(LOWER(A13), ""sobrancelh|c[ií]lio|lash|micropigment|showbrancelhas""), ""Sobrancelhas e Cílios"", REGEXMATCH(LOWER(A13), ""maquia|make""), ""Maquiagem"", REGEXM"&amp;"ATCH(LOWER(A13), ""depil|epil""), ""Depilação"", REGEXMATCH(LOWER(A13), ""esmalteria|unha|nail|manicur|spa dos p[eé]s|kauu_nhas""), ""Manicure - Esmalteria"", REGEXMATCH(LOWER(A13), ""est[eé]tic|bronze|massot|terap|pilates|revitalize|dra""), ""Clínica de "&amp;"Estética"", TRUE, ""Salão de Beleza""))"),"Manicure - Esmalteria")</f>
        <v>Manicure - Esmalteria</v>
      </c>
    </row>
    <row r="14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 s="3" t="str">
        <f>IFERROR(__xludf.DUMMYFUNCTION("AI(""Preencha um valor adequado para esta célula com base no contexto da tabela"")"),"Caxias - MA")</f>
        <v>Caxias - MA</v>
      </c>
      <c r="H14" s="2" t="s">
        <v>96</v>
      </c>
      <c r="I14" s="3" t="str">
        <f>IFERROR(__xludf.DUMMYFUNCTION("IF(A14="""", """", IFS(REGEXMATCH(LOWER(A14), ""barbearia|barber""), ""Barbearia"", REGEXMATCH(LOWER(A14), ""sobrancelh|c[ií]lio|lash|micropigment|showbrancelhas""), ""Sobrancelhas e Cílios"", REGEXMATCH(LOWER(A14), ""maquia|make""), ""Maquiagem"", REGEXM"&amp;"ATCH(LOWER(A14), ""depil|epil""), ""Depilação"", REGEXMATCH(LOWER(A14), ""esmalteria|unha|nail|manicur|spa dos p[eé]s|kauu_nhas""), ""Manicure - Esmalteria"", REGEXMATCH(LOWER(A14), ""est[eé]tic|bronze|massot|terap|pilates|revitalize|dra""), ""Clínica de "&amp;"Estética"", TRUE, ""Salão de Beleza""))"),"Salão de Beleza")</f>
        <v>Salão de Beleza</v>
      </c>
    </row>
    <row r="15">
      <c r="A15" s="1" t="s">
        <v>97</v>
      </c>
      <c r="B15" s="1" t="s">
        <v>98</v>
      </c>
      <c r="C15" s="1" t="s">
        <v>99</v>
      </c>
      <c r="D15" s="1" t="s">
        <v>100</v>
      </c>
      <c r="E15" s="1" t="s">
        <v>101</v>
      </c>
      <c r="F15" s="1" t="s">
        <v>102</v>
      </c>
      <c r="G15" s="3" t="str">
        <f>IFERROR(__xludf.DUMMYFUNCTION("AI(""Preencha um valor adequado para esta célula com base no contexto da tabela"")"),"Caxias -MA")</f>
        <v>Caxias -MA</v>
      </c>
      <c r="H15" s="2" t="s">
        <v>103</v>
      </c>
      <c r="I15" s="3" t="str">
        <f>IFERROR(__xludf.DUMMYFUNCTION("IF(A15="""", """", IFS(REGEXMATCH(LOWER(A15), ""barbearia|barber""), ""Barbearia"", REGEXMATCH(LOWER(A15), ""sobrancelh|c[ií]lio|lash|micropigment|showbrancelhas""), ""Sobrancelhas e Cílios"", REGEXMATCH(LOWER(A15), ""maquia|make""), ""Maquiagem"", REGEXM"&amp;"ATCH(LOWER(A15), ""depil|epil""), ""Depilação"", REGEXMATCH(LOWER(A15), ""esmalteria|unha|nail|manicur|spa dos p[eé]s|kauu_nhas""), ""Manicure - Esmalteria"", REGEXMATCH(LOWER(A15), ""est[eé]tic|bronze|massot|terap|pilates|revitalize|dra""), ""Clínica de "&amp;"Estética"", TRUE, ""Salão de Beleza""))"),"Salão de Beleza")</f>
        <v>Salão de Beleza</v>
      </c>
    </row>
    <row r="16">
      <c r="A16" s="1" t="s">
        <v>104</v>
      </c>
      <c r="D16" s="1" t="s">
        <v>105</v>
      </c>
      <c r="E16" s="1" t="s">
        <v>106</v>
      </c>
      <c r="F16" s="1" t="s">
        <v>107</v>
      </c>
      <c r="G16" s="3" t="str">
        <f>IFERROR(__xludf.DUMMYFUNCTION("AI(""Preencha um valor adequado para esta célula com base no contexto da tabela"")"),"Caxias -MA")</f>
        <v>Caxias -MA</v>
      </c>
      <c r="H16" s="2" t="s">
        <v>108</v>
      </c>
      <c r="I16" s="3" t="str">
        <f>IFERROR(__xludf.DUMMYFUNCTION("IF(A16="""", """", IFS(REGEXMATCH(LOWER(A16), ""barbearia|barber""), ""Barbearia"", REGEXMATCH(LOWER(A16), ""sobrancelh|c[ií]lio|lash|micropigment|showbrancelhas""), ""Sobrancelhas e Cílios"", REGEXMATCH(LOWER(A16), ""maquia|make""), ""Maquiagem"", REGEXM"&amp;"ATCH(LOWER(A16), ""depil|epil""), ""Depilação"", REGEXMATCH(LOWER(A16), ""esmalteria|unha|nail|manicur|spa dos p[eé]s|kauu_nhas""), ""Manicure - Esmalteria"", REGEXMATCH(LOWER(A16), ""est[eé]tic|bronze|massot|terap|pilates|revitalize|dra""), ""Clínica de "&amp;"Estética"", TRUE, ""Salão de Beleza""))"),"Salão de Beleza")</f>
        <v>Salão de Beleza</v>
      </c>
    </row>
    <row r="17">
      <c r="A17" s="1" t="s">
        <v>109</v>
      </c>
      <c r="B17" s="1" t="s">
        <v>110</v>
      </c>
      <c r="C17" s="1" t="s">
        <v>111</v>
      </c>
      <c r="D17" s="1" t="s">
        <v>112</v>
      </c>
      <c r="E17" s="1" t="s">
        <v>113</v>
      </c>
      <c r="F17" s="1" t="s">
        <v>114</v>
      </c>
      <c r="G17" s="3" t="str">
        <f>IFERROR(__xludf.DUMMYFUNCTION("AI(""Preencha um valor adequado para esta célula com base no contexto da tabela"")"),"Caxias -MA")</f>
        <v>Caxias -MA</v>
      </c>
      <c r="H17" s="2" t="s">
        <v>115</v>
      </c>
      <c r="I17" s="3" t="str">
        <f>IFERROR(__xludf.DUMMYFUNCTION("IF(A17="""", """", IFS(REGEXMATCH(LOWER(A17), ""barbearia|barber""), ""Barbearia"", REGEXMATCH(LOWER(A17), ""sobrancelh|c[ií]lio|lash|micropigment|showbrancelhas""), ""Sobrancelhas e Cílios"", REGEXMATCH(LOWER(A17), ""maquia|make""), ""Maquiagem"", REGEXM"&amp;"ATCH(LOWER(A17), ""depil|epil""), ""Depilação"", REGEXMATCH(LOWER(A17), ""esmalteria|unha|nail|manicur|spa dos p[eé]s|kauu_nhas""), ""Manicure - Esmalteria"", REGEXMATCH(LOWER(A17), ""est[eé]tic|bronze|massot|terap|pilates|revitalize|dra""), ""Clínica de "&amp;"Estética"", TRUE, ""Salão de Beleza""))"),"Salão de Beleza")</f>
        <v>Salão de Beleza</v>
      </c>
    </row>
    <row r="18">
      <c r="A18" s="1" t="s">
        <v>116</v>
      </c>
      <c r="D18" s="1" t="s">
        <v>117</v>
      </c>
      <c r="E18" s="1" t="s">
        <v>118</v>
      </c>
      <c r="F18" s="1" t="s">
        <v>119</v>
      </c>
      <c r="G18" s="3" t="str">
        <f>IFERROR(__xludf.DUMMYFUNCTION("AI(""Preencha um valor adequado para esta célula com base no contexto da tabela"")"),"Caxias -MA")</f>
        <v>Caxias -MA</v>
      </c>
      <c r="H18" s="2" t="s">
        <v>120</v>
      </c>
      <c r="I18" s="3" t="str">
        <f>IFERROR(__xludf.DUMMYFUNCTION("IF(A18="""", """", IFS(REGEXMATCH(LOWER(A18), ""barbearia|barber""), ""Barbearia"", REGEXMATCH(LOWER(A18), ""sobrancelh|c[ií]lio|lash|micropigment|showbrancelhas""), ""Sobrancelhas e Cílios"", REGEXMATCH(LOWER(A18), ""maquia|make""), ""Maquiagem"", REGEXM"&amp;"ATCH(LOWER(A18), ""depil|epil""), ""Depilação"", REGEXMATCH(LOWER(A18), ""esmalteria|unha|nail|manicur|spa dos p[eé]s|kauu_nhas""), ""Manicure - Esmalteria"", REGEXMATCH(LOWER(A18), ""est[eé]tic|bronze|massot|terap|pilates|revitalize|dra""), ""Clínica de "&amp;"Estética"", TRUE, ""Salão de Beleza""))"),"Salão de Beleza")</f>
        <v>Salão de Beleza</v>
      </c>
    </row>
    <row r="19">
      <c r="A19" s="1" t="s">
        <v>121</v>
      </c>
      <c r="B19" s="1" t="s">
        <v>122</v>
      </c>
      <c r="C19" s="1" t="s">
        <v>123</v>
      </c>
      <c r="D19" s="1" t="s">
        <v>124</v>
      </c>
      <c r="E19" s="1" t="s">
        <v>125</v>
      </c>
      <c r="F19" s="1" t="s">
        <v>126</v>
      </c>
      <c r="G19" s="3" t="str">
        <f>IFERROR(__xludf.DUMMYFUNCTION("AI(""Preencha um valor adequado para esta célula com base no contexto da tabela"")"),"Caxias -MA")</f>
        <v>Caxias -MA</v>
      </c>
      <c r="H19" s="2" t="s">
        <v>127</v>
      </c>
      <c r="I19" s="3" t="str">
        <f>IFERROR(__xludf.DUMMYFUNCTION("IF(A19="""", """", IFS(REGEXMATCH(LOWER(A19), ""barbearia|barber""), ""Barbearia"", REGEXMATCH(LOWER(A19), ""sobrancelh|c[ií]lio|lash|micropigment|showbrancelhas""), ""Sobrancelhas e Cílios"", REGEXMATCH(LOWER(A19), ""maquia|make""), ""Maquiagem"", REGEXM"&amp;"ATCH(LOWER(A19), ""depil|epil""), ""Depilação"", REGEXMATCH(LOWER(A19), ""esmalteria|unha|nail|manicur|spa dos p[eé]s|kauu_nhas""), ""Manicure - Esmalteria"", REGEXMATCH(LOWER(A19), ""est[eé]tic|bronze|massot|terap|pilates|revitalize|dra""), ""Clínica de "&amp;"Estética"", TRUE, ""Salão de Beleza""))"),"Salão de Beleza")</f>
        <v>Salão de Beleza</v>
      </c>
    </row>
    <row r="20">
      <c r="A20" s="1" t="s">
        <v>128</v>
      </c>
      <c r="B20" s="1" t="s">
        <v>129</v>
      </c>
      <c r="C20" s="1" t="s">
        <v>130</v>
      </c>
      <c r="D20" s="1" t="s">
        <v>131</v>
      </c>
      <c r="E20" s="1" t="s">
        <v>132</v>
      </c>
      <c r="F20" s="1" t="s">
        <v>133</v>
      </c>
      <c r="G20" s="3" t="str">
        <f>IFERROR(__xludf.DUMMYFUNCTION("AI(""Preencha um valor adequado para esta célula com base no contexto da tabela"")"),"Caxias - MA")</f>
        <v>Caxias - MA</v>
      </c>
      <c r="H20" s="2" t="s">
        <v>134</v>
      </c>
      <c r="I20" s="3" t="str">
        <f>IFERROR(__xludf.DUMMYFUNCTION("IF(A20="""", """", IFS(REGEXMATCH(LOWER(A20), ""barbearia|barber""), ""Barbearia"", REGEXMATCH(LOWER(A20), ""sobrancelh|c[ií]lio|lash|micropigment|showbrancelhas""), ""Sobrancelhas e Cílios"", REGEXMATCH(LOWER(A20), ""maquia|make""), ""Maquiagem"", REGEXM"&amp;"ATCH(LOWER(A20), ""depil|epil""), ""Depilação"", REGEXMATCH(LOWER(A20), ""esmalteria|unha|nail|manicur|spa dos p[eé]s|kauu_nhas""), ""Manicure - Esmalteria"", REGEXMATCH(LOWER(A20), ""est[eé]tic|bronze|massot|terap|pilates|revitalize|dra""), ""Clínica de "&amp;"Estética"", TRUE, ""Salão de Beleza""))"),"Salão de Beleza")</f>
        <v>Salão de Beleza</v>
      </c>
    </row>
    <row r="21">
      <c r="A21" s="1" t="s">
        <v>135</v>
      </c>
      <c r="B21" s="1" t="s">
        <v>136</v>
      </c>
      <c r="C21" s="1" t="s">
        <v>137</v>
      </c>
      <c r="D21" s="1" t="s">
        <v>138</v>
      </c>
      <c r="E21" s="1" t="s">
        <v>139</v>
      </c>
      <c r="F21" s="1" t="s">
        <v>140</v>
      </c>
      <c r="G21" s="3" t="str">
        <f>IFERROR(__xludf.DUMMYFUNCTION("AI(""Preencha um valor adequado para esta célula com base no contexto da tabela"")"),"Caxias -MA")</f>
        <v>Caxias -MA</v>
      </c>
      <c r="H21" s="2" t="s">
        <v>141</v>
      </c>
      <c r="I21" s="3" t="str">
        <f>IFERROR(__xludf.DUMMYFUNCTION("IF(A21="""", """", IFS(REGEXMATCH(LOWER(A21), ""barbearia|barber""), ""Barbearia"", REGEXMATCH(LOWER(A21), ""sobrancelh|c[ií]lio|lash|micropigment|showbrancelhas""), ""Sobrancelhas e Cílios"", REGEXMATCH(LOWER(A21), ""maquia|make""), ""Maquiagem"", REGEXM"&amp;"ATCH(LOWER(A21), ""depil|epil""), ""Depilação"", REGEXMATCH(LOWER(A21), ""esmalteria|unha|nail|manicur|spa dos p[eé]s|kauu_nhas""), ""Manicure - Esmalteria"", REGEXMATCH(LOWER(A21), ""est[eé]tic|bronze|massot|terap|pilates|revitalize|dra""), ""Clínica de "&amp;"Estética"", TRUE, ""Salão de Beleza""))"),"Salão de Beleza")</f>
        <v>Salão de Beleza</v>
      </c>
    </row>
    <row r="22">
      <c r="A22" s="1" t="s">
        <v>142</v>
      </c>
      <c r="B22" s="1" t="s">
        <v>143</v>
      </c>
      <c r="C22" s="1" t="s">
        <v>144</v>
      </c>
      <c r="D22" s="1" t="s">
        <v>145</v>
      </c>
      <c r="E22" s="1" t="s">
        <v>146</v>
      </c>
      <c r="F22" s="1" t="s">
        <v>147</v>
      </c>
      <c r="G22" s="3" t="str">
        <f>IFERROR(__xludf.DUMMYFUNCTION("AI(""Preencha um valor adequado para esta célula com base no contexto da tabela"")"),"Caxias -MA")</f>
        <v>Caxias -MA</v>
      </c>
      <c r="H22" s="2" t="s">
        <v>148</v>
      </c>
      <c r="I22" s="3" t="str">
        <f>IFERROR(__xludf.DUMMYFUNCTION("IF(A22="""", """", IFS(REGEXMATCH(LOWER(A22), ""barbearia|barber""), ""Barbearia"", REGEXMATCH(LOWER(A22), ""sobrancelh|c[ií]lio|lash|micropigment|showbrancelhas""), ""Sobrancelhas e Cílios"", REGEXMATCH(LOWER(A22), ""maquia|make""), ""Maquiagem"", REGEXM"&amp;"ATCH(LOWER(A22), ""depil|epil""), ""Depilação"", REGEXMATCH(LOWER(A22), ""esmalteria|unha|nail|manicur|spa dos p[eé]s|kauu_nhas""), ""Manicure - Esmalteria"", REGEXMATCH(LOWER(A22), ""est[eé]tic|bronze|massot|terap|pilates|revitalize|dra""), ""Clínica de "&amp;"Estética"", TRUE, ""Salão de Beleza""))"),"Salão de Beleza")</f>
        <v>Salão de Beleza</v>
      </c>
    </row>
    <row r="23">
      <c r="A23" s="1" t="s">
        <v>149</v>
      </c>
      <c r="B23" s="1" t="s">
        <v>150</v>
      </c>
      <c r="C23" s="1" t="s">
        <v>151</v>
      </c>
      <c r="D23" s="1" t="s">
        <v>152</v>
      </c>
      <c r="E23" s="1" t="s">
        <v>153</v>
      </c>
      <c r="F23" s="1" t="s">
        <v>154</v>
      </c>
      <c r="G23" s="3" t="str">
        <f>IFERROR(__xludf.DUMMYFUNCTION("AI(""Preencha um valor adequado para esta célula com base no contexto da tabela"")"),"Caxias -MA")</f>
        <v>Caxias -MA</v>
      </c>
      <c r="H23" s="2" t="s">
        <v>155</v>
      </c>
      <c r="I23" s="3" t="str">
        <f>IFERROR(__xludf.DUMMYFUNCTION("IF(A23="""", """", IFS(REGEXMATCH(LOWER(A23), ""barbearia|barber""), ""Barbearia"", REGEXMATCH(LOWER(A23), ""sobrancelh|c[ií]lio|lash|micropigment|showbrancelhas""), ""Sobrancelhas e Cílios"", REGEXMATCH(LOWER(A23), ""maquia|make""), ""Maquiagem"", REGEXM"&amp;"ATCH(LOWER(A23), ""depil|epil""), ""Depilação"", REGEXMATCH(LOWER(A23), ""esmalteria|unha|nail|manicur|spa dos p[eé]s|kauu_nhas""), ""Manicure - Esmalteria"", REGEXMATCH(LOWER(A23), ""est[eé]tic|bronze|massot|terap|pilates|revitalize|dra""), ""Clínica de "&amp;"Estética"", TRUE, ""Salão de Beleza""))"),"Salão de Beleza")</f>
        <v>Salão de Beleza</v>
      </c>
    </row>
    <row r="24">
      <c r="A24" s="1" t="s">
        <v>156</v>
      </c>
      <c r="B24" s="1" t="s">
        <v>157</v>
      </c>
      <c r="C24" s="1" t="s">
        <v>158</v>
      </c>
      <c r="D24" s="1" t="s">
        <v>159</v>
      </c>
      <c r="E24" s="1" t="s">
        <v>160</v>
      </c>
      <c r="F24" s="1" t="s">
        <v>161</v>
      </c>
      <c r="G24" s="3" t="str">
        <f>IFERROR(__xludf.DUMMYFUNCTION("AI(""Preencha um valor adequado para esta célula com base no contexto da tabela"")"),"Caxias -MA")</f>
        <v>Caxias -MA</v>
      </c>
      <c r="H24" s="2" t="s">
        <v>162</v>
      </c>
      <c r="I24" s="3" t="str">
        <f>IFERROR(__xludf.DUMMYFUNCTION("IF(A24="""", """", IFS(REGEXMATCH(LOWER(A24), ""barbearia|barber""), ""Barbearia"", REGEXMATCH(LOWER(A24), ""sobrancelh|c[ií]lio|lash|micropigment|showbrancelhas""), ""Sobrancelhas e Cílios"", REGEXMATCH(LOWER(A24), ""maquia|make""), ""Maquiagem"", REGEXM"&amp;"ATCH(LOWER(A24), ""depil|epil""), ""Depilação"", REGEXMATCH(LOWER(A24), ""esmalteria|unha|nail|manicur|spa dos p[eé]s|kauu_nhas""), ""Manicure - Esmalteria"", REGEXMATCH(LOWER(A24), ""est[eé]tic|bronze|massot|terap|pilates|revitalize|dra""), ""Clínica de "&amp;"Estética"", TRUE, ""Salão de Beleza""))"),"Salão de Beleza")</f>
        <v>Salão de Beleza</v>
      </c>
    </row>
    <row r="25">
      <c r="A25" s="1" t="s">
        <v>163</v>
      </c>
      <c r="B25" s="1" t="s">
        <v>164</v>
      </c>
      <c r="C25" s="1" t="s">
        <v>165</v>
      </c>
      <c r="D25" s="1" t="s">
        <v>166</v>
      </c>
      <c r="E25" s="1" t="s">
        <v>167</v>
      </c>
      <c r="F25" s="1" t="s">
        <v>168</v>
      </c>
      <c r="G25" s="3" t="str">
        <f>IFERROR(__xludf.DUMMYFUNCTION("AI(""Preencha um valor adequado para esta célula com base no contexto da tabela"")"),"Caxias -MA")</f>
        <v>Caxias -MA</v>
      </c>
      <c r="H25" s="2" t="s">
        <v>169</v>
      </c>
      <c r="I25" s="3" t="str">
        <f>IFERROR(__xludf.DUMMYFUNCTION("IF(A25="""", """", IFS(REGEXMATCH(LOWER(A25), ""barbearia|barber""), ""Barbearia"", REGEXMATCH(LOWER(A25), ""sobrancelh|c[ií]lio|lash|micropigment|showbrancelhas""), ""Sobrancelhas e Cílios"", REGEXMATCH(LOWER(A25), ""maquia|make""), ""Maquiagem"", REGEXM"&amp;"ATCH(LOWER(A25), ""depil|epil""), ""Depilação"", REGEXMATCH(LOWER(A25), ""esmalteria|unha|nail|manicur|spa dos p[eé]s|kauu_nhas""), ""Manicure - Esmalteria"", REGEXMATCH(LOWER(A25), ""est[eé]tic|bronze|massot|terap|pilates|revitalize|dra""), ""Clínica de "&amp;"Estética"", TRUE, ""Salão de Beleza""))"),"Salão de Beleza")</f>
        <v>Salão de Beleza</v>
      </c>
    </row>
    <row r="26">
      <c r="A26" s="1" t="s">
        <v>170</v>
      </c>
      <c r="B26" s="1" t="s">
        <v>171</v>
      </c>
      <c r="C26" s="1" t="s">
        <v>172</v>
      </c>
      <c r="D26" s="1" t="s">
        <v>173</v>
      </c>
      <c r="E26" s="1" t="s">
        <v>174</v>
      </c>
      <c r="F26" s="1" t="s">
        <v>175</v>
      </c>
      <c r="G26" s="3" t="str">
        <f>IFERROR(__xludf.DUMMYFUNCTION("AI(""Preencha um valor adequado para esta célula com base no contexto da tabela"")"),"Caxias - MA")</f>
        <v>Caxias - MA</v>
      </c>
      <c r="H26" s="2" t="s">
        <v>176</v>
      </c>
      <c r="I26" s="3" t="str">
        <f>IFERROR(__xludf.DUMMYFUNCTION("IF(A26="""", """", IFS(REGEXMATCH(LOWER(A26), ""barbearia|barber""), ""Barbearia"", REGEXMATCH(LOWER(A26), ""sobrancelh|c[ií]lio|lash|micropigment|showbrancelhas""), ""Sobrancelhas e Cílios"", REGEXMATCH(LOWER(A26), ""maquia|make""), ""Maquiagem"", REGEXM"&amp;"ATCH(LOWER(A26), ""depil|epil""), ""Depilação"", REGEXMATCH(LOWER(A26), ""esmalteria|unha|nail|manicur|spa dos p[eé]s|kauu_nhas""), ""Manicure - Esmalteria"", REGEXMATCH(LOWER(A26), ""est[eé]tic|bronze|massot|terap|pilates|revitalize|dra""), ""Clínica de "&amp;"Estética"", TRUE, ""Salão de Beleza""))"),"Salão de Beleza")</f>
        <v>Salão de Beleza</v>
      </c>
    </row>
    <row r="27">
      <c r="A27" s="1" t="s">
        <v>177</v>
      </c>
      <c r="D27" s="1" t="s">
        <v>178</v>
      </c>
      <c r="E27" s="1" t="s">
        <v>179</v>
      </c>
      <c r="F27" s="1" t="s">
        <v>180</v>
      </c>
      <c r="G27" s="3" t="str">
        <f>IFERROR(__xludf.DUMMYFUNCTION("AI(""Preencha um valor adequado para esta célula com base no contexto da tabela"")"),"Caxias -MA")</f>
        <v>Caxias -MA</v>
      </c>
      <c r="H27" s="2" t="s">
        <v>181</v>
      </c>
      <c r="I27" s="3" t="str">
        <f>IFERROR(__xludf.DUMMYFUNCTION("IF(A27="""", """", IFS(REGEXMATCH(LOWER(A27), ""barbearia|barber""), ""Barbearia"", REGEXMATCH(LOWER(A27), ""sobrancelh|c[ií]lio|lash|micropigment|showbrancelhas""), ""Sobrancelhas e Cílios"", REGEXMATCH(LOWER(A27), ""maquia|make""), ""Maquiagem"", REGEXM"&amp;"ATCH(LOWER(A27), ""depil|epil""), ""Depilação"", REGEXMATCH(LOWER(A27), ""esmalteria|unha|nail|manicur|spa dos p[eé]s|kauu_nhas""), ""Manicure - Esmalteria"", REGEXMATCH(LOWER(A27), ""est[eé]tic|bronze|massot|terap|pilates|revitalize|dra""), ""Clínica de "&amp;"Estética"", TRUE, ""Salão de Beleza""))"),"Salão de Beleza")</f>
        <v>Salão de Beleza</v>
      </c>
    </row>
    <row r="28">
      <c r="A28" s="1" t="s">
        <v>182</v>
      </c>
      <c r="B28" s="1" t="s">
        <v>183</v>
      </c>
      <c r="C28" s="1" t="s">
        <v>184</v>
      </c>
      <c r="D28" s="1" t="s">
        <v>185</v>
      </c>
      <c r="E28" s="1" t="s">
        <v>186</v>
      </c>
      <c r="F28" s="1" t="s">
        <v>187</v>
      </c>
      <c r="G28" s="3" t="str">
        <f>IFERROR(__xludf.DUMMYFUNCTION("AI(""Preencha um valor adequado para esta célula com base no contexto da tabela"")"),"Caxias -MA")</f>
        <v>Caxias -MA</v>
      </c>
      <c r="H28" s="2" t="s">
        <v>188</v>
      </c>
      <c r="I28" s="3" t="str">
        <f>IFERROR(__xludf.DUMMYFUNCTION("IF(A28="""", """", IFS(REGEXMATCH(LOWER(A28), ""barbearia|barber""), ""Barbearia"", REGEXMATCH(LOWER(A28), ""sobrancelh|c[ií]lio|lash|micropigment|showbrancelhas""), ""Sobrancelhas e Cílios"", REGEXMATCH(LOWER(A28), ""maquia|make""), ""Maquiagem"", REGEXM"&amp;"ATCH(LOWER(A28), ""depil|epil""), ""Depilação"", REGEXMATCH(LOWER(A28), ""esmalteria|unha|nail|manicur|spa dos p[eé]s|kauu_nhas""), ""Manicure - Esmalteria"", REGEXMATCH(LOWER(A28), ""est[eé]tic|bronze|massot|terap|pilates|revitalize|dra""), ""Clínica de "&amp;"Estética"", TRUE, ""Salão de Beleza""))"),"Salão de Beleza")</f>
        <v>Salão de Beleza</v>
      </c>
    </row>
    <row r="29">
      <c r="A29" s="1" t="s">
        <v>189</v>
      </c>
      <c r="D29" s="1" t="s">
        <v>190</v>
      </c>
      <c r="E29" s="1" t="s">
        <v>191</v>
      </c>
      <c r="F29" s="1" t="s">
        <v>192</v>
      </c>
      <c r="G29" s="3" t="str">
        <f>IFERROR(__xludf.DUMMYFUNCTION("AI(""Preencha um valor adequado para esta célula com base no contexto da tabela"")"),"Caxias -MA")</f>
        <v>Caxias -MA</v>
      </c>
      <c r="H29" s="2" t="s">
        <v>193</v>
      </c>
      <c r="I29" s="3" t="str">
        <f>IFERROR(__xludf.DUMMYFUNCTION("IF(A29="""", """", IFS(REGEXMATCH(LOWER(A29), ""barbearia|barber""), ""Barbearia"", REGEXMATCH(LOWER(A29), ""sobrancelh|c[ií]lio|lash|micropigment|showbrancelhas""), ""Sobrancelhas e Cílios"", REGEXMATCH(LOWER(A29), ""maquia|make""), ""Maquiagem"", REGEXM"&amp;"ATCH(LOWER(A29), ""depil|epil""), ""Depilação"", REGEXMATCH(LOWER(A29), ""esmalteria|unha|nail|manicur|spa dos p[eé]s|kauu_nhas""), ""Manicure - Esmalteria"", REGEXMATCH(LOWER(A29), ""est[eé]tic|bronze|massot|terap|pilates|revitalize|dra""), ""Clínica de "&amp;"Estética"", TRUE, ""Salão de Beleza""))"),"Salão de Beleza")</f>
        <v>Salão de Beleza</v>
      </c>
    </row>
    <row r="30">
      <c r="A30" s="1" t="s">
        <v>194</v>
      </c>
      <c r="B30" s="1" t="s">
        <v>195</v>
      </c>
      <c r="C30" s="1" t="s">
        <v>196</v>
      </c>
      <c r="D30" s="1" t="s">
        <v>197</v>
      </c>
      <c r="E30" s="1" t="s">
        <v>198</v>
      </c>
      <c r="F30" s="1" t="s">
        <v>199</v>
      </c>
      <c r="G30" s="3" t="str">
        <f>IFERROR(__xludf.DUMMYFUNCTION("AI(""Preencha um valor adequado para esta célula com base no contexto da tabela"")"),"Caxias -MA")</f>
        <v>Caxias -MA</v>
      </c>
      <c r="H30" s="2" t="s">
        <v>200</v>
      </c>
      <c r="I30" s="3" t="str">
        <f>IFERROR(__xludf.DUMMYFUNCTION("IF(A30="""", """", IFS(REGEXMATCH(LOWER(A30), ""barbearia|barber""), ""Barbearia"", REGEXMATCH(LOWER(A30), ""sobrancelh|c[ií]lio|lash|micropigment|showbrancelhas""), ""Sobrancelhas e Cílios"", REGEXMATCH(LOWER(A30), ""maquia|make""), ""Maquiagem"", REGEXM"&amp;"ATCH(LOWER(A30), ""depil|epil""), ""Depilação"", REGEXMATCH(LOWER(A30), ""esmalteria|unha|nail|manicur|spa dos p[eé]s|kauu_nhas""), ""Manicure - Esmalteria"", REGEXMATCH(LOWER(A30), ""est[eé]tic|bronze|massot|terap|pilates|revitalize|dra""), ""Clínica de "&amp;"Estética"", TRUE, ""Salão de Beleza""))"),"Salão de Beleza")</f>
        <v>Salão de Beleza</v>
      </c>
    </row>
    <row r="31">
      <c r="A31" s="1" t="s">
        <v>201</v>
      </c>
      <c r="D31" s="1" t="s">
        <v>202</v>
      </c>
      <c r="E31" s="1" t="s">
        <v>203</v>
      </c>
      <c r="F31" s="1" t="s">
        <v>204</v>
      </c>
      <c r="G31" s="3" t="str">
        <f>IFERROR(__xludf.DUMMYFUNCTION("AI(""Preencha um valor adequado para esta célula com base no contexto da tabela"")"),"Caxias -MA")</f>
        <v>Caxias -MA</v>
      </c>
      <c r="H31" s="2" t="s">
        <v>205</v>
      </c>
      <c r="I31" s="3" t="str">
        <f>IFERROR(__xludf.DUMMYFUNCTION("IF(A31="""", """", IFS(REGEXMATCH(LOWER(A31), ""barbearia|barber""), ""Barbearia"", REGEXMATCH(LOWER(A31), ""sobrancelh|c[ií]lio|lash|micropigment|showbrancelhas""), ""Sobrancelhas e Cílios"", REGEXMATCH(LOWER(A31), ""maquia|make""), ""Maquiagem"", REGEXM"&amp;"ATCH(LOWER(A31), ""depil|epil""), ""Depilação"", REGEXMATCH(LOWER(A31), ""esmalteria|unha|nail|manicur|spa dos p[eé]s|kauu_nhas""), ""Manicure - Esmalteria"", REGEXMATCH(LOWER(A31), ""est[eé]tic|bronze|massot|terap|pilates|revitalize|dra""), ""Clínica de "&amp;"Estética"", TRUE, ""Salão de Beleza""))"),"Salão de Beleza")</f>
        <v>Salão de Beleza</v>
      </c>
    </row>
    <row r="32">
      <c r="A32" s="1" t="s">
        <v>206</v>
      </c>
      <c r="B32" s="1" t="s">
        <v>207</v>
      </c>
      <c r="C32" s="1" t="s">
        <v>208</v>
      </c>
      <c r="D32" s="1" t="s">
        <v>209</v>
      </c>
      <c r="E32" s="1" t="s">
        <v>210</v>
      </c>
      <c r="F32" s="1" t="s">
        <v>211</v>
      </c>
      <c r="G32" s="3" t="str">
        <f>IFERROR(__xludf.DUMMYFUNCTION("AI(""Preencha um valor adequado para esta célula com base no contexto da tabela"")"),"Caxias -MA")</f>
        <v>Caxias -MA</v>
      </c>
      <c r="H32" s="2" t="s">
        <v>212</v>
      </c>
      <c r="I32" s="3" t="str">
        <f>IFERROR(__xludf.DUMMYFUNCTION("IF(A32="""", """", IFS(REGEXMATCH(LOWER(A32), ""barbearia|barber""), ""Barbearia"", REGEXMATCH(LOWER(A32), ""sobrancelh|c[ií]lio|lash|micropigment|showbrancelhas""), ""Sobrancelhas e Cílios"", REGEXMATCH(LOWER(A32), ""maquia|make""), ""Maquiagem"", REGEXM"&amp;"ATCH(LOWER(A32), ""depil|epil""), ""Depilação"", REGEXMATCH(LOWER(A32), ""esmalteria|unha|nail|manicur|spa dos p[eé]s|kauu_nhas""), ""Manicure - Esmalteria"", REGEXMATCH(LOWER(A32), ""est[eé]tic|bronze|massot|terap|pilates|revitalize|dra""), ""Clínica de "&amp;"Estética"", TRUE, ""Salão de Beleza""))"),"Salão de Beleza")</f>
        <v>Salão de Beleza</v>
      </c>
    </row>
    <row r="33">
      <c r="A33" s="1" t="s">
        <v>213</v>
      </c>
      <c r="B33" s="1" t="s">
        <v>214</v>
      </c>
      <c r="C33" s="1" t="s">
        <v>215</v>
      </c>
      <c r="D33" s="1" t="s">
        <v>216</v>
      </c>
      <c r="E33" s="1" t="s">
        <v>217</v>
      </c>
      <c r="F33" s="1" t="s">
        <v>218</v>
      </c>
      <c r="G33" s="3" t="str">
        <f>IFERROR(__xludf.DUMMYFUNCTION("AI(""Preencha um valor adequado para esta célula com base no contexto da tabela"")"),"Caxias -MA")</f>
        <v>Caxias -MA</v>
      </c>
      <c r="H33" s="2" t="s">
        <v>219</v>
      </c>
      <c r="I33" s="3" t="str">
        <f>IFERROR(__xludf.DUMMYFUNCTION("IF(A33="""", """", IFS(REGEXMATCH(LOWER(A33), ""barbearia|barber""), ""Barbearia"", REGEXMATCH(LOWER(A33), ""sobrancelh|c[ií]lio|lash|micropigment|showbrancelhas""), ""Sobrancelhas e Cílios"", REGEXMATCH(LOWER(A33), ""maquia|make""), ""Maquiagem"", REGEXM"&amp;"ATCH(LOWER(A33), ""depil|epil""), ""Depilação"", REGEXMATCH(LOWER(A33), ""esmalteria|unha|nail|manicur|spa dos p[eé]s|kauu_nhas""), ""Manicure - Esmalteria"", REGEXMATCH(LOWER(A33), ""est[eé]tic|bronze|massot|terap|pilates|revitalize|dra""), ""Clínica de "&amp;"Estética"", TRUE, ""Salão de Beleza""))"),"Salão de Beleza")</f>
        <v>Salão de Beleza</v>
      </c>
    </row>
    <row r="34">
      <c r="A34" s="1" t="s">
        <v>220</v>
      </c>
      <c r="B34" s="1" t="s">
        <v>221</v>
      </c>
      <c r="C34" s="1" t="s">
        <v>222</v>
      </c>
      <c r="D34" s="1" t="s">
        <v>223</v>
      </c>
      <c r="E34" s="1" t="s">
        <v>224</v>
      </c>
      <c r="F34" s="1" t="s">
        <v>225</v>
      </c>
      <c r="G34" s="3" t="str">
        <f>IFERROR(__xludf.DUMMYFUNCTION("AI(""Preencha um valor adequado para esta célula com base no contexto da tabela"")"),"Caxias -MA")</f>
        <v>Caxias -MA</v>
      </c>
      <c r="H34" s="2" t="s">
        <v>226</v>
      </c>
      <c r="I34" s="3" t="str">
        <f>IFERROR(__xludf.DUMMYFUNCTION("IF(A34="""", """", IFS(REGEXMATCH(LOWER(A34), ""barbearia|barber""), ""Barbearia"", REGEXMATCH(LOWER(A34), ""sobrancelh|c[ií]lio|lash|micropigment|showbrancelhas""), ""Sobrancelhas e Cílios"", REGEXMATCH(LOWER(A34), ""maquia|make""), ""Maquiagem"", REGEXM"&amp;"ATCH(LOWER(A34), ""depil|epil""), ""Depilação"", REGEXMATCH(LOWER(A34), ""esmalteria|unha|nail|manicur|spa dos p[eé]s|kauu_nhas""), ""Manicure - Esmalteria"", REGEXMATCH(LOWER(A34), ""est[eé]tic|bronze|massot|terap|pilates|revitalize|dra""), ""Clínica de "&amp;"Estética"", TRUE, ""Salão de Beleza""))"),"Salão de Beleza")</f>
        <v>Salão de Beleza</v>
      </c>
    </row>
    <row r="35">
      <c r="A35" s="1" t="s">
        <v>227</v>
      </c>
      <c r="B35" s="1" t="s">
        <v>228</v>
      </c>
      <c r="C35" s="1" t="s">
        <v>229</v>
      </c>
      <c r="D35" s="1" t="s">
        <v>230</v>
      </c>
      <c r="E35" s="1" t="s">
        <v>231</v>
      </c>
      <c r="F35" s="1" t="s">
        <v>232</v>
      </c>
      <c r="G35" s="3" t="str">
        <f>IFERROR(__xludf.DUMMYFUNCTION("AI(""Preencha um valor adequado para esta célula com base no contexto da tabela"")"),"Caxias -MA")</f>
        <v>Caxias -MA</v>
      </c>
      <c r="H35" s="2" t="s">
        <v>233</v>
      </c>
      <c r="I35" s="3" t="str">
        <f>IFERROR(__xludf.DUMMYFUNCTION("IF(A35="""", """", IFS(REGEXMATCH(LOWER(A35), ""barbearia|barber""), ""Barbearia"", REGEXMATCH(LOWER(A35), ""sobrancelh|c[ií]lio|lash|micropigment|showbrancelhas""), ""Sobrancelhas e Cílios"", REGEXMATCH(LOWER(A35), ""maquia|make""), ""Maquiagem"", REGEXM"&amp;"ATCH(LOWER(A35), ""depil|epil""), ""Depilação"", REGEXMATCH(LOWER(A35), ""esmalteria|unha|nail|manicur|spa dos p[eé]s|kauu_nhas""), ""Manicure - Esmalteria"", REGEXMATCH(LOWER(A35), ""est[eé]tic|bronze|massot|terap|pilates|revitalize|dra""), ""Clínica de "&amp;"Estética"", TRUE, ""Salão de Beleza""))"),"Salão de Beleza")</f>
        <v>Salão de Beleza</v>
      </c>
    </row>
    <row r="36">
      <c r="A36" s="1" t="s">
        <v>234</v>
      </c>
      <c r="B36" s="1" t="s">
        <v>235</v>
      </c>
      <c r="C36" s="1" t="s">
        <v>236</v>
      </c>
      <c r="D36" s="1" t="s">
        <v>237</v>
      </c>
      <c r="E36" s="1" t="s">
        <v>238</v>
      </c>
      <c r="F36" s="1" t="s">
        <v>239</v>
      </c>
      <c r="G36" s="3" t="str">
        <f>IFERROR(__xludf.DUMMYFUNCTION("AI(""Preencha um valor adequado para esta célula com base no contexto da tabela"")"),"Caxias -MA")</f>
        <v>Caxias -MA</v>
      </c>
      <c r="H36" s="2" t="s">
        <v>240</v>
      </c>
      <c r="I36" s="3" t="str">
        <f>IFERROR(__xludf.DUMMYFUNCTION("IF(A36="""", """", IFS(REGEXMATCH(LOWER(A36), ""barbearia|barber""), ""Barbearia"", REGEXMATCH(LOWER(A36), ""sobrancelh|c[ií]lio|lash|micropigment|showbrancelhas""), ""Sobrancelhas e Cílios"", REGEXMATCH(LOWER(A36), ""maquia|make""), ""Maquiagem"", REGEXM"&amp;"ATCH(LOWER(A36), ""depil|epil""), ""Depilação"", REGEXMATCH(LOWER(A36), ""esmalteria|unha|nail|manicur|spa dos p[eé]s|kauu_nhas""), ""Manicure - Esmalteria"", REGEXMATCH(LOWER(A36), ""est[eé]tic|bronze|massot|terap|pilates|revitalize|dra""), ""Clínica de "&amp;"Estética"", TRUE, ""Salão de Beleza""))"),"Salão de Beleza")</f>
        <v>Salão de Beleza</v>
      </c>
    </row>
    <row r="37">
      <c r="A37" s="1" t="s">
        <v>241</v>
      </c>
      <c r="B37" s="1" t="s">
        <v>242</v>
      </c>
      <c r="C37" s="1" t="s">
        <v>243</v>
      </c>
      <c r="D37" s="1" t="s">
        <v>244</v>
      </c>
      <c r="E37" s="1" t="s">
        <v>245</v>
      </c>
      <c r="F37" s="1" t="s">
        <v>246</v>
      </c>
      <c r="G37" s="3" t="str">
        <f>IFERROR(__xludf.DUMMYFUNCTION("AI(""Preencha um valor adequado para esta célula com base no contexto da tabela"")"),"Caxias -MA")</f>
        <v>Caxias -MA</v>
      </c>
      <c r="H37" s="2" t="s">
        <v>247</v>
      </c>
      <c r="I37" s="3" t="str">
        <f>IFERROR(__xludf.DUMMYFUNCTION("IF(A37="""", """", IFS(REGEXMATCH(LOWER(A37), ""barbearia|barber""), ""Barbearia"", REGEXMATCH(LOWER(A37), ""sobrancelh|c[ií]lio|lash|micropigment|showbrancelhas""), ""Sobrancelhas e Cílios"", REGEXMATCH(LOWER(A37), ""maquia|make""), ""Maquiagem"", REGEXM"&amp;"ATCH(LOWER(A37), ""depil|epil""), ""Depilação"", REGEXMATCH(LOWER(A37), ""esmalteria|unha|nail|manicur|spa dos p[eé]s|kauu_nhas""), ""Manicure - Esmalteria"", REGEXMATCH(LOWER(A37), ""est[eé]tic|bronze|massot|terap|pilates|revitalize|dra""), ""Clínica de "&amp;"Estética"", TRUE, ""Salão de Beleza""))"),"Salão de Beleza")</f>
        <v>Salão de Beleza</v>
      </c>
    </row>
    <row r="38">
      <c r="A38" s="1" t="s">
        <v>248</v>
      </c>
      <c r="B38" s="1" t="s">
        <v>249</v>
      </c>
      <c r="C38" s="1" t="s">
        <v>250</v>
      </c>
      <c r="D38" s="1" t="s">
        <v>251</v>
      </c>
      <c r="E38" s="1" t="s">
        <v>252</v>
      </c>
      <c r="F38" s="1" t="s">
        <v>253</v>
      </c>
      <c r="G38" s="3" t="str">
        <f>IFERROR(__xludf.DUMMYFUNCTION("AI(""Preencha um valor adequado para esta célula com base no contexto da tabela"")"),"Caxias -MA")</f>
        <v>Caxias -MA</v>
      </c>
      <c r="H38" s="2" t="s">
        <v>254</v>
      </c>
      <c r="I38" s="3" t="str">
        <f>IFERROR(__xludf.DUMMYFUNCTION("IF(A38="""", """", IFS(REGEXMATCH(LOWER(A38), ""barbearia|barber""), ""Barbearia"", REGEXMATCH(LOWER(A38), ""sobrancelh|c[ií]lio|lash|micropigment|showbrancelhas""), ""Sobrancelhas e Cílios"", REGEXMATCH(LOWER(A38), ""maquia|make""), ""Maquiagem"", REGEXM"&amp;"ATCH(LOWER(A38), ""depil|epil""), ""Depilação"", REGEXMATCH(LOWER(A38), ""esmalteria|unha|nail|manicur|spa dos p[eé]s|kauu_nhas""), ""Manicure - Esmalteria"", REGEXMATCH(LOWER(A38), ""est[eé]tic|bronze|massot|terap|pilates|revitalize|dra""), ""Clínica de "&amp;"Estética"", TRUE, ""Salão de Beleza""))"),"Manicure - Esmalteria")</f>
        <v>Manicure - Esmalteria</v>
      </c>
    </row>
    <row r="39">
      <c r="A39" s="1" t="s">
        <v>255</v>
      </c>
      <c r="B39" s="1" t="s">
        <v>256</v>
      </c>
      <c r="C39" s="1" t="s">
        <v>257</v>
      </c>
      <c r="D39" s="1" t="s">
        <v>258</v>
      </c>
      <c r="E39" s="1" t="s">
        <v>259</v>
      </c>
      <c r="F39" s="1" t="s">
        <v>260</v>
      </c>
      <c r="G39" s="3" t="str">
        <f>IFERROR(__xludf.DUMMYFUNCTION("AI(""Preencha um valor adequado para esta célula com base no contexto da tabela"")"),"Caxias -MA")</f>
        <v>Caxias -MA</v>
      </c>
      <c r="H39" s="2" t="s">
        <v>261</v>
      </c>
      <c r="I39" s="3" t="str">
        <f>IFERROR(__xludf.DUMMYFUNCTION("IF(A39="""", """", IFS(REGEXMATCH(LOWER(A39), ""barbearia|barber""), ""Barbearia"", REGEXMATCH(LOWER(A39), ""sobrancelh|c[ií]lio|lash|micropigment|showbrancelhas""), ""Sobrancelhas e Cílios"", REGEXMATCH(LOWER(A39), ""maquia|make""), ""Maquiagem"", REGEXM"&amp;"ATCH(LOWER(A39), ""depil|epil""), ""Depilação"", REGEXMATCH(LOWER(A39), ""esmalteria|unha|nail|manicur|spa dos p[eé]s|kauu_nhas""), ""Manicure - Esmalteria"", REGEXMATCH(LOWER(A39), ""est[eé]tic|bronze|massot|terap|pilates|revitalize|dra""), ""Clínica de "&amp;"Estética"", TRUE, ""Salão de Beleza""))"),"Salão de Beleza")</f>
        <v>Salão de Beleza</v>
      </c>
    </row>
    <row r="40">
      <c r="A40" s="1" t="s">
        <v>262</v>
      </c>
      <c r="B40" s="1" t="s">
        <v>263</v>
      </c>
      <c r="C40" s="1" t="s">
        <v>264</v>
      </c>
      <c r="D40" s="1" t="s">
        <v>265</v>
      </c>
      <c r="E40" s="1" t="s">
        <v>266</v>
      </c>
      <c r="F40" s="1" t="s">
        <v>267</v>
      </c>
      <c r="G40" s="3" t="str">
        <f>IFERROR(__xludf.DUMMYFUNCTION("AI(""Preencha um valor adequado para esta célula com base no contexto da tabela"")"),"Caxias -MA")</f>
        <v>Caxias -MA</v>
      </c>
      <c r="H40" s="2" t="s">
        <v>268</v>
      </c>
      <c r="I40" s="3" t="str">
        <f>IFERROR(__xludf.DUMMYFUNCTION("IF(A40="""", """", IFS(REGEXMATCH(LOWER(A40), ""barbearia|barber""), ""Barbearia"", REGEXMATCH(LOWER(A40), ""sobrancelh|c[ií]lio|lash|micropigment|showbrancelhas""), ""Sobrancelhas e Cílios"", REGEXMATCH(LOWER(A40), ""maquia|make""), ""Maquiagem"", REGEXM"&amp;"ATCH(LOWER(A40), ""depil|epil""), ""Depilação"", REGEXMATCH(LOWER(A40), ""esmalteria|unha|nail|manicur|spa dos p[eé]s|kauu_nhas""), ""Manicure - Esmalteria"", REGEXMATCH(LOWER(A40), ""est[eé]tic|bronze|massot|terap|pilates|revitalize|dra""), ""Clínica de "&amp;"Estética"", TRUE, ""Salão de Beleza""))"),"Clínica de Estética")</f>
        <v>Clínica de Estética</v>
      </c>
    </row>
    <row r="41">
      <c r="A41" s="1" t="s">
        <v>269</v>
      </c>
      <c r="B41" s="1" t="s">
        <v>270</v>
      </c>
      <c r="C41" s="1" t="s">
        <v>271</v>
      </c>
      <c r="D41" s="1" t="s">
        <v>272</v>
      </c>
      <c r="E41" s="1" t="s">
        <v>273</v>
      </c>
      <c r="F41" s="1" t="s">
        <v>274</v>
      </c>
      <c r="G41" s="3" t="str">
        <f>IFERROR(__xludf.DUMMYFUNCTION("AI(""Preencha um valor adequado para esta célula com base no contexto da tabela"")"),"Caxias -MA")</f>
        <v>Caxias -MA</v>
      </c>
      <c r="H41" s="2" t="s">
        <v>275</v>
      </c>
      <c r="I41" s="3" t="str">
        <f>IFERROR(__xludf.DUMMYFUNCTION("IF(A41="""", """", IFS(REGEXMATCH(LOWER(A41), ""barbearia|barber""), ""Barbearia"", REGEXMATCH(LOWER(A41), ""sobrancelh|c[ií]lio|lash|micropigment|showbrancelhas""), ""Sobrancelhas e Cílios"", REGEXMATCH(LOWER(A41), ""maquia|make""), ""Maquiagem"", REGEXM"&amp;"ATCH(LOWER(A41), ""depil|epil""), ""Depilação"", REGEXMATCH(LOWER(A41), ""esmalteria|unha|nail|manicur|spa dos p[eé]s|kauu_nhas""), ""Manicure - Esmalteria"", REGEXMATCH(LOWER(A41), ""est[eé]tic|bronze|massot|terap|pilates|revitalize|dra""), ""Clínica de "&amp;"Estética"", TRUE, ""Salão de Beleza""))"),"Salão de Beleza")</f>
        <v>Salão de Beleza</v>
      </c>
    </row>
    <row r="42">
      <c r="A42" s="1" t="s">
        <v>276</v>
      </c>
      <c r="B42" s="1" t="s">
        <v>277</v>
      </c>
      <c r="C42" s="1" t="s">
        <v>278</v>
      </c>
      <c r="D42" s="1" t="s">
        <v>279</v>
      </c>
      <c r="E42" s="1" t="s">
        <v>280</v>
      </c>
      <c r="F42" s="1" t="s">
        <v>281</v>
      </c>
      <c r="G42" s="3" t="str">
        <f>IFERROR(__xludf.DUMMYFUNCTION("AI(""Preencha um valor adequado para esta célula com base no contexto da tabela"")"),"Caxias -MA")</f>
        <v>Caxias -MA</v>
      </c>
      <c r="H42" s="2" t="s">
        <v>282</v>
      </c>
      <c r="I42" s="3" t="str">
        <f>IFERROR(__xludf.DUMMYFUNCTION("IF(A42="""", """", IFS(REGEXMATCH(LOWER(A42), ""barbearia|barber""), ""Barbearia"", REGEXMATCH(LOWER(A42), ""sobrancelh|c[ií]lio|lash|micropigment|showbrancelhas""), ""Sobrancelhas e Cílios"", REGEXMATCH(LOWER(A42), ""maquia|make""), ""Maquiagem"", REGEXM"&amp;"ATCH(LOWER(A42), ""depil|epil""), ""Depilação"", REGEXMATCH(LOWER(A42), ""esmalteria|unha|nail|manicur|spa dos p[eé]s|kauu_nhas""), ""Manicure - Esmalteria"", REGEXMATCH(LOWER(A42), ""est[eé]tic|bronze|massot|terap|pilates|revitalize|dra""), ""Clínica de "&amp;"Estética"", TRUE, ""Salão de Beleza""))"),"Clínica de Estética")</f>
        <v>Clínica de Estética</v>
      </c>
    </row>
    <row r="43">
      <c r="A43" s="1" t="s">
        <v>283</v>
      </c>
      <c r="D43" s="1" t="s">
        <v>284</v>
      </c>
      <c r="E43" s="1" t="s">
        <v>285</v>
      </c>
      <c r="F43" s="1" t="s">
        <v>286</v>
      </c>
      <c r="G43" s="3" t="str">
        <f>IFERROR(__xludf.DUMMYFUNCTION("AI(""Preencha um valor adequado para esta célula com base no contexto da tabela"")"),"Caxias -MA")</f>
        <v>Caxias -MA</v>
      </c>
      <c r="H43" s="2" t="s">
        <v>287</v>
      </c>
      <c r="I43" s="3" t="str">
        <f>IFERROR(__xludf.DUMMYFUNCTION("IF(A43="""", """", IFS(REGEXMATCH(LOWER(A43), ""barbearia|barber""), ""Barbearia"", REGEXMATCH(LOWER(A43), ""sobrancelh|c[ií]lio|lash|micropigment|showbrancelhas""), ""Sobrancelhas e Cílios"", REGEXMATCH(LOWER(A43), ""maquia|make""), ""Maquiagem"", REGEXM"&amp;"ATCH(LOWER(A43), ""depil|epil""), ""Depilação"", REGEXMATCH(LOWER(A43), ""esmalteria|unha|nail|manicur|spa dos p[eé]s|kauu_nhas""), ""Manicure - Esmalteria"", REGEXMATCH(LOWER(A43), ""est[eé]tic|bronze|massot|terap|pilates|revitalize|dra""), ""Clínica de "&amp;"Estética"", TRUE, ""Salão de Beleza""))"),"Salão de Beleza")</f>
        <v>Salão de Beleza</v>
      </c>
    </row>
    <row r="44">
      <c r="A44" s="1" t="s">
        <v>288</v>
      </c>
      <c r="B44" s="1" t="s">
        <v>289</v>
      </c>
      <c r="C44" s="1" t="s">
        <v>290</v>
      </c>
      <c r="D44" s="1" t="s">
        <v>291</v>
      </c>
      <c r="E44" s="1" t="s">
        <v>292</v>
      </c>
      <c r="F44" s="1" t="s">
        <v>293</v>
      </c>
      <c r="G44" s="3" t="str">
        <f>IFERROR(__xludf.DUMMYFUNCTION("AI(""Preencha um valor adequado para esta célula com base no contexto da tabela"")"),"Caxias -MA")</f>
        <v>Caxias -MA</v>
      </c>
      <c r="H44" s="2" t="s">
        <v>294</v>
      </c>
      <c r="I44" s="3" t="str">
        <f>IFERROR(__xludf.DUMMYFUNCTION("IF(A44="""", """", IFS(REGEXMATCH(LOWER(A44), ""barbearia|barber""), ""Barbearia"", REGEXMATCH(LOWER(A44), ""sobrancelh|c[ií]lio|lash|micropigment|showbrancelhas""), ""Sobrancelhas e Cílios"", REGEXMATCH(LOWER(A44), ""maquia|make""), ""Maquiagem"", REGEXM"&amp;"ATCH(LOWER(A44), ""depil|epil""), ""Depilação"", REGEXMATCH(LOWER(A44), ""esmalteria|unha|nail|manicur|spa dos p[eé]s|kauu_nhas""), ""Manicure - Esmalteria"", REGEXMATCH(LOWER(A44), ""est[eé]tic|bronze|massot|terap|pilates|revitalize|dra""), ""Clínica de "&amp;"Estética"", TRUE, ""Salão de Beleza""))"),"Salão de Beleza")</f>
        <v>Salão de Beleza</v>
      </c>
    </row>
    <row r="45">
      <c r="A45" s="1" t="s">
        <v>295</v>
      </c>
      <c r="B45" s="1" t="s">
        <v>296</v>
      </c>
      <c r="C45" s="1" t="s">
        <v>297</v>
      </c>
      <c r="D45" s="1" t="s">
        <v>298</v>
      </c>
      <c r="E45" s="1" t="s">
        <v>299</v>
      </c>
      <c r="F45" s="1" t="s">
        <v>300</v>
      </c>
      <c r="G45" s="3" t="str">
        <f>IFERROR(__xludf.DUMMYFUNCTION("AI(""Preencha um valor adequado para esta célula com base no contexto da tabela"")"),"Caxias -MA")</f>
        <v>Caxias -MA</v>
      </c>
      <c r="H45" s="2" t="s">
        <v>301</v>
      </c>
      <c r="I45" s="3" t="str">
        <f>IFERROR(__xludf.DUMMYFUNCTION("IF(A45="""", """", IFS(REGEXMATCH(LOWER(A45), ""barbearia|barber""), ""Barbearia"", REGEXMATCH(LOWER(A45), ""sobrancelh|c[ií]lio|lash|micropigment|showbrancelhas""), ""Sobrancelhas e Cílios"", REGEXMATCH(LOWER(A45), ""maquia|make""), ""Maquiagem"", REGEXM"&amp;"ATCH(LOWER(A45), ""depil|epil""), ""Depilação"", REGEXMATCH(LOWER(A45), ""esmalteria|unha|nail|manicur|spa dos p[eé]s|kauu_nhas""), ""Manicure - Esmalteria"", REGEXMATCH(LOWER(A45), ""est[eé]tic|bronze|massot|terap|pilates|revitalize|dra""), ""Clínica de "&amp;"Estética"", TRUE, ""Salão de Beleza""))"),"Salão de Beleza")</f>
        <v>Salão de Beleza</v>
      </c>
    </row>
    <row r="46">
      <c r="A46" s="1" t="s">
        <v>302</v>
      </c>
      <c r="B46" s="1" t="s">
        <v>303</v>
      </c>
      <c r="C46" s="1" t="s">
        <v>304</v>
      </c>
      <c r="D46" s="1" t="s">
        <v>305</v>
      </c>
      <c r="E46" s="1" t="s">
        <v>306</v>
      </c>
      <c r="F46" s="1" t="s">
        <v>307</v>
      </c>
      <c r="G46" s="3" t="str">
        <f>IFERROR(__xludf.DUMMYFUNCTION("AI(""Preencha um valor adequado para esta célula com base no contexto da tabela"")"),"Caxias -MA")</f>
        <v>Caxias -MA</v>
      </c>
      <c r="H46" s="2" t="s">
        <v>308</v>
      </c>
      <c r="I46" s="3" t="str">
        <f>IFERROR(__xludf.DUMMYFUNCTION("IF(A46="""", """", IFS(REGEXMATCH(LOWER(A46), ""barbearia|barber""), ""Barbearia"", REGEXMATCH(LOWER(A46), ""sobrancelh|c[ií]lio|lash|micropigment|showbrancelhas""), ""Sobrancelhas e Cílios"", REGEXMATCH(LOWER(A46), ""maquia|make""), ""Maquiagem"", REGEXM"&amp;"ATCH(LOWER(A46), ""depil|epil""), ""Depilação"", REGEXMATCH(LOWER(A46), ""esmalteria|unha|nail|manicur|spa dos p[eé]s|kauu_nhas""), ""Manicure - Esmalteria"", REGEXMATCH(LOWER(A46), ""est[eé]tic|bronze|massot|terap|pilates|revitalize|dra""), ""Clínica de "&amp;"Estética"", TRUE, ""Salão de Beleza""))"),"Salão de Beleza")</f>
        <v>Salão de Beleza</v>
      </c>
    </row>
    <row r="47">
      <c r="A47" s="1" t="s">
        <v>309</v>
      </c>
      <c r="B47" s="1" t="s">
        <v>310</v>
      </c>
      <c r="C47" s="1" t="s">
        <v>311</v>
      </c>
      <c r="D47" s="1" t="s">
        <v>312</v>
      </c>
      <c r="E47" s="1" t="s">
        <v>313</v>
      </c>
      <c r="F47" s="1" t="s">
        <v>314</v>
      </c>
      <c r="G47" s="3" t="str">
        <f>IFERROR(__xludf.DUMMYFUNCTION("AI(""Preencha um valor adequado para esta célula com base no contexto da tabela"")"),"Caxias -MA")</f>
        <v>Caxias -MA</v>
      </c>
      <c r="H47" s="2" t="s">
        <v>315</v>
      </c>
      <c r="I47" s="3" t="str">
        <f>IFERROR(__xludf.DUMMYFUNCTION("IF(A47="""", """", IFS(REGEXMATCH(LOWER(A47), ""barbearia|barber""), ""Barbearia"", REGEXMATCH(LOWER(A47), ""sobrancelh|c[ií]lio|lash|micropigment|showbrancelhas""), ""Sobrancelhas e Cílios"", REGEXMATCH(LOWER(A47), ""maquia|make""), ""Maquiagem"", REGEXM"&amp;"ATCH(LOWER(A47), ""depil|epil""), ""Depilação"", REGEXMATCH(LOWER(A47), ""esmalteria|unha|nail|manicur|spa dos p[eé]s|kauu_nhas""), ""Manicure - Esmalteria"", REGEXMATCH(LOWER(A47), ""est[eé]tic|bronze|massot|terap|pilates|revitalize|dra""), ""Clínica de "&amp;"Estética"", TRUE, ""Salão de Beleza""))"),"Salão de Beleza")</f>
        <v>Salão de Beleza</v>
      </c>
    </row>
    <row r="48">
      <c r="A48" s="1" t="s">
        <v>316</v>
      </c>
      <c r="B48" s="1" t="s">
        <v>317</v>
      </c>
      <c r="D48" s="1" t="s">
        <v>318</v>
      </c>
      <c r="E48" s="1" t="s">
        <v>319</v>
      </c>
      <c r="F48" s="1" t="s">
        <v>320</v>
      </c>
      <c r="G48" s="3" t="str">
        <f>IFERROR(__xludf.DUMMYFUNCTION("AI(""Preencha um valor adequado para esta célula com base no contexto da tabela"")"),"Caxias -MA")</f>
        <v>Caxias -MA</v>
      </c>
      <c r="H48" s="2" t="s">
        <v>321</v>
      </c>
      <c r="I48" s="3" t="str">
        <f>IFERROR(__xludf.DUMMYFUNCTION("IF(A48="""", """", IFS(REGEXMATCH(LOWER(A48), ""barbearia|barber""), ""Barbearia"", REGEXMATCH(LOWER(A48), ""sobrancelh|c[ií]lio|lash|micropigment|showbrancelhas""), ""Sobrancelhas e Cílios"", REGEXMATCH(LOWER(A48), ""maquia|make""), ""Maquiagem"", REGEXM"&amp;"ATCH(LOWER(A48), ""depil|epil""), ""Depilação"", REGEXMATCH(LOWER(A48), ""esmalteria|unha|nail|manicur|spa dos p[eé]s|kauu_nhas""), ""Manicure - Esmalteria"", REGEXMATCH(LOWER(A48), ""est[eé]tic|bronze|massot|terap|pilates|revitalize|dra""), ""Clínica de "&amp;"Estética"", TRUE, ""Salão de Beleza""))"),"Salão de Beleza")</f>
        <v>Salão de Beleza</v>
      </c>
    </row>
    <row r="49">
      <c r="A49" s="1" t="s">
        <v>322</v>
      </c>
      <c r="D49" s="1" t="s">
        <v>323</v>
      </c>
      <c r="E49" s="1" t="s">
        <v>324</v>
      </c>
      <c r="F49" s="1" t="s">
        <v>325</v>
      </c>
      <c r="G49" s="3" t="str">
        <f>IFERROR(__xludf.DUMMYFUNCTION("AI(""Preencha um valor adequado para esta célula com base no contexto da tabela"")"),"Caxias -MA")</f>
        <v>Caxias -MA</v>
      </c>
      <c r="H49" s="2" t="s">
        <v>326</v>
      </c>
      <c r="I49" s="3" t="str">
        <f>IFERROR(__xludf.DUMMYFUNCTION("IF(A49="""", """", IFS(REGEXMATCH(LOWER(A49), ""barbearia|barber""), ""Barbearia"", REGEXMATCH(LOWER(A49), ""sobrancelh|c[ií]lio|lash|micropigment|showbrancelhas""), ""Sobrancelhas e Cílios"", REGEXMATCH(LOWER(A49), ""maquia|make""), ""Maquiagem"", REGEXM"&amp;"ATCH(LOWER(A49), ""depil|epil""), ""Depilação"", REGEXMATCH(LOWER(A49), ""esmalteria|unha|nail|manicur|spa dos p[eé]s|kauu_nhas""), ""Manicure - Esmalteria"", REGEXMATCH(LOWER(A49), ""est[eé]tic|bronze|massot|terap|pilates|revitalize|dra""), ""Clínica de "&amp;"Estética"", TRUE, ""Salão de Beleza""))"),"Salão de Beleza")</f>
        <v>Salão de Beleza</v>
      </c>
    </row>
    <row r="50">
      <c r="A50" s="1" t="s">
        <v>327</v>
      </c>
      <c r="D50" s="1" t="s">
        <v>328</v>
      </c>
      <c r="E50" s="1" t="s">
        <v>329</v>
      </c>
      <c r="F50" s="1" t="s">
        <v>330</v>
      </c>
      <c r="G50" s="3" t="str">
        <f>IFERROR(__xludf.DUMMYFUNCTION("AI(""Preencha um valor adequado para esta célula com base no contexto da tabela"")"),"Caxias -MA")</f>
        <v>Caxias -MA</v>
      </c>
      <c r="H50" s="2" t="s">
        <v>331</v>
      </c>
      <c r="I50" s="3" t="str">
        <f>IFERROR(__xludf.DUMMYFUNCTION("IF(A50="""", """", IFS(REGEXMATCH(LOWER(A50), ""barbearia|barber""), ""Barbearia"", REGEXMATCH(LOWER(A50), ""sobrancelh|c[ií]lio|lash|micropigment|showbrancelhas""), ""Sobrancelhas e Cílios"", REGEXMATCH(LOWER(A50), ""maquia|make""), ""Maquiagem"", REGEXM"&amp;"ATCH(LOWER(A50), ""depil|epil""), ""Depilação"", REGEXMATCH(LOWER(A50), ""esmalteria|unha|nail|manicur|spa dos p[eé]s|kauu_nhas""), ""Manicure - Esmalteria"", REGEXMATCH(LOWER(A50), ""est[eé]tic|bronze|massot|terap|pilates|revitalize|dra""), ""Clínica de "&amp;"Estética"", TRUE, ""Salão de Beleza""))"),"Salão de Beleza")</f>
        <v>Salão de Beleza</v>
      </c>
    </row>
    <row r="51">
      <c r="A51" s="1" t="s">
        <v>332</v>
      </c>
      <c r="D51" s="1" t="s">
        <v>333</v>
      </c>
      <c r="E51" s="1" t="s">
        <v>334</v>
      </c>
      <c r="F51" s="1" t="s">
        <v>335</v>
      </c>
      <c r="G51" s="3" t="str">
        <f>IFERROR(__xludf.DUMMYFUNCTION("AI(""Preencha um valor adequado para esta célula com base no contexto da tabela"")"),"Caxias -MA")</f>
        <v>Caxias -MA</v>
      </c>
      <c r="H51" s="2" t="s">
        <v>336</v>
      </c>
      <c r="I51" s="3" t="str">
        <f>IFERROR(__xludf.DUMMYFUNCTION("IF(A51="""", """", IFS(REGEXMATCH(LOWER(A51), ""barbearia|barber""), ""Barbearia"", REGEXMATCH(LOWER(A51), ""sobrancelh|c[ií]lio|lash|micropigment|showbrancelhas""), ""Sobrancelhas e Cílios"", REGEXMATCH(LOWER(A51), ""maquia|make""), ""Maquiagem"", REGEXM"&amp;"ATCH(LOWER(A51), ""depil|epil""), ""Depilação"", REGEXMATCH(LOWER(A51), ""esmalteria|unha|nail|manicur|spa dos p[eé]s|kauu_nhas""), ""Manicure - Esmalteria"", REGEXMATCH(LOWER(A51), ""est[eé]tic|bronze|massot|terap|pilates|revitalize|dra""), ""Clínica de "&amp;"Estética"", TRUE, ""Salão de Beleza""))"),"Salão de Beleza")</f>
        <v>Salão de Beleza</v>
      </c>
    </row>
    <row r="52">
      <c r="A52" s="1" t="s">
        <v>337</v>
      </c>
      <c r="B52" s="1" t="s">
        <v>338</v>
      </c>
      <c r="C52" s="1" t="s">
        <v>339</v>
      </c>
      <c r="D52" s="1" t="s">
        <v>340</v>
      </c>
      <c r="E52" s="1" t="s">
        <v>341</v>
      </c>
      <c r="F52" s="1" t="s">
        <v>342</v>
      </c>
      <c r="G52" s="3" t="str">
        <f>IFERROR(__xludf.DUMMYFUNCTION("AI(""Preencha um valor adequado para esta célula com base no contexto da tabela"")"),"Caxias -MA")</f>
        <v>Caxias -MA</v>
      </c>
      <c r="H52" s="2" t="s">
        <v>343</v>
      </c>
      <c r="I52" s="3" t="str">
        <f>IFERROR(__xludf.DUMMYFUNCTION("IF(A52="""", """", IFS(REGEXMATCH(LOWER(A52), ""barbearia|barber""), ""Barbearia"", REGEXMATCH(LOWER(A52), ""sobrancelh|c[ií]lio|lash|micropigment|showbrancelhas""), ""Sobrancelhas e Cílios"", REGEXMATCH(LOWER(A52), ""maquia|make""), ""Maquiagem"", REGEXM"&amp;"ATCH(LOWER(A52), ""depil|epil""), ""Depilação"", REGEXMATCH(LOWER(A52), ""esmalteria|unha|nail|manicur|spa dos p[eé]s|kauu_nhas""), ""Manicure - Esmalteria"", REGEXMATCH(LOWER(A52), ""est[eé]tic|bronze|massot|terap|pilates|revitalize|dra""), ""Clínica de "&amp;"Estética"", TRUE, ""Salão de Beleza""))"),"Salão de Beleza")</f>
        <v>Salão de Beleza</v>
      </c>
    </row>
    <row r="53">
      <c r="A53" s="1" t="s">
        <v>344</v>
      </c>
      <c r="B53" s="1" t="s">
        <v>345</v>
      </c>
      <c r="C53" s="1" t="s">
        <v>346</v>
      </c>
      <c r="D53" s="1" t="s">
        <v>347</v>
      </c>
      <c r="E53" s="1" t="s">
        <v>348</v>
      </c>
      <c r="F53" s="1" t="s">
        <v>349</v>
      </c>
      <c r="G53" s="3" t="str">
        <f>IFERROR(__xludf.DUMMYFUNCTION("AI(""Preencha um valor adequado para esta célula com base no contexto da tabela"")"),"Caxias -MA")</f>
        <v>Caxias -MA</v>
      </c>
      <c r="H53" s="2" t="s">
        <v>350</v>
      </c>
      <c r="I53" s="3" t="str">
        <f>IFERROR(__xludf.DUMMYFUNCTION("IF(A53="""", """", IFS(REGEXMATCH(LOWER(A53), ""barbearia|barber""), ""Barbearia"", REGEXMATCH(LOWER(A53), ""sobrancelh|c[ií]lio|lash|micropigment|showbrancelhas""), ""Sobrancelhas e Cílios"", REGEXMATCH(LOWER(A53), ""maquia|make""), ""Maquiagem"", REGEXM"&amp;"ATCH(LOWER(A53), ""depil|epil""), ""Depilação"", REGEXMATCH(LOWER(A53), ""esmalteria|unha|nail|manicur|spa dos p[eé]s|kauu_nhas""), ""Manicure - Esmalteria"", REGEXMATCH(LOWER(A53), ""est[eé]tic|bronze|massot|terap|pilates|revitalize|dra""), ""Clínica de "&amp;"Estética"", TRUE, ""Salão de Beleza""))"),"Salão de Beleza")</f>
        <v>Salão de Beleza</v>
      </c>
    </row>
    <row r="54">
      <c r="A54" s="1" t="s">
        <v>351</v>
      </c>
      <c r="B54" s="1" t="s">
        <v>352</v>
      </c>
      <c r="C54" s="1" t="s">
        <v>353</v>
      </c>
      <c r="D54" s="1" t="s">
        <v>138</v>
      </c>
      <c r="E54" s="1" t="s">
        <v>354</v>
      </c>
      <c r="F54" s="1" t="s">
        <v>355</v>
      </c>
      <c r="G54" s="3" t="str">
        <f>IFERROR(__xludf.DUMMYFUNCTION("AI(""Preencha um valor adequado para esta célula com base no contexto da tabela"")"),"Caxias -MA")</f>
        <v>Caxias -MA</v>
      </c>
      <c r="H54" s="2" t="s">
        <v>356</v>
      </c>
      <c r="I54" s="3" t="str">
        <f>IFERROR(__xludf.DUMMYFUNCTION("IF(A54="""", """", IFS(REGEXMATCH(LOWER(A54), ""barbearia|barber""), ""Barbearia"", REGEXMATCH(LOWER(A54), ""sobrancelh|c[ií]lio|lash|micropigment|showbrancelhas""), ""Sobrancelhas e Cílios"", REGEXMATCH(LOWER(A54), ""maquia|make""), ""Maquiagem"", REGEXM"&amp;"ATCH(LOWER(A54), ""depil|epil""), ""Depilação"", REGEXMATCH(LOWER(A54), ""esmalteria|unha|nail|manicur|spa dos p[eé]s|kauu_nhas""), ""Manicure - Esmalteria"", REGEXMATCH(LOWER(A54), ""est[eé]tic|bronze|massot|terap|pilates|revitalize|dra""), ""Clínica de "&amp;"Estética"", TRUE, ""Salão de Beleza""))"),"Salão de Beleza")</f>
        <v>Salão de Beleza</v>
      </c>
    </row>
    <row r="55">
      <c r="A55" s="1" t="s">
        <v>357</v>
      </c>
      <c r="D55" s="1" t="s">
        <v>358</v>
      </c>
      <c r="E55" s="1" t="s">
        <v>359</v>
      </c>
      <c r="F55" s="1" t="s">
        <v>360</v>
      </c>
      <c r="G55" s="3" t="str">
        <f>IFERROR(__xludf.DUMMYFUNCTION("AI(""Preencha um valor adequado para esta célula com base no contexto da tabela"")"),"Caxias -MA")</f>
        <v>Caxias -MA</v>
      </c>
      <c r="H55" s="2" t="s">
        <v>361</v>
      </c>
      <c r="I55" s="3" t="str">
        <f>IFERROR(__xludf.DUMMYFUNCTION("IF(A55="""", """", IFS(REGEXMATCH(LOWER(A55), ""barbearia|barber""), ""Barbearia"", REGEXMATCH(LOWER(A55), ""sobrancelh|c[ií]lio|lash|micropigment|showbrancelhas""), ""Sobrancelhas e Cílios"", REGEXMATCH(LOWER(A55), ""maquia|make""), ""Maquiagem"", REGEXM"&amp;"ATCH(LOWER(A55), ""depil|epil""), ""Depilação"", REGEXMATCH(LOWER(A55), ""esmalteria|unha|nail|manicur|spa dos p[eé]s|kauu_nhas""), ""Manicure - Esmalteria"", REGEXMATCH(LOWER(A55), ""est[eé]tic|bronze|massot|terap|pilates|revitalize|dra""), ""Clínica de "&amp;"Estética"", TRUE, ""Salão de Beleza""))"),"Salão de Beleza")</f>
        <v>Salão de Beleza</v>
      </c>
    </row>
    <row r="56">
      <c r="A56" s="1" t="s">
        <v>362</v>
      </c>
      <c r="B56" s="1" t="s">
        <v>363</v>
      </c>
      <c r="C56" s="1" t="s">
        <v>364</v>
      </c>
      <c r="D56" s="1" t="s">
        <v>365</v>
      </c>
      <c r="E56" s="1" t="s">
        <v>366</v>
      </c>
      <c r="F56" s="1" t="s">
        <v>367</v>
      </c>
      <c r="G56" s="3" t="str">
        <f>IFERROR(__xludf.DUMMYFUNCTION("AI(""Preencha um valor adequado para esta célula com base no contexto da tabela"")"),"Caxias -MA")</f>
        <v>Caxias -MA</v>
      </c>
      <c r="H56" s="2" t="s">
        <v>368</v>
      </c>
      <c r="I56" s="3" t="str">
        <f>IFERROR(__xludf.DUMMYFUNCTION("IF(A56="""", """", IFS(REGEXMATCH(LOWER(A56), ""barbearia|barber""), ""Barbearia"", REGEXMATCH(LOWER(A56), ""sobrancelh|c[ií]lio|lash|micropigment|showbrancelhas""), ""Sobrancelhas e Cílios"", REGEXMATCH(LOWER(A56), ""maquia|make""), ""Maquiagem"", REGEXM"&amp;"ATCH(LOWER(A56), ""depil|epil""), ""Depilação"", REGEXMATCH(LOWER(A56), ""esmalteria|unha|nail|manicur|spa dos p[eé]s|kauu_nhas""), ""Manicure - Esmalteria"", REGEXMATCH(LOWER(A56), ""est[eé]tic|bronze|massot|terap|pilates|revitalize|dra""), ""Clínica de "&amp;"Estética"", TRUE, ""Salão de Beleza""))"),"Salão de Beleza")</f>
        <v>Salão de Beleza</v>
      </c>
    </row>
    <row r="57">
      <c r="A57" s="1" t="s">
        <v>369</v>
      </c>
      <c r="B57" s="1" t="s">
        <v>370</v>
      </c>
      <c r="C57" s="1" t="s">
        <v>371</v>
      </c>
      <c r="D57" s="1" t="s">
        <v>372</v>
      </c>
      <c r="E57" s="1" t="s">
        <v>373</v>
      </c>
      <c r="F57" s="1" t="s">
        <v>374</v>
      </c>
      <c r="G57" s="3" t="str">
        <f>IFERROR(__xludf.DUMMYFUNCTION("AI(""Preencha um valor adequado para esta célula com base no contexto da tabela"")"),"Caxias -MA")</f>
        <v>Caxias -MA</v>
      </c>
      <c r="H57" s="2" t="s">
        <v>375</v>
      </c>
      <c r="I57" s="3" t="str">
        <f>IFERROR(__xludf.DUMMYFUNCTION("IF(A57="""", """", IFS(REGEXMATCH(LOWER(A57), ""barbearia|barber""), ""Barbearia"", REGEXMATCH(LOWER(A57), ""sobrancelh|c[ií]lio|lash|micropigment|showbrancelhas""), ""Sobrancelhas e Cílios"", REGEXMATCH(LOWER(A57), ""maquia|make""), ""Maquiagem"", REGEXM"&amp;"ATCH(LOWER(A57), ""depil|epil""), ""Depilação"", REGEXMATCH(LOWER(A57), ""esmalteria|unha|nail|manicur|spa dos p[eé]s|kauu_nhas""), ""Manicure - Esmalteria"", REGEXMATCH(LOWER(A57), ""est[eé]tic|bronze|massot|terap|pilates|revitalize|dra""), ""Clínica de "&amp;"Estética"", TRUE, ""Salão de Beleza""))"),"Salão de Beleza")</f>
        <v>Salão de Beleza</v>
      </c>
    </row>
    <row r="58">
      <c r="A58" s="1" t="s">
        <v>376</v>
      </c>
      <c r="B58" s="1" t="s">
        <v>377</v>
      </c>
      <c r="C58" s="1" t="s">
        <v>378</v>
      </c>
      <c r="D58" s="1" t="s">
        <v>379</v>
      </c>
      <c r="E58" s="1" t="s">
        <v>380</v>
      </c>
      <c r="F58" s="1" t="s">
        <v>381</v>
      </c>
      <c r="G58" s="3" t="str">
        <f>IFERROR(__xludf.DUMMYFUNCTION("AI(""Preencha um valor adequado para esta célula com base no contexto da tabela"")"),"Caxias -MA")</f>
        <v>Caxias -MA</v>
      </c>
      <c r="H58" s="2" t="s">
        <v>382</v>
      </c>
      <c r="I58" s="3" t="str">
        <f>IFERROR(__xludf.DUMMYFUNCTION("IF(A58="""", """", IFS(REGEXMATCH(LOWER(A58), ""barbearia|barber""), ""Barbearia"", REGEXMATCH(LOWER(A58), ""sobrancelh|c[ií]lio|lash|micropigment|showbrancelhas""), ""Sobrancelhas e Cílios"", REGEXMATCH(LOWER(A58), ""maquia|make""), ""Maquiagem"", REGEXM"&amp;"ATCH(LOWER(A58), ""depil|epil""), ""Depilação"", REGEXMATCH(LOWER(A58), ""esmalteria|unha|nail|manicur|spa dos p[eé]s|kauu_nhas""), ""Manicure - Esmalteria"", REGEXMATCH(LOWER(A58), ""est[eé]tic|bronze|massot|terap|pilates|revitalize|dra""), ""Clínica de "&amp;"Estética"", TRUE, ""Salão de Beleza""))"),"Salão de Beleza")</f>
        <v>Salão de Beleza</v>
      </c>
    </row>
    <row r="59">
      <c r="A59" s="1" t="s">
        <v>383</v>
      </c>
      <c r="B59" s="1" t="s">
        <v>384</v>
      </c>
      <c r="C59" s="1" t="s">
        <v>385</v>
      </c>
      <c r="D59" s="1" t="s">
        <v>386</v>
      </c>
      <c r="E59" s="1" t="s">
        <v>387</v>
      </c>
      <c r="F59" s="1" t="s">
        <v>388</v>
      </c>
      <c r="G59" s="3" t="str">
        <f>IFERROR(__xludf.DUMMYFUNCTION("AI(""Preencha um valor adequado para esta célula com base no contexto da tabela"")"),"Caxias -MA")</f>
        <v>Caxias -MA</v>
      </c>
      <c r="H59" s="2" t="s">
        <v>389</v>
      </c>
      <c r="I59" s="3" t="str">
        <f>IFERROR(__xludf.DUMMYFUNCTION("IF(A59="""", """", IFS(REGEXMATCH(LOWER(A59), ""barbearia|barber""), ""Barbearia"", REGEXMATCH(LOWER(A59), ""sobrancelh|c[ií]lio|lash|micropigment|showbrancelhas""), ""Sobrancelhas e Cílios"", REGEXMATCH(LOWER(A59), ""maquia|make""), ""Maquiagem"", REGEXM"&amp;"ATCH(LOWER(A59), ""depil|epil""), ""Depilação"", REGEXMATCH(LOWER(A59), ""esmalteria|unha|nail|manicur|spa dos p[eé]s|kauu_nhas""), ""Manicure - Esmalteria"", REGEXMATCH(LOWER(A59), ""est[eé]tic|bronze|massot|terap|pilates|revitalize|dra""), ""Clínica de "&amp;"Estética"", TRUE, ""Salão de Beleza""))"),"Salão de Beleza")</f>
        <v>Salão de Beleza</v>
      </c>
    </row>
    <row r="60">
      <c r="A60" s="1" t="s">
        <v>390</v>
      </c>
      <c r="B60" s="1" t="s">
        <v>391</v>
      </c>
      <c r="C60" s="1" t="s">
        <v>392</v>
      </c>
      <c r="D60" s="1" t="s">
        <v>393</v>
      </c>
      <c r="E60" s="1" t="s">
        <v>394</v>
      </c>
      <c r="F60" s="1" t="s">
        <v>395</v>
      </c>
      <c r="G60" s="3" t="str">
        <f>IFERROR(__xludf.DUMMYFUNCTION("AI(""Preencha um valor adequado para esta célula com base no contexto da tabela"")"),"Caxias -MA")</f>
        <v>Caxias -MA</v>
      </c>
      <c r="H60" s="2" t="s">
        <v>396</v>
      </c>
      <c r="I60" s="3" t="str">
        <f>IFERROR(__xludf.DUMMYFUNCTION("IF(A60="""", """", IFS(REGEXMATCH(LOWER(A60), ""barbearia|barber""), ""Barbearia"", REGEXMATCH(LOWER(A60), ""sobrancelh|c[ií]lio|lash|micropigment|showbrancelhas""), ""Sobrancelhas e Cílios"", REGEXMATCH(LOWER(A60), ""maquia|make""), ""Maquiagem"", REGEXM"&amp;"ATCH(LOWER(A60), ""depil|epil""), ""Depilação"", REGEXMATCH(LOWER(A60), ""esmalteria|unha|nail|manicur|spa dos p[eé]s|kauu_nhas""), ""Manicure - Esmalteria"", REGEXMATCH(LOWER(A60), ""est[eé]tic|bronze|massot|terap|pilates|revitalize|dra""), ""Clínica de "&amp;"Estética"", TRUE, ""Salão de Beleza""))"),"Barbearia")</f>
        <v>Barbearia</v>
      </c>
    </row>
    <row r="61">
      <c r="A61" s="1" t="s">
        <v>397</v>
      </c>
      <c r="D61" s="1" t="s">
        <v>398</v>
      </c>
      <c r="E61" s="1" t="s">
        <v>399</v>
      </c>
      <c r="F61" s="1" t="s">
        <v>400</v>
      </c>
      <c r="G61" s="3" t="str">
        <f>IFERROR(__xludf.DUMMYFUNCTION("AI(""Preencha um valor adequado para esta célula com base no contexto da tabela"")"),"Caxias -MA")</f>
        <v>Caxias -MA</v>
      </c>
      <c r="H61" s="2" t="s">
        <v>401</v>
      </c>
      <c r="I61" s="3" t="str">
        <f>IFERROR(__xludf.DUMMYFUNCTION("IF(A61="""", """", IFS(REGEXMATCH(LOWER(A61), ""barbearia|barber""), ""Barbearia"", REGEXMATCH(LOWER(A61), ""sobrancelh|c[ií]lio|lash|micropigment|showbrancelhas""), ""Sobrancelhas e Cílios"", REGEXMATCH(LOWER(A61), ""maquia|make""), ""Maquiagem"", REGEXM"&amp;"ATCH(LOWER(A61), ""depil|epil""), ""Depilação"", REGEXMATCH(LOWER(A61), ""esmalteria|unha|nail|manicur|spa dos p[eé]s|kauu_nhas""), ""Manicure - Esmalteria"", REGEXMATCH(LOWER(A61), ""est[eé]tic|bronze|massot|terap|pilates|revitalize|dra""), ""Clínica de "&amp;"Estética"", TRUE, ""Salão de Beleza""))"),"Salão de Beleza")</f>
        <v>Salão de Beleza</v>
      </c>
    </row>
    <row r="62">
      <c r="A62" s="1" t="s">
        <v>402</v>
      </c>
      <c r="B62" s="1" t="s">
        <v>403</v>
      </c>
      <c r="C62" s="1" t="s">
        <v>404</v>
      </c>
      <c r="D62" s="1" t="s">
        <v>405</v>
      </c>
      <c r="E62" s="1" t="s">
        <v>406</v>
      </c>
      <c r="F62" s="1" t="s">
        <v>407</v>
      </c>
      <c r="G62" s="3" t="str">
        <f>IFERROR(__xludf.DUMMYFUNCTION("AI(""Preencha um valor adequado para esta célula com base no contexto da tabela"")"),"Caxias -MA")</f>
        <v>Caxias -MA</v>
      </c>
      <c r="H62" s="2" t="s">
        <v>408</v>
      </c>
      <c r="I62" s="3" t="str">
        <f>IFERROR(__xludf.DUMMYFUNCTION("IF(A62="""", """", IFS(REGEXMATCH(LOWER(A62), ""barbearia|barber""), ""Barbearia"", REGEXMATCH(LOWER(A62), ""sobrancelh|c[ií]lio|lash|micropigment|showbrancelhas""), ""Sobrancelhas e Cílios"", REGEXMATCH(LOWER(A62), ""maquia|make""), ""Maquiagem"", REGEXM"&amp;"ATCH(LOWER(A62), ""depil|epil""), ""Depilação"", REGEXMATCH(LOWER(A62), ""esmalteria|unha|nail|manicur|spa dos p[eé]s|kauu_nhas""), ""Manicure - Esmalteria"", REGEXMATCH(LOWER(A62), ""est[eé]tic|bronze|massot|terap|pilates|revitalize|dra""), ""Clínica de "&amp;"Estética"", TRUE, ""Salão de Beleza""))"),"Salão de Beleza")</f>
        <v>Salão de Beleza</v>
      </c>
    </row>
    <row r="63">
      <c r="A63" s="1" t="s">
        <v>409</v>
      </c>
      <c r="B63" s="1" t="s">
        <v>410</v>
      </c>
      <c r="C63" s="1" t="s">
        <v>411</v>
      </c>
      <c r="D63" s="1" t="s">
        <v>412</v>
      </c>
      <c r="E63" s="1" t="s">
        <v>413</v>
      </c>
      <c r="F63" s="1" t="s">
        <v>414</v>
      </c>
      <c r="G63" s="3" t="str">
        <f>IFERROR(__xludf.DUMMYFUNCTION("AI(""Preencha um valor adequado para esta célula com base no contexto da tabela"")"),"Caxias -MA")</f>
        <v>Caxias -MA</v>
      </c>
      <c r="H63" s="2" t="s">
        <v>415</v>
      </c>
      <c r="I63" s="3" t="str">
        <f>IFERROR(__xludf.DUMMYFUNCTION("IF(A63="""", """", IFS(REGEXMATCH(LOWER(A63), ""barbearia|barber""), ""Barbearia"", REGEXMATCH(LOWER(A63), ""sobrancelh|c[ií]lio|lash|micropigment|showbrancelhas""), ""Sobrancelhas e Cílios"", REGEXMATCH(LOWER(A63), ""maquia|make""), ""Maquiagem"", REGEXM"&amp;"ATCH(LOWER(A63), ""depil|epil""), ""Depilação"", REGEXMATCH(LOWER(A63), ""esmalteria|unha|nail|manicur|spa dos p[eé]s|kauu_nhas""), ""Manicure - Esmalteria"", REGEXMATCH(LOWER(A63), ""est[eé]tic|bronze|massot|terap|pilates|revitalize|dra""), ""Clínica de "&amp;"Estética"", TRUE, ""Salão de Beleza""))"),"Salão de Beleza")</f>
        <v>Salão de Beleza</v>
      </c>
    </row>
    <row r="64">
      <c r="A64" s="1" t="s">
        <v>416</v>
      </c>
      <c r="B64" s="1" t="s">
        <v>417</v>
      </c>
      <c r="C64" s="1" t="s">
        <v>418</v>
      </c>
      <c r="D64" s="1" t="s">
        <v>419</v>
      </c>
      <c r="E64" s="1" t="s">
        <v>420</v>
      </c>
      <c r="F64" s="1" t="s">
        <v>421</v>
      </c>
      <c r="G64" s="3" t="str">
        <f>IFERROR(__xludf.DUMMYFUNCTION("AI(""Preencha um valor adequado para esta célula com base no contexto da tabela"")"),"Caxias -MA")</f>
        <v>Caxias -MA</v>
      </c>
      <c r="H64" s="2" t="s">
        <v>422</v>
      </c>
      <c r="I64" s="3" t="str">
        <f>IFERROR(__xludf.DUMMYFUNCTION("IF(A64="""", """", IFS(REGEXMATCH(LOWER(A64), ""barbearia|barber""), ""Barbearia"", REGEXMATCH(LOWER(A64), ""sobrancelh|c[ií]lio|lash|micropigment|showbrancelhas""), ""Sobrancelhas e Cílios"", REGEXMATCH(LOWER(A64), ""maquia|make""), ""Maquiagem"", REGEXM"&amp;"ATCH(LOWER(A64), ""depil|epil""), ""Depilação"", REGEXMATCH(LOWER(A64), ""esmalteria|unha|nail|manicur|spa dos p[eé]s|kauu_nhas""), ""Manicure - Esmalteria"", REGEXMATCH(LOWER(A64), ""est[eé]tic|bronze|massot|terap|pilates|revitalize|dra""), ""Clínica de "&amp;"Estética"", TRUE, ""Salão de Beleza""))"),"Salão de Beleza")</f>
        <v>Salão de Beleza</v>
      </c>
    </row>
    <row r="65">
      <c r="A65" s="1" t="s">
        <v>423</v>
      </c>
      <c r="D65" s="1" t="s">
        <v>424</v>
      </c>
      <c r="E65" s="1" t="s">
        <v>425</v>
      </c>
      <c r="F65" s="1" t="s">
        <v>426</v>
      </c>
      <c r="G65" s="3" t="str">
        <f>IFERROR(__xludf.DUMMYFUNCTION("AI(""Preencha um valor adequado para esta célula com base no contexto da tabela"")"),"Caxias - MA")</f>
        <v>Caxias - MA</v>
      </c>
      <c r="H65" s="2" t="s">
        <v>427</v>
      </c>
      <c r="I65" s="3" t="str">
        <f>IFERROR(__xludf.DUMMYFUNCTION("IF(A65="""", """", IFS(REGEXMATCH(LOWER(A65), ""barbearia|barber""), ""Barbearia"", REGEXMATCH(LOWER(A65), ""sobrancelh|c[ií]lio|lash|micropigment|showbrancelhas""), ""Sobrancelhas e Cílios"", REGEXMATCH(LOWER(A65), ""maquia|make""), ""Maquiagem"", REGEXM"&amp;"ATCH(LOWER(A65), ""depil|epil""), ""Depilação"", REGEXMATCH(LOWER(A65), ""esmalteria|unha|nail|manicur|spa dos p[eé]s|kauu_nhas""), ""Manicure - Esmalteria"", REGEXMATCH(LOWER(A65), ""est[eé]tic|bronze|massot|terap|pilates|revitalize|dra""), ""Clínica de "&amp;"Estética"", TRUE, ""Salão de Beleza""))"),"Salão de Beleza")</f>
        <v>Salão de Beleza</v>
      </c>
    </row>
    <row r="66">
      <c r="A66" s="1" t="s">
        <v>428</v>
      </c>
      <c r="B66" s="1" t="s">
        <v>429</v>
      </c>
      <c r="C66" s="1" t="s">
        <v>430</v>
      </c>
      <c r="D66" s="1" t="s">
        <v>431</v>
      </c>
      <c r="E66" s="1" t="s">
        <v>432</v>
      </c>
      <c r="F66" s="1" t="s">
        <v>433</v>
      </c>
      <c r="G66" s="3" t="str">
        <f>IFERROR(__xludf.DUMMYFUNCTION("AI(""Preencha um valor adequado para esta célula com base no contexto da tabela"")"),"Caxias -MA")</f>
        <v>Caxias -MA</v>
      </c>
      <c r="H66" s="2" t="s">
        <v>434</v>
      </c>
      <c r="I66" s="3" t="str">
        <f>IFERROR(__xludf.DUMMYFUNCTION("IF(A66="""", """", IFS(REGEXMATCH(LOWER(A66), ""barbearia|barber""), ""Barbearia"", REGEXMATCH(LOWER(A66), ""sobrancelh|c[ií]lio|lash|micropigment|showbrancelhas""), ""Sobrancelhas e Cílios"", REGEXMATCH(LOWER(A66), ""maquia|make""), ""Maquiagem"", REGEXM"&amp;"ATCH(LOWER(A66), ""depil|epil""), ""Depilação"", REGEXMATCH(LOWER(A66), ""esmalteria|unha|nail|manicur|spa dos p[eé]s|kauu_nhas""), ""Manicure - Esmalteria"", REGEXMATCH(LOWER(A66), ""est[eé]tic|bronze|massot|terap|pilates|revitalize|dra""), ""Clínica de "&amp;"Estética"", TRUE, ""Salão de Beleza""))"),"Salão de Beleza")</f>
        <v>Salão de Beleza</v>
      </c>
    </row>
    <row r="67">
      <c r="A67" s="1" t="s">
        <v>435</v>
      </c>
      <c r="D67" s="1" t="s">
        <v>436</v>
      </c>
      <c r="E67" s="1" t="s">
        <v>437</v>
      </c>
      <c r="F67" s="1" t="s">
        <v>438</v>
      </c>
      <c r="G67" s="3" t="str">
        <f>IFERROR(__xludf.DUMMYFUNCTION("AI(""Preencha um valor adequado para esta célula com base no contexto da tabela"")"),"Caxias -MA")</f>
        <v>Caxias -MA</v>
      </c>
      <c r="H67" s="2" t="s">
        <v>439</v>
      </c>
      <c r="I67" s="3" t="str">
        <f>IFERROR(__xludf.DUMMYFUNCTION("IF(A67="""", """", IFS(REGEXMATCH(LOWER(A67), ""barbearia|barber""), ""Barbearia"", REGEXMATCH(LOWER(A67), ""sobrancelh|c[ií]lio|lash|micropigment|showbrancelhas""), ""Sobrancelhas e Cílios"", REGEXMATCH(LOWER(A67), ""maquia|make""), ""Maquiagem"", REGEXM"&amp;"ATCH(LOWER(A67), ""depil|epil""), ""Depilação"", REGEXMATCH(LOWER(A67), ""esmalteria|unha|nail|manicur|spa dos p[eé]s|kauu_nhas""), ""Manicure - Esmalteria"", REGEXMATCH(LOWER(A67), ""est[eé]tic|bronze|massot|terap|pilates|revitalize|dra""), ""Clínica de "&amp;"Estética"", TRUE, ""Salão de Beleza""))"),"Salão de Beleza")</f>
        <v>Salão de Beleza</v>
      </c>
    </row>
    <row r="68">
      <c r="A68" s="1" t="s">
        <v>440</v>
      </c>
      <c r="B68" s="1" t="s">
        <v>441</v>
      </c>
      <c r="C68" s="1" t="s">
        <v>442</v>
      </c>
      <c r="D68" s="1" t="s">
        <v>443</v>
      </c>
      <c r="E68" s="1" t="s">
        <v>444</v>
      </c>
      <c r="F68" s="1" t="s">
        <v>445</v>
      </c>
      <c r="G68" s="3" t="str">
        <f>IFERROR(__xludf.DUMMYFUNCTION("AI(""Preencha um valor adequado para esta célula com base no contexto da tabela"")"),"Caxias -MA")</f>
        <v>Caxias -MA</v>
      </c>
      <c r="H68" s="2" t="s">
        <v>446</v>
      </c>
      <c r="I68" s="3" t="str">
        <f>IFERROR(__xludf.DUMMYFUNCTION("IF(A68="""", """", IFS(REGEXMATCH(LOWER(A68), ""barbearia|barber""), ""Barbearia"", REGEXMATCH(LOWER(A68), ""sobrancelh|c[ií]lio|lash|micropigment|showbrancelhas""), ""Sobrancelhas e Cílios"", REGEXMATCH(LOWER(A68), ""maquia|make""), ""Maquiagem"", REGEXM"&amp;"ATCH(LOWER(A68), ""depil|epil""), ""Depilação"", REGEXMATCH(LOWER(A68), ""esmalteria|unha|nail|manicur|spa dos p[eé]s|kauu_nhas""), ""Manicure - Esmalteria"", REGEXMATCH(LOWER(A68), ""est[eé]tic|bronze|massot|terap|pilates|revitalize|dra""), ""Clínica de "&amp;"Estética"", TRUE, ""Salão de Beleza""))"),"Salão de Beleza")</f>
        <v>Salão de Beleza</v>
      </c>
    </row>
    <row r="69">
      <c r="A69" s="1" t="s">
        <v>447</v>
      </c>
      <c r="B69" s="1" t="s">
        <v>448</v>
      </c>
      <c r="C69" s="1" t="s">
        <v>449</v>
      </c>
      <c r="D69" s="1" t="s">
        <v>450</v>
      </c>
      <c r="E69" s="1" t="s">
        <v>451</v>
      </c>
      <c r="F69" s="1" t="s">
        <v>452</v>
      </c>
      <c r="G69" s="3" t="str">
        <f>IFERROR(__xludf.DUMMYFUNCTION("AI(""Preencha um valor adequado para esta célula com base no contexto da tabela"")"),"Caxias -MA")</f>
        <v>Caxias -MA</v>
      </c>
      <c r="H69" s="2" t="s">
        <v>453</v>
      </c>
      <c r="I69" s="3" t="str">
        <f>IFERROR(__xludf.DUMMYFUNCTION("IF(A69="""", """", IFS(REGEXMATCH(LOWER(A69), ""barbearia|barber""), ""Barbearia"", REGEXMATCH(LOWER(A69), ""sobrancelh|c[ií]lio|lash|micropigment|showbrancelhas""), ""Sobrancelhas e Cílios"", REGEXMATCH(LOWER(A69), ""maquia|make""), ""Maquiagem"", REGEXM"&amp;"ATCH(LOWER(A69), ""depil|epil""), ""Depilação"", REGEXMATCH(LOWER(A69), ""esmalteria|unha|nail|manicur|spa dos p[eé]s|kauu_nhas""), ""Manicure - Esmalteria"", REGEXMATCH(LOWER(A69), ""est[eé]tic|bronze|massot|terap|pilates|revitalize|dra""), ""Clínica de "&amp;"Estética"", TRUE, ""Salão de Beleza""))"),"Salão de Beleza")</f>
        <v>Salão de Beleza</v>
      </c>
    </row>
    <row r="70">
      <c r="A70" s="1" t="s">
        <v>454</v>
      </c>
      <c r="B70" s="1" t="s">
        <v>455</v>
      </c>
      <c r="C70" s="1" t="s">
        <v>456</v>
      </c>
      <c r="D70" s="1" t="s">
        <v>457</v>
      </c>
      <c r="E70" s="1" t="s">
        <v>458</v>
      </c>
      <c r="F70" s="1" t="s">
        <v>459</v>
      </c>
      <c r="G70" s="3" t="str">
        <f>IFERROR(__xludf.DUMMYFUNCTION("AI(""Preencha um valor adequado para esta célula com base no contexto da tabela"")"),"Caxias -MA")</f>
        <v>Caxias -MA</v>
      </c>
      <c r="H70" s="2" t="s">
        <v>460</v>
      </c>
      <c r="I70" s="3" t="str">
        <f>IFERROR(__xludf.DUMMYFUNCTION("IF(A70="""", """", IFS(REGEXMATCH(LOWER(A70), ""barbearia|barber""), ""Barbearia"", REGEXMATCH(LOWER(A70), ""sobrancelh|c[ií]lio|lash|micropigment|showbrancelhas""), ""Sobrancelhas e Cílios"", REGEXMATCH(LOWER(A70), ""maquia|make""), ""Maquiagem"", REGEXM"&amp;"ATCH(LOWER(A70), ""depil|epil""), ""Depilação"", REGEXMATCH(LOWER(A70), ""esmalteria|unha|nail|manicur|spa dos p[eé]s|kauu_nhas""), ""Manicure - Esmalteria"", REGEXMATCH(LOWER(A70), ""est[eé]tic|bronze|massot|terap|pilates|revitalize|dra""), ""Clínica de "&amp;"Estética"", TRUE, ""Salão de Beleza""))"),"Salão de Beleza")</f>
        <v>Salão de Beleza</v>
      </c>
    </row>
    <row r="71">
      <c r="A71" s="1" t="s">
        <v>461</v>
      </c>
      <c r="B71" s="1" t="s">
        <v>462</v>
      </c>
      <c r="C71" s="1" t="s">
        <v>463</v>
      </c>
      <c r="D71" s="1" t="s">
        <v>464</v>
      </c>
      <c r="E71" s="1" t="s">
        <v>465</v>
      </c>
      <c r="F71" s="1" t="s">
        <v>466</v>
      </c>
      <c r="G71" s="3" t="str">
        <f>IFERROR(__xludf.DUMMYFUNCTION("AI(""Preencha um valor adequado para esta célula com base no contexto da tabela"")"),"Caxias -MA")</f>
        <v>Caxias -MA</v>
      </c>
      <c r="H71" s="2" t="s">
        <v>467</v>
      </c>
      <c r="I71" s="3" t="str">
        <f>IFERROR(__xludf.DUMMYFUNCTION("IF(A71="""", """", IFS(REGEXMATCH(LOWER(A71), ""barbearia|barber""), ""Barbearia"", REGEXMATCH(LOWER(A71), ""sobrancelh|c[ií]lio|lash|micropigment|showbrancelhas""), ""Sobrancelhas e Cílios"", REGEXMATCH(LOWER(A71), ""maquia|make""), ""Maquiagem"", REGEXM"&amp;"ATCH(LOWER(A71), ""depil|epil""), ""Depilação"", REGEXMATCH(LOWER(A71), ""esmalteria|unha|nail|manicur|spa dos p[eé]s|kauu_nhas""), ""Manicure - Esmalteria"", REGEXMATCH(LOWER(A71), ""est[eé]tic|bronze|massot|terap|pilates|revitalize|dra""), ""Clínica de "&amp;"Estética"", TRUE, ""Salão de Beleza""))"),"Salão de Beleza")</f>
        <v>Salão de Beleza</v>
      </c>
    </row>
    <row r="72">
      <c r="A72" s="1" t="s">
        <v>468</v>
      </c>
      <c r="B72" s="1" t="s">
        <v>469</v>
      </c>
      <c r="C72" s="1" t="s">
        <v>470</v>
      </c>
      <c r="D72" s="1" t="s">
        <v>471</v>
      </c>
      <c r="E72" s="1" t="s">
        <v>472</v>
      </c>
      <c r="F72" s="1" t="s">
        <v>473</v>
      </c>
      <c r="G72" s="3" t="str">
        <f>IFERROR(__xludf.DUMMYFUNCTION("AI(""Preencha um valor adequado para esta célula com base no contexto da tabela"")"),"Caxias -MA")</f>
        <v>Caxias -MA</v>
      </c>
      <c r="H72" s="2" t="s">
        <v>474</v>
      </c>
      <c r="I72" s="3" t="str">
        <f>IFERROR(__xludf.DUMMYFUNCTION("IF(A72="""", """", IFS(REGEXMATCH(LOWER(A72), ""barbearia|barber""), ""Barbearia"", REGEXMATCH(LOWER(A72), ""sobrancelh|c[ií]lio|lash|micropigment|showbrancelhas""), ""Sobrancelhas e Cílios"", REGEXMATCH(LOWER(A72), ""maquia|make""), ""Maquiagem"", REGEXM"&amp;"ATCH(LOWER(A72), ""depil|epil""), ""Depilação"", REGEXMATCH(LOWER(A72), ""esmalteria|unha|nail|manicur|spa dos p[eé]s|kauu_nhas""), ""Manicure - Esmalteria"", REGEXMATCH(LOWER(A72), ""est[eé]tic|bronze|massot|terap|pilates|revitalize|dra""), ""Clínica de "&amp;"Estética"", TRUE, ""Salão de Beleza""))"),"Clínica de Estética")</f>
        <v>Clínica de Estética</v>
      </c>
    </row>
    <row r="73">
      <c r="A73" s="1" t="s">
        <v>475</v>
      </c>
      <c r="B73" s="1" t="s">
        <v>476</v>
      </c>
      <c r="C73" s="1" t="s">
        <v>477</v>
      </c>
      <c r="D73" s="1" t="s">
        <v>478</v>
      </c>
      <c r="E73" s="1" t="s">
        <v>479</v>
      </c>
      <c r="F73" s="1" t="s">
        <v>480</v>
      </c>
      <c r="G73" s="3" t="str">
        <f>IFERROR(__xludf.DUMMYFUNCTION("AI(""Preencha um valor adequado para esta célula com base no contexto da tabela"")"),"Caxias -MA")</f>
        <v>Caxias -MA</v>
      </c>
      <c r="H73" s="2" t="s">
        <v>481</v>
      </c>
      <c r="I73" s="3" t="str">
        <f>IFERROR(__xludf.DUMMYFUNCTION("IF(A73="""", """", IFS(REGEXMATCH(LOWER(A73), ""barbearia|barber""), ""Barbearia"", REGEXMATCH(LOWER(A73), ""sobrancelh|c[ií]lio|lash|micropigment|showbrancelhas""), ""Sobrancelhas e Cílios"", REGEXMATCH(LOWER(A73), ""maquia|make""), ""Maquiagem"", REGEXM"&amp;"ATCH(LOWER(A73), ""depil|epil""), ""Depilação"", REGEXMATCH(LOWER(A73), ""esmalteria|unha|nail|manicur|spa dos p[eé]s|kauu_nhas""), ""Manicure - Esmalteria"", REGEXMATCH(LOWER(A73), ""est[eé]tic|bronze|massot|terap|pilates|revitalize|dra""), ""Clínica de "&amp;"Estética"", TRUE, ""Salão de Beleza""))"),"Clínica de Estética")</f>
        <v>Clínica de Estética</v>
      </c>
    </row>
    <row r="74">
      <c r="A74" s="1" t="s">
        <v>482</v>
      </c>
      <c r="D74" s="1" t="s">
        <v>483</v>
      </c>
      <c r="E74" s="1" t="s">
        <v>484</v>
      </c>
      <c r="F74" s="1" t="s">
        <v>485</v>
      </c>
      <c r="G74" s="3" t="str">
        <f>IFERROR(__xludf.DUMMYFUNCTION("AI(""Preencha um valor adequado para esta célula com base no contexto da tabela"")"),"Caxias -MA")</f>
        <v>Caxias -MA</v>
      </c>
      <c r="H74" s="2" t="s">
        <v>486</v>
      </c>
      <c r="I74" s="3" t="str">
        <f>IFERROR(__xludf.DUMMYFUNCTION("IF(A74="""", """", IFS(REGEXMATCH(LOWER(A74), ""barbearia|barber""), ""Barbearia"", REGEXMATCH(LOWER(A74), ""sobrancelh|c[ií]lio|lash|micropigment|showbrancelhas""), ""Sobrancelhas e Cílios"", REGEXMATCH(LOWER(A74), ""maquia|make""), ""Maquiagem"", REGEXM"&amp;"ATCH(LOWER(A74), ""depil|epil""), ""Depilação"", REGEXMATCH(LOWER(A74), ""esmalteria|unha|nail|manicur|spa dos p[eé]s|kauu_nhas""), ""Manicure - Esmalteria"", REGEXMATCH(LOWER(A74), ""est[eé]tic|bronze|massot|terap|pilates|revitalize|dra""), ""Clínica de "&amp;"Estética"", TRUE, ""Salão de Beleza""))"),"Salão de Beleza")</f>
        <v>Salão de Beleza</v>
      </c>
    </row>
    <row r="75">
      <c r="A75" s="1" t="s">
        <v>487</v>
      </c>
      <c r="D75" s="1" t="s">
        <v>488</v>
      </c>
      <c r="E75" s="1" t="s">
        <v>489</v>
      </c>
      <c r="F75" s="1" t="s">
        <v>490</v>
      </c>
      <c r="G75" s="3" t="str">
        <f>IFERROR(__xludf.DUMMYFUNCTION("AI(""Preencha um valor adequado para esta célula com base no contexto da tabela"")"),"Caxias -MA")</f>
        <v>Caxias -MA</v>
      </c>
      <c r="H75" s="2" t="s">
        <v>491</v>
      </c>
      <c r="I75" s="3" t="str">
        <f>IFERROR(__xludf.DUMMYFUNCTION("IF(A75="""", """", IFS(REGEXMATCH(LOWER(A75), ""barbearia|barber""), ""Barbearia"", REGEXMATCH(LOWER(A75), ""sobrancelh|c[ií]lio|lash|micropigment|showbrancelhas""), ""Sobrancelhas e Cílios"", REGEXMATCH(LOWER(A75), ""maquia|make""), ""Maquiagem"", REGEXM"&amp;"ATCH(LOWER(A75), ""depil|epil""), ""Depilação"", REGEXMATCH(LOWER(A75), ""esmalteria|unha|nail|manicur|spa dos p[eé]s|kauu_nhas""), ""Manicure - Esmalteria"", REGEXMATCH(LOWER(A75), ""est[eé]tic|bronze|massot|terap|pilates|revitalize|dra""), ""Clínica de "&amp;"Estética"", TRUE, ""Salão de Beleza""))"),"Manicure - Esmalteria")</f>
        <v>Manicure - Esmalteria</v>
      </c>
    </row>
    <row r="76">
      <c r="A76" s="1" t="s">
        <v>492</v>
      </c>
      <c r="D76" s="1" t="s">
        <v>493</v>
      </c>
      <c r="E76" s="1" t="s">
        <v>494</v>
      </c>
      <c r="F76" s="1" t="s">
        <v>495</v>
      </c>
      <c r="G76" s="3" t="str">
        <f>IFERROR(__xludf.DUMMYFUNCTION("AI(""Preencha um valor adequado para esta célula com base no contexto da tabela"")"),"Caxias -MA")</f>
        <v>Caxias -MA</v>
      </c>
      <c r="H76" s="2" t="s">
        <v>496</v>
      </c>
      <c r="I76" s="3" t="str">
        <f>IFERROR(__xludf.DUMMYFUNCTION("IF(A76="""", """", IFS(REGEXMATCH(LOWER(A76), ""barbearia|barber""), ""Barbearia"", REGEXMATCH(LOWER(A76), ""sobrancelh|c[ií]lio|lash|micropigment|showbrancelhas""), ""Sobrancelhas e Cílios"", REGEXMATCH(LOWER(A76), ""maquia|make""), ""Maquiagem"", REGEXM"&amp;"ATCH(LOWER(A76), ""depil|epil""), ""Depilação"", REGEXMATCH(LOWER(A76), ""esmalteria|unha|nail|manicur|spa dos p[eé]s|kauu_nhas""), ""Manicure - Esmalteria"", REGEXMATCH(LOWER(A76), ""est[eé]tic|bronze|massot|terap|pilates|revitalize|dra""), ""Clínica de "&amp;"Estética"", TRUE, ""Salão de Beleza""))"),"Salão de Beleza")</f>
        <v>Salão de Beleza</v>
      </c>
    </row>
    <row r="77">
      <c r="A77" s="1" t="s">
        <v>497</v>
      </c>
      <c r="B77" s="1" t="s">
        <v>498</v>
      </c>
      <c r="C77" s="1" t="s">
        <v>499</v>
      </c>
      <c r="D77" s="1" t="s">
        <v>500</v>
      </c>
      <c r="E77" s="1" t="s">
        <v>501</v>
      </c>
      <c r="F77" s="1" t="s">
        <v>502</v>
      </c>
      <c r="G77" s="3" t="str">
        <f>IFERROR(__xludf.DUMMYFUNCTION("AI(""Preencha um valor adequado para esta célula com base no contexto da tabela"")"),"Caxias -MA")</f>
        <v>Caxias -MA</v>
      </c>
      <c r="H77" s="2" t="s">
        <v>503</v>
      </c>
      <c r="I77" s="3" t="str">
        <f>IFERROR(__xludf.DUMMYFUNCTION("IF(A77="""", """", IFS(REGEXMATCH(LOWER(A77), ""barbearia|barber""), ""Barbearia"", REGEXMATCH(LOWER(A77), ""sobrancelh|c[ií]lio|lash|micropigment|showbrancelhas""), ""Sobrancelhas e Cílios"", REGEXMATCH(LOWER(A77), ""maquia|make""), ""Maquiagem"", REGEXM"&amp;"ATCH(LOWER(A77), ""depil|epil""), ""Depilação"", REGEXMATCH(LOWER(A77), ""esmalteria|unha|nail|manicur|spa dos p[eé]s|kauu_nhas""), ""Manicure - Esmalteria"", REGEXMATCH(LOWER(A77), ""est[eé]tic|bronze|massot|terap|pilates|revitalize|dra""), ""Clínica de "&amp;"Estética"", TRUE, ""Salão de Beleza""))"),"Manicure - Esmalteria")</f>
        <v>Manicure - Esmalteria</v>
      </c>
    </row>
    <row r="78">
      <c r="A78" s="1" t="s">
        <v>504</v>
      </c>
      <c r="B78" s="1" t="s">
        <v>505</v>
      </c>
      <c r="C78" s="1" t="s">
        <v>506</v>
      </c>
      <c r="D78" s="1" t="s">
        <v>507</v>
      </c>
      <c r="E78" s="1" t="s">
        <v>508</v>
      </c>
      <c r="F78" s="1" t="s">
        <v>509</v>
      </c>
      <c r="G78" s="3" t="str">
        <f>IFERROR(__xludf.DUMMYFUNCTION("AI(""Preencha um valor adequado para esta célula com base no contexto da tabela"")"),"Caxias -MA")</f>
        <v>Caxias -MA</v>
      </c>
      <c r="H78" s="2" t="s">
        <v>510</v>
      </c>
      <c r="I78" s="3" t="str">
        <f>IFERROR(__xludf.DUMMYFUNCTION("IF(A78="""", """", IFS(REGEXMATCH(LOWER(A78), ""barbearia|barber""), ""Barbearia"", REGEXMATCH(LOWER(A78), ""sobrancelh|c[ií]lio|lash|micropigment|showbrancelhas""), ""Sobrancelhas e Cílios"", REGEXMATCH(LOWER(A78), ""maquia|make""), ""Maquiagem"", REGEXM"&amp;"ATCH(LOWER(A78), ""depil|epil""), ""Depilação"", REGEXMATCH(LOWER(A78), ""esmalteria|unha|nail|manicur|spa dos p[eé]s|kauu_nhas""), ""Manicure - Esmalteria"", REGEXMATCH(LOWER(A78), ""est[eé]tic|bronze|massot|terap|pilates|revitalize|dra""), ""Clínica de "&amp;"Estética"", TRUE, ""Salão de Beleza""))"),"Salão de Beleza")</f>
        <v>Salão de Beleza</v>
      </c>
    </row>
    <row r="79">
      <c r="A79" s="1" t="s">
        <v>511</v>
      </c>
      <c r="B79" s="1" t="s">
        <v>512</v>
      </c>
      <c r="C79" s="1" t="s">
        <v>513</v>
      </c>
      <c r="D79" s="1" t="s">
        <v>514</v>
      </c>
      <c r="E79" s="1" t="s">
        <v>515</v>
      </c>
      <c r="F79" s="1" t="s">
        <v>516</v>
      </c>
      <c r="G79" s="3" t="str">
        <f>IFERROR(__xludf.DUMMYFUNCTION("AI(""Preencha um valor adequado para esta célula com base no contexto da tabela"")"),"Caxias -MA")</f>
        <v>Caxias -MA</v>
      </c>
      <c r="H79" s="2" t="s">
        <v>517</v>
      </c>
      <c r="I79" s="3" t="str">
        <f>IFERROR(__xludf.DUMMYFUNCTION("IF(A79="""", """", IFS(REGEXMATCH(LOWER(A79), ""barbearia|barber""), ""Barbearia"", REGEXMATCH(LOWER(A79), ""sobrancelh|c[ií]lio|lash|micropigment|showbrancelhas""), ""Sobrancelhas e Cílios"", REGEXMATCH(LOWER(A79), ""maquia|make""), ""Maquiagem"", REGEXM"&amp;"ATCH(LOWER(A79), ""depil|epil""), ""Depilação"", REGEXMATCH(LOWER(A79), ""esmalteria|unha|nail|manicur|spa dos p[eé]s|kauu_nhas""), ""Manicure - Esmalteria"", REGEXMATCH(LOWER(A79), ""est[eé]tic|bronze|massot|terap|pilates|revitalize|dra""), ""Clínica de "&amp;"Estética"", TRUE, ""Salão de Beleza""))"),"Salão de Beleza")</f>
        <v>Salão de Beleza</v>
      </c>
    </row>
    <row r="80">
      <c r="A80" s="1" t="s">
        <v>518</v>
      </c>
      <c r="B80" s="1" t="s">
        <v>519</v>
      </c>
      <c r="C80" s="1" t="s">
        <v>520</v>
      </c>
      <c r="D80" s="1" t="s">
        <v>521</v>
      </c>
      <c r="E80" s="1" t="s">
        <v>522</v>
      </c>
      <c r="F80" s="1" t="s">
        <v>523</v>
      </c>
      <c r="G80" s="3" t="str">
        <f>IFERROR(__xludf.DUMMYFUNCTION("AI(""Preencha um valor adequado para esta célula com base no contexto da tabela"")"),"Caxias -MA")</f>
        <v>Caxias -MA</v>
      </c>
      <c r="H80" s="2" t="s">
        <v>524</v>
      </c>
      <c r="I80" s="3" t="str">
        <f>IFERROR(__xludf.DUMMYFUNCTION("IF(A80="""", """", IFS(REGEXMATCH(LOWER(A80), ""barbearia|barber""), ""Barbearia"", REGEXMATCH(LOWER(A80), ""sobrancelh|c[ií]lio|lash|micropigment|showbrancelhas""), ""Sobrancelhas e Cílios"", REGEXMATCH(LOWER(A80), ""maquia|make""), ""Maquiagem"", REGEXM"&amp;"ATCH(LOWER(A80), ""depil|epil""), ""Depilação"", REGEXMATCH(LOWER(A80), ""esmalteria|unha|nail|manicur|spa dos p[eé]s|kauu_nhas""), ""Manicure - Esmalteria"", REGEXMATCH(LOWER(A80), ""est[eé]tic|bronze|massot|terap|pilates|revitalize|dra""), ""Clínica de "&amp;"Estética"", TRUE, ""Salão de Beleza""))"),"Depilação")</f>
        <v>Depilação</v>
      </c>
    </row>
    <row r="81">
      <c r="A81" s="1" t="s">
        <v>525</v>
      </c>
      <c r="D81" s="1" t="s">
        <v>526</v>
      </c>
      <c r="E81" s="1" t="s">
        <v>527</v>
      </c>
      <c r="F81" s="1" t="s">
        <v>528</v>
      </c>
      <c r="G81" s="3" t="str">
        <f>IFERROR(__xludf.DUMMYFUNCTION("AI(""Preencha um valor adequado para esta célula com base no contexto da tabela"")"),"Caxias -MA")</f>
        <v>Caxias -MA</v>
      </c>
      <c r="H81" s="2" t="s">
        <v>529</v>
      </c>
      <c r="I81" s="3" t="str">
        <f>IFERROR(__xludf.DUMMYFUNCTION("IF(A81="""", """", IFS(REGEXMATCH(LOWER(A81), ""barbearia|barber""), ""Barbearia"", REGEXMATCH(LOWER(A81), ""sobrancelh|c[ií]lio|lash|micropigment|showbrancelhas""), ""Sobrancelhas e Cílios"", REGEXMATCH(LOWER(A81), ""maquia|make""), ""Maquiagem"", REGEXM"&amp;"ATCH(LOWER(A81), ""depil|epil""), ""Depilação"", REGEXMATCH(LOWER(A81), ""esmalteria|unha|nail|manicur|spa dos p[eé]s|kauu_nhas""), ""Manicure - Esmalteria"", REGEXMATCH(LOWER(A81), ""est[eé]tic|bronze|massot|terap|pilates|revitalize|dra""), ""Clínica de "&amp;"Estética"", TRUE, ""Salão de Beleza""))"),"Depilação")</f>
        <v>Depilação</v>
      </c>
    </row>
    <row r="82">
      <c r="A82" s="1" t="s">
        <v>530</v>
      </c>
      <c r="B82" s="1" t="s">
        <v>531</v>
      </c>
      <c r="C82" s="1" t="s">
        <v>532</v>
      </c>
      <c r="D82" s="1" t="s">
        <v>533</v>
      </c>
      <c r="E82" s="1" t="s">
        <v>534</v>
      </c>
      <c r="F82" s="1" t="s">
        <v>535</v>
      </c>
      <c r="G82" s="3" t="str">
        <f>IFERROR(__xludf.DUMMYFUNCTION("AI(""Preencha um valor adequado para esta célula com base no contexto da tabela"")"),"Caxias -MA")</f>
        <v>Caxias -MA</v>
      </c>
      <c r="H82" s="2" t="s">
        <v>536</v>
      </c>
      <c r="I82" s="3" t="str">
        <f>IFERROR(__xludf.DUMMYFUNCTION("IF(A82="""", """", IFS(REGEXMATCH(LOWER(A82), ""barbearia|barber""), ""Barbearia"", REGEXMATCH(LOWER(A82), ""sobrancelh|c[ií]lio|lash|micropigment|showbrancelhas""), ""Sobrancelhas e Cílios"", REGEXMATCH(LOWER(A82), ""maquia|make""), ""Maquiagem"", REGEXM"&amp;"ATCH(LOWER(A82), ""depil|epil""), ""Depilação"", REGEXMATCH(LOWER(A82), ""esmalteria|unha|nail|manicur|spa dos p[eé]s|kauu_nhas""), ""Manicure - Esmalteria"", REGEXMATCH(LOWER(A82), ""est[eé]tic|bronze|massot|terap|pilates|revitalize|dra""), ""Clínica de "&amp;"Estética"", TRUE, ""Salão de Beleza""))"),"Salão de Beleza")</f>
        <v>Salão de Beleza</v>
      </c>
    </row>
    <row r="83">
      <c r="A83" s="1" t="s">
        <v>537</v>
      </c>
      <c r="D83" s="1" t="s">
        <v>538</v>
      </c>
      <c r="E83" s="1" t="s">
        <v>539</v>
      </c>
      <c r="F83" s="1" t="s">
        <v>540</v>
      </c>
      <c r="G83" s="3" t="str">
        <f>IFERROR(__xludf.DUMMYFUNCTION("AI(""Preencha um valor adequado para esta célula com base no contexto da tabela"")"),"Caxias -MA")</f>
        <v>Caxias -MA</v>
      </c>
      <c r="H83" s="2" t="s">
        <v>541</v>
      </c>
      <c r="I83" s="3" t="str">
        <f>IFERROR(__xludf.DUMMYFUNCTION("IF(A83="""", """", IFS(REGEXMATCH(LOWER(A83), ""barbearia|barber""), ""Barbearia"", REGEXMATCH(LOWER(A83), ""sobrancelh|c[ií]lio|lash|micropigment|showbrancelhas""), ""Sobrancelhas e Cílios"", REGEXMATCH(LOWER(A83), ""maquia|make""), ""Maquiagem"", REGEXM"&amp;"ATCH(LOWER(A83), ""depil|epil""), ""Depilação"", REGEXMATCH(LOWER(A83), ""esmalteria|unha|nail|manicur|spa dos p[eé]s|kauu_nhas""), ""Manicure - Esmalteria"", REGEXMATCH(LOWER(A83), ""est[eé]tic|bronze|massot|terap|pilates|revitalize|dra""), ""Clínica de "&amp;"Estética"", TRUE, ""Salão de Beleza""))"),"Salão de Beleza")</f>
        <v>Salão de Beleza</v>
      </c>
    </row>
    <row r="84">
      <c r="A84" s="1" t="s">
        <v>542</v>
      </c>
      <c r="B84" s="1" t="s">
        <v>543</v>
      </c>
      <c r="C84" s="1" t="s">
        <v>544</v>
      </c>
      <c r="D84" s="1" t="s">
        <v>545</v>
      </c>
      <c r="E84" s="1" t="s">
        <v>546</v>
      </c>
      <c r="F84" s="1" t="s">
        <v>547</v>
      </c>
      <c r="G84" s="3" t="str">
        <f>IFERROR(__xludf.DUMMYFUNCTION("AI(""Preencha um valor adequado para esta célula com base no contexto da tabela"")"),"Caxias -MA")</f>
        <v>Caxias -MA</v>
      </c>
      <c r="H84" s="2" t="s">
        <v>548</v>
      </c>
      <c r="I84" s="3" t="str">
        <f>IFERROR(__xludf.DUMMYFUNCTION("IF(A84="""", """", IFS(REGEXMATCH(LOWER(A84), ""barbearia|barber""), ""Barbearia"", REGEXMATCH(LOWER(A84), ""sobrancelh|c[ií]lio|lash|micropigment|showbrancelhas""), ""Sobrancelhas e Cílios"", REGEXMATCH(LOWER(A84), ""maquia|make""), ""Maquiagem"", REGEXM"&amp;"ATCH(LOWER(A84), ""depil|epil""), ""Depilação"", REGEXMATCH(LOWER(A84), ""esmalteria|unha|nail|manicur|spa dos p[eé]s|kauu_nhas""), ""Manicure - Esmalteria"", REGEXMATCH(LOWER(A84), ""est[eé]tic|bronze|massot|terap|pilates|revitalize|dra""), ""Clínica de "&amp;"Estética"", TRUE, ""Salão de Beleza""))"),"Sobrancelhas e Cílios")</f>
        <v>Sobrancelhas e Cílios</v>
      </c>
    </row>
    <row r="85">
      <c r="A85" s="1" t="s">
        <v>549</v>
      </c>
      <c r="B85" s="1" t="s">
        <v>550</v>
      </c>
      <c r="C85" s="1" t="s">
        <v>551</v>
      </c>
      <c r="D85" s="1" t="s">
        <v>552</v>
      </c>
      <c r="E85" s="1" t="s">
        <v>553</v>
      </c>
      <c r="F85" s="1" t="s">
        <v>554</v>
      </c>
      <c r="G85" s="3" t="str">
        <f>IFERROR(__xludf.DUMMYFUNCTION("AI(""Preencha um valor adequado para esta célula com base no contexto da tabela"")"),"Caxias -MA")</f>
        <v>Caxias -MA</v>
      </c>
      <c r="H85" s="2" t="s">
        <v>555</v>
      </c>
      <c r="I85" s="3" t="str">
        <f>IFERROR(__xludf.DUMMYFUNCTION("IF(A85="""", """", IFS(REGEXMATCH(LOWER(A85), ""barbearia|barber""), ""Barbearia"", REGEXMATCH(LOWER(A85), ""sobrancelh|c[ií]lio|lash|micropigment|showbrancelhas""), ""Sobrancelhas e Cílios"", REGEXMATCH(LOWER(A85), ""maquia|make""), ""Maquiagem"", REGEXM"&amp;"ATCH(LOWER(A85), ""depil|epil""), ""Depilação"", REGEXMATCH(LOWER(A85), ""esmalteria|unha|nail|manicur|spa dos p[eé]s|kauu_nhas""), ""Manicure - Esmalteria"", REGEXMATCH(LOWER(A85), ""est[eé]tic|bronze|massot|terap|pilates|revitalize|dra""), ""Clínica de "&amp;"Estética"", TRUE, ""Salão de Beleza""))"),"Salão de Beleza")</f>
        <v>Salão de Beleza</v>
      </c>
    </row>
    <row r="86">
      <c r="A86" s="1" t="s">
        <v>556</v>
      </c>
      <c r="B86" s="1" t="s">
        <v>557</v>
      </c>
      <c r="C86" s="1" t="s">
        <v>558</v>
      </c>
      <c r="D86" s="1" t="s">
        <v>559</v>
      </c>
      <c r="E86" s="1" t="s">
        <v>560</v>
      </c>
      <c r="F86" s="1" t="s">
        <v>561</v>
      </c>
      <c r="G86" s="3" t="str">
        <f>IFERROR(__xludf.DUMMYFUNCTION("AI(""Preencha um valor adequado para esta célula com base no contexto da tabela"")"),"Caxias -MA")</f>
        <v>Caxias -MA</v>
      </c>
      <c r="H86" s="2" t="s">
        <v>562</v>
      </c>
      <c r="I86" s="3" t="str">
        <f>IFERROR(__xludf.DUMMYFUNCTION("IF(A86="""", """", IFS(REGEXMATCH(LOWER(A86), ""barbearia|barber""), ""Barbearia"", REGEXMATCH(LOWER(A86), ""sobrancelh|c[ií]lio|lash|micropigment|showbrancelhas""), ""Sobrancelhas e Cílios"", REGEXMATCH(LOWER(A86), ""maquia|make""), ""Maquiagem"", REGEXM"&amp;"ATCH(LOWER(A86), ""depil|epil""), ""Depilação"", REGEXMATCH(LOWER(A86), ""esmalteria|unha|nail|manicur|spa dos p[eé]s|kauu_nhas""), ""Manicure - Esmalteria"", REGEXMATCH(LOWER(A86), ""est[eé]tic|bronze|massot|terap|pilates|revitalize|dra""), ""Clínica de "&amp;"Estética"", TRUE, ""Salão de Beleza""))"),"Clínica de Estética")</f>
        <v>Clínica de Estética</v>
      </c>
    </row>
    <row r="87">
      <c r="A87" s="1" t="s">
        <v>563</v>
      </c>
      <c r="B87" s="1" t="s">
        <v>564</v>
      </c>
      <c r="C87" s="1" t="s">
        <v>565</v>
      </c>
      <c r="D87" s="1" t="s">
        <v>566</v>
      </c>
      <c r="E87" s="1" t="s">
        <v>567</v>
      </c>
      <c r="F87" s="1" t="s">
        <v>568</v>
      </c>
      <c r="G87" s="3" t="str">
        <f>IFERROR(__xludf.DUMMYFUNCTION("AI(""Preencha um valor adequado para esta célula com base no contexto da tabela"")"),"Caxias -MA")</f>
        <v>Caxias -MA</v>
      </c>
      <c r="H87" s="2" t="s">
        <v>569</v>
      </c>
      <c r="I87" s="3" t="str">
        <f>IFERROR(__xludf.DUMMYFUNCTION("IF(A87="""", """", IFS(REGEXMATCH(LOWER(A87), ""barbearia|barber""), ""Barbearia"", REGEXMATCH(LOWER(A87), ""sobrancelh|c[ií]lio|lash|micropigment|showbrancelhas""), ""Sobrancelhas e Cílios"", REGEXMATCH(LOWER(A87), ""maquia|make""), ""Maquiagem"", REGEXM"&amp;"ATCH(LOWER(A87), ""depil|epil""), ""Depilação"", REGEXMATCH(LOWER(A87), ""esmalteria|unha|nail|manicur|spa dos p[eé]s|kauu_nhas""), ""Manicure - Esmalteria"", REGEXMATCH(LOWER(A87), ""est[eé]tic|bronze|massot|terap|pilates|revitalize|dra""), ""Clínica de "&amp;"Estética"", TRUE, ""Salão de Beleza""))"),"Sobrancelhas e Cílios")</f>
        <v>Sobrancelhas e Cílios</v>
      </c>
    </row>
    <row r="88">
      <c r="A88" s="1" t="s">
        <v>570</v>
      </c>
      <c r="B88" s="1" t="s">
        <v>571</v>
      </c>
      <c r="C88" s="1" t="s">
        <v>572</v>
      </c>
      <c r="D88" s="1" t="s">
        <v>573</v>
      </c>
      <c r="E88" s="1" t="s">
        <v>574</v>
      </c>
      <c r="F88" s="1" t="s">
        <v>575</v>
      </c>
      <c r="G88" s="3" t="str">
        <f>IFERROR(__xludf.DUMMYFUNCTION("AI(""Preencha um valor adequado para esta célula com base no contexto da tabela"")"),"Caxias -MA")</f>
        <v>Caxias -MA</v>
      </c>
      <c r="H88" s="2" t="s">
        <v>576</v>
      </c>
      <c r="I88" s="3" t="str">
        <f>IFERROR(__xludf.DUMMYFUNCTION("IF(A88="""", """", IFS(REGEXMATCH(LOWER(A88), ""barbearia|barber""), ""Barbearia"", REGEXMATCH(LOWER(A88), ""sobrancelh|c[ií]lio|lash|micropigment|showbrancelhas""), ""Sobrancelhas e Cílios"", REGEXMATCH(LOWER(A88), ""maquia|make""), ""Maquiagem"", REGEXM"&amp;"ATCH(LOWER(A88), ""depil|epil""), ""Depilação"", REGEXMATCH(LOWER(A88), ""esmalteria|unha|nail|manicur|spa dos p[eé]s|kauu_nhas""), ""Manicure - Esmalteria"", REGEXMATCH(LOWER(A88), ""est[eé]tic|bronze|massot|terap|pilates|revitalize|dra""), ""Clínica de "&amp;"Estética"", TRUE, ""Salão de Beleza""))"),"Sobrancelhas e Cílios")</f>
        <v>Sobrancelhas e Cílios</v>
      </c>
    </row>
    <row r="89">
      <c r="A89" s="1" t="s">
        <v>577</v>
      </c>
      <c r="B89" s="1" t="s">
        <v>578</v>
      </c>
      <c r="C89" s="1" t="s">
        <v>579</v>
      </c>
      <c r="D89" s="1" t="s">
        <v>580</v>
      </c>
      <c r="E89" s="1" t="s">
        <v>581</v>
      </c>
      <c r="F89" s="1" t="s">
        <v>582</v>
      </c>
      <c r="G89" s="3" t="str">
        <f>IFERROR(__xludf.DUMMYFUNCTION("AI(""Preencha um valor adequado para esta célula com base no contexto da tabela"")"),"Caxias -MA")</f>
        <v>Caxias -MA</v>
      </c>
      <c r="H89" s="2" t="s">
        <v>583</v>
      </c>
      <c r="I89" s="3" t="str">
        <f>IFERROR(__xludf.DUMMYFUNCTION("IF(A89="""", """", IFS(REGEXMATCH(LOWER(A89), ""barbearia|barber""), ""Barbearia"", REGEXMATCH(LOWER(A89), ""sobrancelh|c[ií]lio|lash|micropigment|showbrancelhas""), ""Sobrancelhas e Cílios"", REGEXMATCH(LOWER(A89), ""maquia|make""), ""Maquiagem"", REGEXM"&amp;"ATCH(LOWER(A89), ""depil|epil""), ""Depilação"", REGEXMATCH(LOWER(A89), ""esmalteria|unha|nail|manicur|spa dos p[eé]s|kauu_nhas""), ""Manicure - Esmalteria"", REGEXMATCH(LOWER(A89), ""est[eé]tic|bronze|massot|terap|pilates|revitalize|dra""), ""Clínica de "&amp;"Estética"", TRUE, ""Salão de Beleza""))"),"Salão de Beleza")</f>
        <v>Salão de Beleza</v>
      </c>
    </row>
    <row r="90">
      <c r="A90" s="1" t="s">
        <v>584</v>
      </c>
      <c r="B90" s="1" t="s">
        <v>585</v>
      </c>
      <c r="C90" s="1" t="s">
        <v>586</v>
      </c>
      <c r="D90" s="1" t="s">
        <v>587</v>
      </c>
      <c r="E90" s="1" t="s">
        <v>588</v>
      </c>
      <c r="F90" s="1" t="s">
        <v>589</v>
      </c>
      <c r="G90" s="3" t="str">
        <f>IFERROR(__xludf.DUMMYFUNCTION("AI(""Preencha um valor adequado para esta célula com base no contexto da tabela"")"),"Caxias -MA")</f>
        <v>Caxias -MA</v>
      </c>
      <c r="H90" s="2" t="s">
        <v>590</v>
      </c>
      <c r="I90" s="3" t="str">
        <f>IFERROR(__xludf.DUMMYFUNCTION("IF(A90="""", """", IFS(REGEXMATCH(LOWER(A90), ""barbearia|barber""), ""Barbearia"", REGEXMATCH(LOWER(A90), ""sobrancelh|c[ií]lio|lash|micropigment|showbrancelhas""), ""Sobrancelhas e Cílios"", REGEXMATCH(LOWER(A90), ""maquia|make""), ""Maquiagem"", REGEXM"&amp;"ATCH(LOWER(A90), ""depil|epil""), ""Depilação"", REGEXMATCH(LOWER(A90), ""esmalteria|unha|nail|manicur|spa dos p[eé]s|kauu_nhas""), ""Manicure - Esmalteria"", REGEXMATCH(LOWER(A90), ""est[eé]tic|bronze|massot|terap|pilates|revitalize|dra""), ""Clínica de "&amp;"Estética"", TRUE, ""Salão de Beleza""))"),"Salão de Beleza")</f>
        <v>Salão de Beleza</v>
      </c>
    </row>
    <row r="91">
      <c r="A91" s="1" t="s">
        <v>591</v>
      </c>
      <c r="B91" s="1" t="s">
        <v>592</v>
      </c>
      <c r="C91" s="1" t="s">
        <v>593</v>
      </c>
      <c r="D91" s="1" t="s">
        <v>594</v>
      </c>
      <c r="E91" s="1" t="s">
        <v>595</v>
      </c>
      <c r="F91" s="1" t="s">
        <v>596</v>
      </c>
      <c r="G91" s="3" t="str">
        <f>IFERROR(__xludf.DUMMYFUNCTION("AI(""Preencha um valor adequado para esta célula com base no contexto da tabela"")"),"Caxias -MA")</f>
        <v>Caxias -MA</v>
      </c>
      <c r="H91" s="2" t="s">
        <v>597</v>
      </c>
      <c r="I91" s="3" t="str">
        <f>IFERROR(__xludf.DUMMYFUNCTION("IF(A91="""", """", IFS(REGEXMATCH(LOWER(A91), ""barbearia|barber""), ""Barbearia"", REGEXMATCH(LOWER(A91), ""sobrancelh|c[ií]lio|lash|micropigment|showbrancelhas""), ""Sobrancelhas e Cílios"", REGEXMATCH(LOWER(A91), ""maquia|make""), ""Maquiagem"", REGEXM"&amp;"ATCH(LOWER(A91), ""depil|epil""), ""Depilação"", REGEXMATCH(LOWER(A91), ""esmalteria|unha|nail|manicur|spa dos p[eé]s|kauu_nhas""), ""Manicure - Esmalteria"", REGEXMATCH(LOWER(A91), ""est[eé]tic|bronze|massot|terap|pilates|revitalize|dra""), ""Clínica de "&amp;"Estética"", TRUE, ""Salão de Beleza""))"),"Salão de Beleza")</f>
        <v>Salão de Beleza</v>
      </c>
    </row>
    <row r="92">
      <c r="A92" s="1" t="s">
        <v>598</v>
      </c>
      <c r="D92" s="1" t="s">
        <v>599</v>
      </c>
      <c r="E92" s="1" t="s">
        <v>600</v>
      </c>
      <c r="F92" s="1" t="s">
        <v>601</v>
      </c>
      <c r="G92" s="3" t="str">
        <f>IFERROR(__xludf.DUMMYFUNCTION("AI(""Preencha um valor adequado para esta célula com base no contexto da tabela"")"),"Caxias -MA")</f>
        <v>Caxias -MA</v>
      </c>
      <c r="H92" s="2" t="s">
        <v>602</v>
      </c>
      <c r="I92" s="3" t="str">
        <f>IFERROR(__xludf.DUMMYFUNCTION("IF(A92="""", """", IFS(REGEXMATCH(LOWER(A92), ""barbearia|barber""), ""Barbearia"", REGEXMATCH(LOWER(A92), ""sobrancelh|c[ií]lio|lash|micropigment|showbrancelhas""), ""Sobrancelhas e Cílios"", REGEXMATCH(LOWER(A92), ""maquia|make""), ""Maquiagem"", REGEXM"&amp;"ATCH(LOWER(A92), ""depil|epil""), ""Depilação"", REGEXMATCH(LOWER(A92), ""esmalteria|unha|nail|manicur|spa dos p[eé]s|kauu_nhas""), ""Manicure - Esmalteria"", REGEXMATCH(LOWER(A92), ""est[eé]tic|bronze|massot|terap|pilates|revitalize|dra""), ""Clínica de "&amp;"Estética"", TRUE, ""Salão de Beleza""))"),"Manicure - Esmalteria")</f>
        <v>Manicure - Esmalteria</v>
      </c>
    </row>
    <row r="93">
      <c r="A93" s="1" t="s">
        <v>603</v>
      </c>
      <c r="B93" s="1" t="s">
        <v>604</v>
      </c>
      <c r="C93" s="1" t="s">
        <v>605</v>
      </c>
      <c r="D93" s="1" t="s">
        <v>606</v>
      </c>
      <c r="E93" s="1" t="s">
        <v>607</v>
      </c>
      <c r="F93" s="1" t="s">
        <v>608</v>
      </c>
      <c r="G93" s="3" t="str">
        <f>IFERROR(__xludf.DUMMYFUNCTION("AI(""Preencha um valor adequado para esta célula com base no contexto da tabela"")"),"Caxias -MA")</f>
        <v>Caxias -MA</v>
      </c>
      <c r="H93" s="2" t="s">
        <v>609</v>
      </c>
      <c r="I93" s="3" t="str">
        <f>IFERROR(__xludf.DUMMYFUNCTION("IF(A93="""", """", IFS(REGEXMATCH(LOWER(A93), ""barbearia|barber""), ""Barbearia"", REGEXMATCH(LOWER(A93), ""sobrancelh|c[ií]lio|lash|micropigment|showbrancelhas""), ""Sobrancelhas e Cílios"", REGEXMATCH(LOWER(A93), ""maquia|make""), ""Maquiagem"", REGEXM"&amp;"ATCH(LOWER(A93), ""depil|epil""), ""Depilação"", REGEXMATCH(LOWER(A93), ""esmalteria|unha|nail|manicur|spa dos p[eé]s|kauu_nhas""), ""Manicure - Esmalteria"", REGEXMATCH(LOWER(A93), ""est[eé]tic|bronze|massot|terap|pilates|revitalize|dra""), ""Clínica de "&amp;"Estética"", TRUE, ""Salão de Beleza""))"),"Salão de Beleza")</f>
        <v>Salão de Beleza</v>
      </c>
    </row>
    <row r="94">
      <c r="A94" s="1" t="s">
        <v>610</v>
      </c>
      <c r="D94" s="1" t="s">
        <v>611</v>
      </c>
      <c r="E94" s="1" t="s">
        <v>612</v>
      </c>
      <c r="F94" s="1" t="s">
        <v>613</v>
      </c>
      <c r="G94" s="3" t="str">
        <f>IFERROR(__xludf.DUMMYFUNCTION("AI(""Preencha um valor adequado para esta célula com base no contexto da tabela"")"),"Caxias -MA")</f>
        <v>Caxias -MA</v>
      </c>
      <c r="H94" s="2" t="s">
        <v>614</v>
      </c>
      <c r="I94" s="3" t="str">
        <f>IFERROR(__xludf.DUMMYFUNCTION("IF(A94="""", """", IFS(REGEXMATCH(LOWER(A94), ""barbearia|barber""), ""Barbearia"", REGEXMATCH(LOWER(A94), ""sobrancelh|c[ií]lio|lash|micropigment|showbrancelhas""), ""Sobrancelhas e Cílios"", REGEXMATCH(LOWER(A94), ""maquia|make""), ""Maquiagem"", REGEXM"&amp;"ATCH(LOWER(A94), ""depil|epil""), ""Depilação"", REGEXMATCH(LOWER(A94), ""esmalteria|unha|nail|manicur|spa dos p[eé]s|kauu_nhas""), ""Manicure - Esmalteria"", REGEXMATCH(LOWER(A94), ""est[eé]tic|bronze|massot|terap|pilates|revitalize|dra""), ""Clínica de "&amp;"Estética"", TRUE, ""Salão de Beleza""))"),"Salão de Beleza")</f>
        <v>Salão de Beleza</v>
      </c>
    </row>
    <row r="95">
      <c r="A95" s="1" t="s">
        <v>615</v>
      </c>
      <c r="B95" s="1" t="s">
        <v>616</v>
      </c>
      <c r="C95" s="1" t="s">
        <v>617</v>
      </c>
      <c r="D95" s="1" t="s">
        <v>618</v>
      </c>
      <c r="E95" s="1" t="s">
        <v>619</v>
      </c>
      <c r="F95" s="1" t="s">
        <v>620</v>
      </c>
      <c r="G95" s="3" t="str">
        <f>IFERROR(__xludf.DUMMYFUNCTION("AI(""Preencha um valor adequado para esta célula com base no contexto da tabela"")"),"Caxias -MA")</f>
        <v>Caxias -MA</v>
      </c>
      <c r="H95" s="2" t="s">
        <v>621</v>
      </c>
      <c r="I95" s="3" t="str">
        <f>IFERROR(__xludf.DUMMYFUNCTION("IF(A95="""", """", IFS(REGEXMATCH(LOWER(A95), ""barbearia|barber""), ""Barbearia"", REGEXMATCH(LOWER(A95), ""sobrancelh|c[ií]lio|lash|micropigment|showbrancelhas""), ""Sobrancelhas e Cílios"", REGEXMATCH(LOWER(A95), ""maquia|make""), ""Maquiagem"", REGEXM"&amp;"ATCH(LOWER(A95), ""depil|epil""), ""Depilação"", REGEXMATCH(LOWER(A95), ""esmalteria|unha|nail|manicur|spa dos p[eé]s|kauu_nhas""), ""Manicure - Esmalteria"", REGEXMATCH(LOWER(A95), ""est[eé]tic|bronze|massot|terap|pilates|revitalize|dra""), ""Clínica de "&amp;"Estética"", TRUE, ""Salão de Beleza""))"),"Salão de Beleza")</f>
        <v>Salão de Beleza</v>
      </c>
    </row>
    <row r="96">
      <c r="A96" s="1" t="s">
        <v>622</v>
      </c>
      <c r="B96" s="1" t="s">
        <v>623</v>
      </c>
      <c r="C96" s="1" t="s">
        <v>624</v>
      </c>
      <c r="D96" s="1" t="s">
        <v>625</v>
      </c>
      <c r="E96" s="1" t="s">
        <v>626</v>
      </c>
      <c r="F96" s="1" t="s">
        <v>627</v>
      </c>
      <c r="G96" s="3" t="str">
        <f>IFERROR(__xludf.DUMMYFUNCTION("AI(""Preencha um valor adequado para esta célula com base no contexto da tabela"")"),"Caxias -MA")</f>
        <v>Caxias -MA</v>
      </c>
      <c r="H96" s="2" t="s">
        <v>628</v>
      </c>
      <c r="I96" s="3" t="str">
        <f>IFERROR(__xludf.DUMMYFUNCTION("IF(A96="""", """", IFS(REGEXMATCH(LOWER(A96), ""barbearia|barber""), ""Barbearia"", REGEXMATCH(LOWER(A96), ""sobrancelh|c[ií]lio|lash|micropigment|showbrancelhas""), ""Sobrancelhas e Cílios"", REGEXMATCH(LOWER(A96), ""maquia|make""), ""Maquiagem"", REGEXM"&amp;"ATCH(LOWER(A96), ""depil|epil""), ""Depilação"", REGEXMATCH(LOWER(A96), ""esmalteria|unha|nail|manicur|spa dos p[eé]s|kauu_nhas""), ""Manicure - Esmalteria"", REGEXMATCH(LOWER(A96), ""est[eé]tic|bronze|massot|terap|pilates|revitalize|dra""), ""Clínica de "&amp;"Estética"", TRUE, ""Salão de Beleza""))"),"Salão de Beleza")</f>
        <v>Salão de Beleza</v>
      </c>
    </row>
    <row r="97">
      <c r="A97" s="1" t="s">
        <v>629</v>
      </c>
      <c r="B97" s="1" t="s">
        <v>630</v>
      </c>
      <c r="C97" s="1" t="s">
        <v>631</v>
      </c>
      <c r="D97" s="1" t="s">
        <v>632</v>
      </c>
      <c r="E97" s="1" t="s">
        <v>633</v>
      </c>
      <c r="F97" s="1" t="s">
        <v>634</v>
      </c>
      <c r="G97" s="3" t="str">
        <f>IFERROR(__xludf.DUMMYFUNCTION("AI(""Preencha um valor adequado para esta célula com base no contexto da tabela"")"),"Caxias -MA")</f>
        <v>Caxias -MA</v>
      </c>
      <c r="H97" s="2" t="s">
        <v>635</v>
      </c>
      <c r="I97" s="3" t="str">
        <f>IFERROR(__xludf.DUMMYFUNCTION("IF(A97="""", """", IFS(REGEXMATCH(LOWER(A97), ""barbearia|barber""), ""Barbearia"", REGEXMATCH(LOWER(A97), ""sobrancelh|c[ií]lio|lash|micropigment|showbrancelhas""), ""Sobrancelhas e Cílios"", REGEXMATCH(LOWER(A97), ""maquia|make""), ""Maquiagem"", REGEXM"&amp;"ATCH(LOWER(A97), ""depil|epil""), ""Depilação"", REGEXMATCH(LOWER(A97), ""esmalteria|unha|nail|manicur|spa dos p[eé]s|kauu_nhas""), ""Manicure - Esmalteria"", REGEXMATCH(LOWER(A97), ""est[eé]tic|bronze|massot|terap|pilates|revitalize|dra""), ""Clínica de "&amp;"Estética"", TRUE, ""Salão de Beleza""))"),"Salão de Beleza")</f>
        <v>Salão de Beleza</v>
      </c>
    </row>
    <row r="98">
      <c r="A98" s="1" t="s">
        <v>636</v>
      </c>
      <c r="D98" s="1" t="s">
        <v>637</v>
      </c>
      <c r="E98" s="1" t="s">
        <v>638</v>
      </c>
      <c r="F98" s="1" t="s">
        <v>639</v>
      </c>
      <c r="G98" s="3" t="str">
        <f>IFERROR(__xludf.DUMMYFUNCTION("AI(""Preencha um valor adequado para esta célula com base no contexto da tabela"")"),"Caxias -MA")</f>
        <v>Caxias -MA</v>
      </c>
      <c r="H98" s="2" t="s">
        <v>640</v>
      </c>
      <c r="I98" s="3" t="str">
        <f>IFERROR(__xludf.DUMMYFUNCTION("IF(A98="""", """", IFS(REGEXMATCH(LOWER(A98), ""barbearia|barber""), ""Barbearia"", REGEXMATCH(LOWER(A98), ""sobrancelh|c[ií]lio|lash|micropigment|showbrancelhas""), ""Sobrancelhas e Cílios"", REGEXMATCH(LOWER(A98), ""maquia|make""), ""Maquiagem"", REGEXM"&amp;"ATCH(LOWER(A98), ""depil|epil""), ""Depilação"", REGEXMATCH(LOWER(A98), ""esmalteria|unha|nail|manicur|spa dos p[eé]s|kauu_nhas""), ""Manicure - Esmalteria"", REGEXMATCH(LOWER(A98), ""est[eé]tic|bronze|massot|terap|pilates|revitalize|dra""), ""Clínica de "&amp;"Estética"", TRUE, ""Salão de Beleza""))"),"Salão de Beleza")</f>
        <v>Salão de Beleza</v>
      </c>
    </row>
    <row r="99">
      <c r="A99" s="1" t="s">
        <v>641</v>
      </c>
      <c r="B99" s="1" t="s">
        <v>642</v>
      </c>
      <c r="C99" s="1" t="s">
        <v>643</v>
      </c>
      <c r="D99" s="1" t="s">
        <v>644</v>
      </c>
      <c r="E99" s="1" t="s">
        <v>645</v>
      </c>
      <c r="F99" s="1" t="s">
        <v>646</v>
      </c>
      <c r="G99" s="3" t="str">
        <f>IFERROR(__xludf.DUMMYFUNCTION("AI(""Preencha um valor adequado para esta célula com base no contexto da tabela"")"),"Caxias -MA")</f>
        <v>Caxias -MA</v>
      </c>
      <c r="H99" s="2" t="s">
        <v>647</v>
      </c>
      <c r="I99" s="3" t="str">
        <f>IFERROR(__xludf.DUMMYFUNCTION("IF(A99="""", """", IFS(REGEXMATCH(LOWER(A99), ""barbearia|barber""), ""Barbearia"", REGEXMATCH(LOWER(A99), ""sobrancelh|c[ií]lio|lash|micropigment|showbrancelhas""), ""Sobrancelhas e Cílios"", REGEXMATCH(LOWER(A99), ""maquia|make""), ""Maquiagem"", REGEXM"&amp;"ATCH(LOWER(A99), ""depil|epil""), ""Depilação"", REGEXMATCH(LOWER(A99), ""esmalteria|unha|nail|manicur|spa dos p[eé]s|kauu_nhas""), ""Manicure - Esmalteria"", REGEXMATCH(LOWER(A99), ""est[eé]tic|bronze|massot|terap|pilates|revitalize|dra""), ""Clínica de "&amp;"Estética"", TRUE, ""Salão de Beleza""))"),"Salão de Beleza")</f>
        <v>Salão de Beleza</v>
      </c>
    </row>
    <row r="100">
      <c r="A100" s="1" t="s">
        <v>648</v>
      </c>
      <c r="B100" s="1" t="s">
        <v>649</v>
      </c>
      <c r="C100" s="1" t="s">
        <v>650</v>
      </c>
      <c r="D100" s="1" t="s">
        <v>651</v>
      </c>
      <c r="E100" s="1" t="s">
        <v>652</v>
      </c>
      <c r="F100" s="1" t="s">
        <v>653</v>
      </c>
      <c r="G100" s="3" t="str">
        <f>IFERROR(__xludf.DUMMYFUNCTION("AI(""Preencha um valor adequado para esta célula com base no contexto da tabela"")"),"Caxias -MA")</f>
        <v>Caxias -MA</v>
      </c>
      <c r="H100" s="2" t="s">
        <v>654</v>
      </c>
      <c r="I100" s="3" t="str">
        <f>IFERROR(__xludf.DUMMYFUNCTION("IF(A100="""", """", IFS(REGEXMATCH(LOWER(A100), ""barbearia|barber""), ""Barbearia"", REGEXMATCH(LOWER(A100), ""sobrancelh|c[ií]lio|lash|micropigment|showbrancelhas""), ""Sobrancelhas e Cílios"", REGEXMATCH(LOWER(A100), ""maquia|make""), ""Maquiagem"", RE"&amp;"GEXMATCH(LOWER(A100), ""depil|epil""), ""Depilação"", REGEXMATCH(LOWER(A100), ""esmalteria|unha|nail|manicur|spa dos p[eé]s|kauu_nhas""), ""Manicure - Esmalteria"", REGEXMATCH(LOWER(A100), ""est[eé]tic|bronze|massot|terap|pilates|revitalize|dra""), ""Clín"&amp;"ica de Estética"", TRUE, ""Salão de Beleza""))"),"Salão de Beleza")</f>
        <v>Salão de Beleza</v>
      </c>
    </row>
    <row r="101">
      <c r="A101" s="1" t="s">
        <v>655</v>
      </c>
      <c r="B101" s="1" t="s">
        <v>656</v>
      </c>
      <c r="C101" s="1" t="s">
        <v>657</v>
      </c>
      <c r="D101" s="1" t="s">
        <v>658</v>
      </c>
      <c r="E101" s="1" t="s">
        <v>659</v>
      </c>
      <c r="F101" s="1" t="s">
        <v>660</v>
      </c>
      <c r="G101" s="3" t="str">
        <f>IFERROR(__xludf.DUMMYFUNCTION("AI(""Preencha um valor adequado para esta célula com base no contexto da tabela"")"),"Caxias -MA")</f>
        <v>Caxias -MA</v>
      </c>
      <c r="H101" s="2" t="s">
        <v>661</v>
      </c>
      <c r="I101" s="3" t="str">
        <f>IFERROR(__xludf.DUMMYFUNCTION("IF(A101="""", """", IFS(REGEXMATCH(LOWER(A101), ""barbearia|barber""), ""Barbearia"", REGEXMATCH(LOWER(A101), ""sobrancelh|c[ií]lio|lash|micropigment|showbrancelhas""), ""Sobrancelhas e Cílios"", REGEXMATCH(LOWER(A101), ""maquia|make""), ""Maquiagem"", RE"&amp;"GEXMATCH(LOWER(A101), ""depil|epil""), ""Depilação"", REGEXMATCH(LOWER(A101), ""esmalteria|unha|nail|manicur|spa dos p[eé]s|kauu_nhas""), ""Manicure - Esmalteria"", REGEXMATCH(LOWER(A101), ""est[eé]tic|bronze|massot|terap|pilates|revitalize|dra""), ""Clín"&amp;"ica de Estética"", TRUE, ""Salão de Beleza""))"),"Salão de Beleza")</f>
        <v>Salão de Beleza</v>
      </c>
    </row>
    <row r="102">
      <c r="A102" s="1" t="s">
        <v>662</v>
      </c>
      <c r="B102" s="1" t="s">
        <v>663</v>
      </c>
      <c r="C102" s="1" t="s">
        <v>664</v>
      </c>
      <c r="D102" s="1" t="s">
        <v>665</v>
      </c>
      <c r="E102" s="1" t="s">
        <v>666</v>
      </c>
      <c r="F102" s="1" t="s">
        <v>667</v>
      </c>
      <c r="G102" s="3" t="str">
        <f>IFERROR(__xludf.DUMMYFUNCTION("AI(""Preencha um valor adequado para esta célula com base no contexto da tabela"")"),"Caxias -MA")</f>
        <v>Caxias -MA</v>
      </c>
      <c r="H102" s="2" t="s">
        <v>668</v>
      </c>
      <c r="I102" s="3" t="str">
        <f>IFERROR(__xludf.DUMMYFUNCTION("IF(A102="""", """", IFS(REGEXMATCH(LOWER(A102), ""barbearia|barber""), ""Barbearia"", REGEXMATCH(LOWER(A102), ""sobrancelh|c[ií]lio|lash|micropigment|showbrancelhas""), ""Sobrancelhas e Cílios"", REGEXMATCH(LOWER(A102), ""maquia|make""), ""Maquiagem"", RE"&amp;"GEXMATCH(LOWER(A102), ""depil|epil""), ""Depilação"", REGEXMATCH(LOWER(A102), ""esmalteria|unha|nail|manicur|spa dos p[eé]s|kauu_nhas""), ""Manicure - Esmalteria"", REGEXMATCH(LOWER(A102), ""est[eé]tic|bronze|massot|terap|pilates|revitalize|dra""), ""Clín"&amp;"ica de Estética"", TRUE, ""Salão de Beleza""))"),"Salão de Beleza")</f>
        <v>Salão de Beleza</v>
      </c>
    </row>
    <row r="103">
      <c r="A103" s="1" t="s">
        <v>669</v>
      </c>
      <c r="D103" s="1" t="s">
        <v>670</v>
      </c>
      <c r="E103" s="1" t="s">
        <v>671</v>
      </c>
      <c r="F103" s="1" t="s">
        <v>672</v>
      </c>
      <c r="G103" s="3" t="str">
        <f>IFERROR(__xludf.DUMMYFUNCTION("AI(""Preencha um valor adequado para esta célula com base no contexto da tabela"")"),"Caxias -MA")</f>
        <v>Caxias -MA</v>
      </c>
      <c r="H103" s="2" t="s">
        <v>673</v>
      </c>
      <c r="I103" s="3" t="str">
        <f>IFERROR(__xludf.DUMMYFUNCTION("IF(A103="""", """", IFS(REGEXMATCH(LOWER(A103), ""barbearia|barber""), ""Barbearia"", REGEXMATCH(LOWER(A103), ""sobrancelh|c[ií]lio|lash|micropigment|showbrancelhas""), ""Sobrancelhas e Cílios"", REGEXMATCH(LOWER(A103), ""maquia|make""), ""Maquiagem"", RE"&amp;"GEXMATCH(LOWER(A103), ""depil|epil""), ""Depilação"", REGEXMATCH(LOWER(A103), ""esmalteria|unha|nail|manicur|spa dos p[eé]s|kauu_nhas""), ""Manicure - Esmalteria"", REGEXMATCH(LOWER(A103), ""est[eé]tic|bronze|massot|terap|pilates|revitalize|dra""), ""Clín"&amp;"ica de Estética"", TRUE, ""Salão de Beleza""))"),"Salão de Beleza")</f>
        <v>Salão de Beleza</v>
      </c>
    </row>
    <row r="104">
      <c r="A104" s="1" t="s">
        <v>674</v>
      </c>
      <c r="D104" s="1" t="s">
        <v>675</v>
      </c>
      <c r="E104" s="1" t="s">
        <v>676</v>
      </c>
      <c r="F104" s="1" t="s">
        <v>677</v>
      </c>
      <c r="G104" s="3" t="str">
        <f>IFERROR(__xludf.DUMMYFUNCTION("AI(""Preencha um valor adequado para esta célula com base no contexto da tabela"")"),"Caxias -MA")</f>
        <v>Caxias -MA</v>
      </c>
      <c r="H104" s="2" t="s">
        <v>678</v>
      </c>
      <c r="I104" s="3" t="str">
        <f>IFERROR(__xludf.DUMMYFUNCTION("IF(A104="""", """", IFS(REGEXMATCH(LOWER(A104), ""barbearia|barber""), ""Barbearia"", REGEXMATCH(LOWER(A104), ""sobrancelh|c[ií]lio|lash|micropigment|showbrancelhas""), ""Sobrancelhas e Cílios"", REGEXMATCH(LOWER(A104), ""maquia|make""), ""Maquiagem"", RE"&amp;"GEXMATCH(LOWER(A104), ""depil|epil""), ""Depilação"", REGEXMATCH(LOWER(A104), ""esmalteria|unha|nail|manicur|spa dos p[eé]s|kauu_nhas""), ""Manicure - Esmalteria"", REGEXMATCH(LOWER(A104), ""est[eé]tic|bronze|massot|terap|pilates|revitalize|dra""), ""Clín"&amp;"ica de Estética"", TRUE, ""Salão de Beleza""))"),"Sobrancelhas e Cílios")</f>
        <v>Sobrancelhas e Cílios</v>
      </c>
    </row>
    <row r="105">
      <c r="A105" s="1" t="s">
        <v>679</v>
      </c>
      <c r="B105" s="1" t="s">
        <v>680</v>
      </c>
      <c r="C105" s="1" t="s">
        <v>681</v>
      </c>
      <c r="D105" s="1" t="s">
        <v>682</v>
      </c>
      <c r="E105" s="1" t="s">
        <v>683</v>
      </c>
      <c r="F105" s="1" t="s">
        <v>684</v>
      </c>
      <c r="G105" s="3" t="str">
        <f>IFERROR(__xludf.DUMMYFUNCTION("AI(""Preencha um valor adequado para esta célula com base no contexto da tabela"")"),"Caxias -MA")</f>
        <v>Caxias -MA</v>
      </c>
      <c r="H105" s="2" t="s">
        <v>685</v>
      </c>
      <c r="I105" s="3" t="str">
        <f>IFERROR(__xludf.DUMMYFUNCTION("IF(A105="""", """", IFS(REGEXMATCH(LOWER(A105), ""barbearia|barber""), ""Barbearia"", REGEXMATCH(LOWER(A105), ""sobrancelh|c[ií]lio|lash|micropigment|showbrancelhas""), ""Sobrancelhas e Cílios"", REGEXMATCH(LOWER(A105), ""maquia|make""), ""Maquiagem"", RE"&amp;"GEXMATCH(LOWER(A105), ""depil|epil""), ""Depilação"", REGEXMATCH(LOWER(A105), ""esmalteria|unha|nail|manicur|spa dos p[eé]s|kauu_nhas""), ""Manicure - Esmalteria"", REGEXMATCH(LOWER(A105), ""est[eé]tic|bronze|massot|terap|pilates|revitalize|dra""), ""Clín"&amp;"ica de Estética"", TRUE, ""Salão de Beleza""))"),"Clínica de Estética")</f>
        <v>Clínica de Estética</v>
      </c>
    </row>
    <row r="106">
      <c r="A106" s="1" t="s">
        <v>686</v>
      </c>
      <c r="B106" s="1" t="s">
        <v>687</v>
      </c>
      <c r="C106" s="1" t="s">
        <v>688</v>
      </c>
      <c r="D106" s="1" t="s">
        <v>689</v>
      </c>
      <c r="E106" s="1" t="s">
        <v>690</v>
      </c>
      <c r="F106" s="1" t="s">
        <v>691</v>
      </c>
      <c r="G106" s="3" t="str">
        <f>IFERROR(__xludf.DUMMYFUNCTION("AI(""Preencha um valor adequado para esta célula com base no contexto da tabela"")"),"Caxias -MA")</f>
        <v>Caxias -MA</v>
      </c>
      <c r="H106" s="2" t="s">
        <v>692</v>
      </c>
      <c r="I106" s="3" t="str">
        <f>IFERROR(__xludf.DUMMYFUNCTION("IF(A106="""", """", IFS(REGEXMATCH(LOWER(A106), ""barbearia|barber""), ""Barbearia"", REGEXMATCH(LOWER(A106), ""sobrancelh|c[ií]lio|lash|micropigment|showbrancelhas""), ""Sobrancelhas e Cílios"", REGEXMATCH(LOWER(A106), ""maquia|make""), ""Maquiagem"", RE"&amp;"GEXMATCH(LOWER(A106), ""depil|epil""), ""Depilação"", REGEXMATCH(LOWER(A106), ""esmalteria|unha|nail|manicur|spa dos p[eé]s|kauu_nhas""), ""Manicure - Esmalteria"", REGEXMATCH(LOWER(A106), ""est[eé]tic|bronze|massot|terap|pilates|revitalize|dra""), ""Clín"&amp;"ica de Estética"", TRUE, ""Salão de Beleza""))"),"Salão de Beleza")</f>
        <v>Salão de Beleza</v>
      </c>
    </row>
    <row r="107">
      <c r="A107" s="1" t="s">
        <v>693</v>
      </c>
      <c r="B107" s="1" t="s">
        <v>694</v>
      </c>
      <c r="C107" s="1" t="s">
        <v>695</v>
      </c>
      <c r="D107" s="1" t="s">
        <v>696</v>
      </c>
      <c r="E107" s="1" t="s">
        <v>697</v>
      </c>
      <c r="F107" s="1" t="s">
        <v>698</v>
      </c>
      <c r="G107" s="3" t="str">
        <f>IFERROR(__xludf.DUMMYFUNCTION("AI(""Preencha um valor adequado para esta célula com base no contexto da tabela"")"),"Caxias -MA")</f>
        <v>Caxias -MA</v>
      </c>
      <c r="H107" s="2" t="s">
        <v>699</v>
      </c>
      <c r="I107" s="3" t="str">
        <f>IFERROR(__xludf.DUMMYFUNCTION("IF(A107="""", """", IFS(REGEXMATCH(LOWER(A107), ""barbearia|barber""), ""Barbearia"", REGEXMATCH(LOWER(A107), ""sobrancelh|c[ií]lio|lash|micropigment|showbrancelhas""), ""Sobrancelhas e Cílios"", REGEXMATCH(LOWER(A107), ""maquia|make""), ""Maquiagem"", RE"&amp;"GEXMATCH(LOWER(A107), ""depil|epil""), ""Depilação"", REGEXMATCH(LOWER(A107), ""esmalteria|unha|nail|manicur|spa dos p[eé]s|kauu_nhas""), ""Manicure - Esmalteria"", REGEXMATCH(LOWER(A107), ""est[eé]tic|bronze|massot|terap|pilates|revitalize|dra""), ""Clín"&amp;"ica de Estética"", TRUE, ""Salão de Beleza""))"),"Salão de Beleza")</f>
        <v>Salão de Beleza</v>
      </c>
    </row>
    <row r="108">
      <c r="A108" s="1" t="s">
        <v>700</v>
      </c>
      <c r="D108" s="1" t="s">
        <v>701</v>
      </c>
      <c r="E108" s="1" t="s">
        <v>702</v>
      </c>
      <c r="F108" s="1" t="s">
        <v>703</v>
      </c>
      <c r="G108" s="3" t="str">
        <f>IFERROR(__xludf.DUMMYFUNCTION("AI(""Preencha um valor adequado para esta célula com base no contexto da tabela"")"),"Caxias -MA")</f>
        <v>Caxias -MA</v>
      </c>
      <c r="H108" s="2" t="s">
        <v>704</v>
      </c>
      <c r="I108" s="3" t="str">
        <f>IFERROR(__xludf.DUMMYFUNCTION("IF(A108="""", """", IFS(REGEXMATCH(LOWER(A108), ""barbearia|barber""), ""Barbearia"", REGEXMATCH(LOWER(A108), ""sobrancelh|c[ií]lio|lash|micropigment|showbrancelhas""), ""Sobrancelhas e Cílios"", REGEXMATCH(LOWER(A108), ""maquia|make""), ""Maquiagem"", RE"&amp;"GEXMATCH(LOWER(A108), ""depil|epil""), ""Depilação"", REGEXMATCH(LOWER(A108), ""esmalteria|unha|nail|manicur|spa dos p[eé]s|kauu_nhas""), ""Manicure - Esmalteria"", REGEXMATCH(LOWER(A108), ""est[eé]tic|bronze|massot|terap|pilates|revitalize|dra""), ""Clín"&amp;"ica de Estética"", TRUE, ""Salão de Beleza""))"),"Salão de Beleza")</f>
        <v>Salão de Beleza</v>
      </c>
    </row>
    <row r="109">
      <c r="A109" s="1" t="s">
        <v>705</v>
      </c>
      <c r="D109" s="1" t="s">
        <v>706</v>
      </c>
      <c r="E109" s="1" t="s">
        <v>707</v>
      </c>
      <c r="F109" s="1" t="s">
        <v>708</v>
      </c>
      <c r="G109" s="3" t="str">
        <f>IFERROR(__xludf.DUMMYFUNCTION("AI(""Preencha um valor adequado para esta célula com base no contexto da tabela"")"),"Caxias -MA")</f>
        <v>Caxias -MA</v>
      </c>
      <c r="H109" s="2" t="s">
        <v>709</v>
      </c>
      <c r="I109" s="3" t="str">
        <f>IFERROR(__xludf.DUMMYFUNCTION("IF(A109="""", """", IFS(REGEXMATCH(LOWER(A109), ""barbearia|barber""), ""Barbearia"", REGEXMATCH(LOWER(A109), ""sobrancelh|c[ií]lio|lash|micropigment|showbrancelhas""), ""Sobrancelhas e Cílios"", REGEXMATCH(LOWER(A109), ""maquia|make""), ""Maquiagem"", RE"&amp;"GEXMATCH(LOWER(A109), ""depil|epil""), ""Depilação"", REGEXMATCH(LOWER(A109), ""esmalteria|unha|nail|manicur|spa dos p[eé]s|kauu_nhas""), ""Manicure - Esmalteria"", REGEXMATCH(LOWER(A109), ""est[eé]tic|bronze|massot|terap|pilates|revitalize|dra""), ""Clín"&amp;"ica de Estética"", TRUE, ""Salão de Beleza""))"),"Salão de Beleza")</f>
        <v>Salão de Beleza</v>
      </c>
    </row>
    <row r="110">
      <c r="A110" s="1" t="s">
        <v>710</v>
      </c>
      <c r="B110" s="1" t="s">
        <v>711</v>
      </c>
      <c r="C110" s="1" t="s">
        <v>712</v>
      </c>
      <c r="D110" s="1" t="s">
        <v>713</v>
      </c>
      <c r="E110" s="1" t="s">
        <v>714</v>
      </c>
      <c r="F110" s="1" t="s">
        <v>715</v>
      </c>
      <c r="G110" s="3" t="str">
        <f>IFERROR(__xludf.DUMMYFUNCTION("AI(""Preencha um valor adequado para esta célula com base no contexto da tabela"")"),"Caxias -MA")</f>
        <v>Caxias -MA</v>
      </c>
      <c r="H110" s="2" t="s">
        <v>716</v>
      </c>
      <c r="I110" s="3" t="str">
        <f>IFERROR(__xludf.DUMMYFUNCTION("IF(A110="""", """", IFS(REGEXMATCH(LOWER(A110), ""barbearia|barber""), ""Barbearia"", REGEXMATCH(LOWER(A110), ""sobrancelh|c[ií]lio|lash|micropigment|showbrancelhas""), ""Sobrancelhas e Cílios"", REGEXMATCH(LOWER(A110), ""maquia|make""), ""Maquiagem"", RE"&amp;"GEXMATCH(LOWER(A110), ""depil|epil""), ""Depilação"", REGEXMATCH(LOWER(A110), ""esmalteria|unha|nail|manicur|spa dos p[eé]s|kauu_nhas""), ""Manicure - Esmalteria"", REGEXMATCH(LOWER(A110), ""est[eé]tic|bronze|massot|terap|pilates|revitalize|dra""), ""Clín"&amp;"ica de Estética"", TRUE, ""Salão de Beleza""))"),"Salão de Beleza")</f>
        <v>Salão de Beleza</v>
      </c>
    </row>
    <row r="111">
      <c r="A111" s="1" t="s">
        <v>717</v>
      </c>
      <c r="B111" s="1" t="s">
        <v>718</v>
      </c>
      <c r="C111" s="1" t="s">
        <v>719</v>
      </c>
      <c r="D111" s="1" t="s">
        <v>720</v>
      </c>
      <c r="E111" s="1" t="s">
        <v>721</v>
      </c>
      <c r="F111" s="1" t="s">
        <v>722</v>
      </c>
      <c r="G111" s="3" t="str">
        <f>IFERROR(__xludf.DUMMYFUNCTION("AI(""Preencha um valor adequado para esta célula com base no contexto da tabela"")"),"Caxias -MA")</f>
        <v>Caxias -MA</v>
      </c>
      <c r="H111" s="2" t="s">
        <v>723</v>
      </c>
      <c r="I111" s="3" t="str">
        <f>IFERROR(__xludf.DUMMYFUNCTION("IF(A111="""", """", IFS(REGEXMATCH(LOWER(A111), ""barbearia|barber""), ""Barbearia"", REGEXMATCH(LOWER(A111), ""sobrancelh|c[ií]lio|lash|micropigment|showbrancelhas""), ""Sobrancelhas e Cílios"", REGEXMATCH(LOWER(A111), ""maquia|make""), ""Maquiagem"", RE"&amp;"GEXMATCH(LOWER(A111), ""depil|epil""), ""Depilação"", REGEXMATCH(LOWER(A111), ""esmalteria|unha|nail|manicur|spa dos p[eé]s|kauu_nhas""), ""Manicure - Esmalteria"", REGEXMATCH(LOWER(A111), ""est[eé]tic|bronze|massot|terap|pilates|revitalize|dra""), ""Clín"&amp;"ica de Estética"", TRUE, ""Salão de Beleza""))"),"Sobrancelhas e Cílios")</f>
        <v>Sobrancelhas e Cílios</v>
      </c>
    </row>
    <row r="112">
      <c r="A112" s="1" t="s">
        <v>724</v>
      </c>
      <c r="B112" s="1" t="s">
        <v>725</v>
      </c>
      <c r="C112" s="1" t="s">
        <v>726</v>
      </c>
      <c r="D112" s="1" t="s">
        <v>727</v>
      </c>
      <c r="E112" s="1" t="s">
        <v>728</v>
      </c>
      <c r="F112" s="1" t="s">
        <v>729</v>
      </c>
      <c r="G112" s="3" t="str">
        <f>IFERROR(__xludf.DUMMYFUNCTION("AI(""Preencha um valor adequado para esta célula com base no contexto da tabela"")"),"Caxias -MA")</f>
        <v>Caxias -MA</v>
      </c>
      <c r="H112" s="2" t="s">
        <v>730</v>
      </c>
      <c r="I112" s="3" t="str">
        <f>IFERROR(__xludf.DUMMYFUNCTION("IF(A112="""", """", IFS(REGEXMATCH(LOWER(A112), ""barbearia|barber""), ""Barbearia"", REGEXMATCH(LOWER(A112), ""sobrancelh|c[ií]lio|lash|micropigment|showbrancelhas""), ""Sobrancelhas e Cílios"", REGEXMATCH(LOWER(A112), ""maquia|make""), ""Maquiagem"", RE"&amp;"GEXMATCH(LOWER(A112), ""depil|epil""), ""Depilação"", REGEXMATCH(LOWER(A112), ""esmalteria|unha|nail|manicur|spa dos p[eé]s|kauu_nhas""), ""Manicure - Esmalteria"", REGEXMATCH(LOWER(A112), ""est[eé]tic|bronze|massot|terap|pilates|revitalize|dra""), ""Clín"&amp;"ica de Estética"", TRUE, ""Salão de Beleza""))"),"Salão de Beleza")</f>
        <v>Salão de Beleza</v>
      </c>
    </row>
    <row r="113">
      <c r="A113" s="1" t="s">
        <v>731</v>
      </c>
      <c r="B113" s="1" t="s">
        <v>732</v>
      </c>
      <c r="C113" s="1" t="s">
        <v>733</v>
      </c>
      <c r="D113" s="1" t="s">
        <v>734</v>
      </c>
      <c r="E113" s="1" t="s">
        <v>735</v>
      </c>
      <c r="F113" s="1" t="s">
        <v>736</v>
      </c>
      <c r="G113" s="3" t="str">
        <f>IFERROR(__xludf.DUMMYFUNCTION("AI(""Preencha um valor adequado para esta célula com base no contexto da tabela"")"),"Caxias -MA")</f>
        <v>Caxias -MA</v>
      </c>
      <c r="H113" s="2" t="s">
        <v>737</v>
      </c>
      <c r="I113" s="3" t="str">
        <f>IFERROR(__xludf.DUMMYFUNCTION("IF(A113="""", """", IFS(REGEXMATCH(LOWER(A113), ""barbearia|barber""), ""Barbearia"", REGEXMATCH(LOWER(A113), ""sobrancelh|c[ií]lio|lash|micropigment|showbrancelhas""), ""Sobrancelhas e Cílios"", REGEXMATCH(LOWER(A113), ""maquia|make""), ""Maquiagem"", RE"&amp;"GEXMATCH(LOWER(A113), ""depil|epil""), ""Depilação"", REGEXMATCH(LOWER(A113), ""esmalteria|unha|nail|manicur|spa dos p[eé]s|kauu_nhas""), ""Manicure - Esmalteria"", REGEXMATCH(LOWER(A113), ""est[eé]tic|bronze|massot|terap|pilates|revitalize|dra""), ""Clín"&amp;"ica de Estética"", TRUE, ""Salão de Beleza""))"),"Salão de Beleza")</f>
        <v>Salão de Beleza</v>
      </c>
    </row>
    <row r="114">
      <c r="A114" s="1" t="s">
        <v>738</v>
      </c>
      <c r="B114" s="1" t="s">
        <v>739</v>
      </c>
      <c r="C114" s="1" t="s">
        <v>740</v>
      </c>
      <c r="D114" s="1" t="s">
        <v>741</v>
      </c>
      <c r="E114" s="1" t="s">
        <v>742</v>
      </c>
      <c r="F114" s="1" t="s">
        <v>743</v>
      </c>
      <c r="G114" s="3" t="str">
        <f>IFERROR(__xludf.DUMMYFUNCTION("AI(""Preencha um valor adequado para esta célula com base no contexto da tabela"")"),"Caxias -MA")</f>
        <v>Caxias -MA</v>
      </c>
      <c r="H114" s="2" t="s">
        <v>744</v>
      </c>
      <c r="I114" s="3" t="str">
        <f>IFERROR(__xludf.DUMMYFUNCTION("IF(A114="""", """", IFS(REGEXMATCH(LOWER(A114), ""barbearia|barber""), ""Barbearia"", REGEXMATCH(LOWER(A114), ""sobrancelh|c[ií]lio|lash|micropigment|showbrancelhas""), ""Sobrancelhas e Cílios"", REGEXMATCH(LOWER(A114), ""maquia|make""), ""Maquiagem"", RE"&amp;"GEXMATCH(LOWER(A114), ""depil|epil""), ""Depilação"", REGEXMATCH(LOWER(A114), ""esmalteria|unha|nail|manicur|spa dos p[eé]s|kauu_nhas""), ""Manicure - Esmalteria"", REGEXMATCH(LOWER(A114), ""est[eé]tic|bronze|massot|terap|pilates|revitalize|dra""), ""Clín"&amp;"ica de Estética"", TRUE, ""Salão de Beleza""))"),"Salão de Beleza")</f>
        <v>Salão de Beleza</v>
      </c>
    </row>
    <row r="115">
      <c r="A115" s="1" t="s">
        <v>745</v>
      </c>
      <c r="B115" s="1" t="s">
        <v>746</v>
      </c>
      <c r="D115" s="1" t="s">
        <v>747</v>
      </c>
      <c r="E115" s="1" t="s">
        <v>748</v>
      </c>
      <c r="F115" s="1" t="s">
        <v>749</v>
      </c>
      <c r="G115" s="3" t="str">
        <f>IFERROR(__xludf.DUMMYFUNCTION("AI(""Preencha um valor adequado para esta célula com base no contexto da tabela"")"),"Caxias -MA")</f>
        <v>Caxias -MA</v>
      </c>
      <c r="H115" s="2" t="s">
        <v>750</v>
      </c>
      <c r="I115" s="3" t="str">
        <f>IFERROR(__xludf.DUMMYFUNCTION("IF(A115="""", """", IFS(REGEXMATCH(LOWER(A115), ""barbearia|barber""), ""Barbearia"", REGEXMATCH(LOWER(A115), ""sobrancelh|c[ií]lio|lash|micropigment|showbrancelhas""), ""Sobrancelhas e Cílios"", REGEXMATCH(LOWER(A115), ""maquia|make""), ""Maquiagem"", RE"&amp;"GEXMATCH(LOWER(A115), ""depil|epil""), ""Depilação"", REGEXMATCH(LOWER(A115), ""esmalteria|unha|nail|manicur|spa dos p[eé]s|kauu_nhas""), ""Manicure - Esmalteria"", REGEXMATCH(LOWER(A115), ""est[eé]tic|bronze|massot|terap|pilates|revitalize|dra""), ""Clín"&amp;"ica de Estética"", TRUE, ""Salão de Beleza""))"),"Salão de Beleza")</f>
        <v>Salão de Beleza</v>
      </c>
    </row>
    <row r="116">
      <c r="A116" s="1" t="s">
        <v>751</v>
      </c>
      <c r="B116" s="1" t="s">
        <v>752</v>
      </c>
      <c r="C116" s="1" t="s">
        <v>753</v>
      </c>
      <c r="D116" s="1" t="s">
        <v>754</v>
      </c>
      <c r="E116" s="1" t="s">
        <v>755</v>
      </c>
      <c r="F116" s="1" t="s">
        <v>756</v>
      </c>
      <c r="G116" s="3" t="str">
        <f>IFERROR(__xludf.DUMMYFUNCTION("AI(""Preencha um valor adequado para esta célula com base no contexto da tabela"")"),"Caxias -MA")</f>
        <v>Caxias -MA</v>
      </c>
      <c r="H116" s="2" t="s">
        <v>757</v>
      </c>
      <c r="I116" s="3" t="str">
        <f>IFERROR(__xludf.DUMMYFUNCTION("IF(A116="""", """", IFS(REGEXMATCH(LOWER(A116), ""barbearia|barber""), ""Barbearia"", REGEXMATCH(LOWER(A116), ""sobrancelh|c[ií]lio|lash|micropigment|showbrancelhas""), ""Sobrancelhas e Cílios"", REGEXMATCH(LOWER(A116), ""maquia|make""), ""Maquiagem"", RE"&amp;"GEXMATCH(LOWER(A116), ""depil|epil""), ""Depilação"", REGEXMATCH(LOWER(A116), ""esmalteria|unha|nail|manicur|spa dos p[eé]s|kauu_nhas""), ""Manicure - Esmalteria"", REGEXMATCH(LOWER(A116), ""est[eé]tic|bronze|massot|terap|pilates|revitalize|dra""), ""Clín"&amp;"ica de Estética"", TRUE, ""Salão de Beleza""))"),"Salão de Beleza")</f>
        <v>Salão de Beleza</v>
      </c>
    </row>
    <row r="117">
      <c r="A117" s="1" t="s">
        <v>758</v>
      </c>
      <c r="B117" s="1" t="s">
        <v>759</v>
      </c>
      <c r="C117" s="1" t="s">
        <v>760</v>
      </c>
      <c r="D117" s="1" t="s">
        <v>761</v>
      </c>
      <c r="E117" s="1" t="s">
        <v>762</v>
      </c>
      <c r="F117" s="1" t="s">
        <v>763</v>
      </c>
      <c r="G117" s="3" t="str">
        <f>IFERROR(__xludf.DUMMYFUNCTION("AI(""Preencha um valor adequado para esta célula com base no contexto da tabela"")"),"Caxias -MA")</f>
        <v>Caxias -MA</v>
      </c>
      <c r="H117" s="2" t="s">
        <v>764</v>
      </c>
      <c r="I117" s="3" t="str">
        <f>IFERROR(__xludf.DUMMYFUNCTION("IF(A117="""", """", IFS(REGEXMATCH(LOWER(A117), ""barbearia|barber""), ""Barbearia"", REGEXMATCH(LOWER(A117), ""sobrancelh|c[ií]lio|lash|micropigment|showbrancelhas""), ""Sobrancelhas e Cílios"", REGEXMATCH(LOWER(A117), ""maquia|make""), ""Maquiagem"", RE"&amp;"GEXMATCH(LOWER(A117), ""depil|epil""), ""Depilação"", REGEXMATCH(LOWER(A117), ""esmalteria|unha|nail|manicur|spa dos p[eé]s|kauu_nhas""), ""Manicure - Esmalteria"", REGEXMATCH(LOWER(A117), ""est[eé]tic|bronze|massot|terap|pilates|revitalize|dra""), ""Clín"&amp;"ica de Estética"", TRUE, ""Salão de Beleza""))"),"Salão de Beleza")</f>
        <v>Salão de Beleza</v>
      </c>
    </row>
    <row r="118">
      <c r="A118" s="1" t="s">
        <v>765</v>
      </c>
      <c r="B118" s="1" t="s">
        <v>766</v>
      </c>
      <c r="C118" s="1" t="s">
        <v>767</v>
      </c>
      <c r="D118" s="1" t="s">
        <v>768</v>
      </c>
      <c r="E118" s="1" t="s">
        <v>769</v>
      </c>
      <c r="F118" s="1" t="s">
        <v>770</v>
      </c>
      <c r="G118" s="3" t="str">
        <f>IFERROR(__xludf.DUMMYFUNCTION("AI(""Preencha um valor adequado para esta célula com base no contexto da tabela"")"),"Caxias -MA")</f>
        <v>Caxias -MA</v>
      </c>
      <c r="H118" s="2" t="s">
        <v>771</v>
      </c>
      <c r="I118" s="3" t="str">
        <f>IFERROR(__xludf.DUMMYFUNCTION("IF(A118="""", """", IFS(REGEXMATCH(LOWER(A118), ""barbearia|barber""), ""Barbearia"", REGEXMATCH(LOWER(A118), ""sobrancelh|c[ií]lio|lash|micropigment|showbrancelhas""), ""Sobrancelhas e Cílios"", REGEXMATCH(LOWER(A118), ""maquia|make""), ""Maquiagem"", RE"&amp;"GEXMATCH(LOWER(A118), ""depil|epil""), ""Depilação"", REGEXMATCH(LOWER(A118), ""esmalteria|unha|nail|manicur|spa dos p[eé]s|kauu_nhas""), ""Manicure - Esmalteria"", REGEXMATCH(LOWER(A118), ""est[eé]tic|bronze|massot|terap|pilates|revitalize|dra""), ""Clín"&amp;"ica de Estética"", TRUE, ""Salão de Beleza""))"),"Salão de Beleza")</f>
        <v>Salão de Beleza</v>
      </c>
    </row>
    <row r="119">
      <c r="A119" s="1" t="s">
        <v>772</v>
      </c>
      <c r="B119" s="1" t="s">
        <v>773</v>
      </c>
      <c r="C119" s="1" t="s">
        <v>774</v>
      </c>
      <c r="D119" s="1" t="s">
        <v>775</v>
      </c>
      <c r="E119" s="1" t="s">
        <v>776</v>
      </c>
      <c r="F119" s="1" t="s">
        <v>777</v>
      </c>
      <c r="G119" s="3" t="str">
        <f>IFERROR(__xludf.DUMMYFUNCTION("AI(""Preencha um valor adequado para esta célula com base no contexto da tabela"")"),"Caxias -MA")</f>
        <v>Caxias -MA</v>
      </c>
      <c r="H119" s="2" t="s">
        <v>778</v>
      </c>
      <c r="I119" s="3" t="str">
        <f>IFERROR(__xludf.DUMMYFUNCTION("IF(A119="""", """", IFS(REGEXMATCH(LOWER(A119), ""barbearia|barber""), ""Barbearia"", REGEXMATCH(LOWER(A119), ""sobrancelh|c[ií]lio|lash|micropigment|showbrancelhas""), ""Sobrancelhas e Cílios"", REGEXMATCH(LOWER(A119), ""maquia|make""), ""Maquiagem"", RE"&amp;"GEXMATCH(LOWER(A119), ""depil|epil""), ""Depilação"", REGEXMATCH(LOWER(A119), ""esmalteria|unha|nail|manicur|spa dos p[eé]s|kauu_nhas""), ""Manicure - Esmalteria"", REGEXMATCH(LOWER(A119), ""est[eé]tic|bronze|massot|terap|pilates|revitalize|dra""), ""Clín"&amp;"ica de Estética"", TRUE, ""Salão de Beleza""))"),"Clínica de Estética")</f>
        <v>Clínica de Estética</v>
      </c>
    </row>
    <row r="120">
      <c r="A120" s="1" t="s">
        <v>779</v>
      </c>
      <c r="D120" s="1" t="s">
        <v>780</v>
      </c>
      <c r="E120" s="1" t="s">
        <v>781</v>
      </c>
      <c r="F120" s="1" t="s">
        <v>782</v>
      </c>
      <c r="G120" s="3" t="str">
        <f>IFERROR(__xludf.DUMMYFUNCTION("AI(""Preencha um valor adequado para esta célula com base no contexto da tabela"")"),"Caxias -MA")</f>
        <v>Caxias -MA</v>
      </c>
      <c r="H120" s="2" t="s">
        <v>783</v>
      </c>
      <c r="I120" s="3" t="str">
        <f>IFERROR(__xludf.DUMMYFUNCTION("IF(A120="""", """", IFS(REGEXMATCH(LOWER(A120), ""barbearia|barber""), ""Barbearia"", REGEXMATCH(LOWER(A120), ""sobrancelh|c[ií]lio|lash|micropigment|showbrancelhas""), ""Sobrancelhas e Cílios"", REGEXMATCH(LOWER(A120), ""maquia|make""), ""Maquiagem"", RE"&amp;"GEXMATCH(LOWER(A120), ""depil|epil""), ""Depilação"", REGEXMATCH(LOWER(A120), ""esmalteria|unha|nail|manicur|spa dos p[eé]s|kauu_nhas""), ""Manicure - Esmalteria"", REGEXMATCH(LOWER(A120), ""est[eé]tic|bronze|massot|terap|pilates|revitalize|dra""), ""Clín"&amp;"ica de Estética"", TRUE, ""Salão de Beleza""))"),"Salão de Beleza")</f>
        <v>Salão de Beleza</v>
      </c>
    </row>
    <row r="121">
      <c r="A121" s="1" t="s">
        <v>784</v>
      </c>
      <c r="D121" s="1" t="s">
        <v>785</v>
      </c>
      <c r="E121" s="1" t="s">
        <v>786</v>
      </c>
      <c r="F121" s="1" t="s">
        <v>787</v>
      </c>
      <c r="G121" s="3" t="str">
        <f>IFERROR(__xludf.DUMMYFUNCTION("AI(""Preencha um valor adequado para esta célula com base no contexto da tabela"")"),"Caxias -MA")</f>
        <v>Caxias -MA</v>
      </c>
      <c r="H121" s="2" t="s">
        <v>788</v>
      </c>
      <c r="I121" s="3" t="str">
        <f>IFERROR(__xludf.DUMMYFUNCTION("IF(A121="""", """", IFS(REGEXMATCH(LOWER(A121), ""barbearia|barber""), ""Barbearia"", REGEXMATCH(LOWER(A121), ""sobrancelh|c[ií]lio|lash|micropigment|showbrancelhas""), ""Sobrancelhas e Cílios"", REGEXMATCH(LOWER(A121), ""maquia|make""), ""Maquiagem"", RE"&amp;"GEXMATCH(LOWER(A121), ""depil|epil""), ""Depilação"", REGEXMATCH(LOWER(A121), ""esmalteria|unha|nail|manicur|spa dos p[eé]s|kauu_nhas""), ""Manicure - Esmalteria"", REGEXMATCH(LOWER(A121), ""est[eé]tic|bronze|massot|terap|pilates|revitalize|dra""), ""Clín"&amp;"ica de Estética"", TRUE, ""Salão de Beleza""))"),"Salão de Beleza")</f>
        <v>Salão de Beleza</v>
      </c>
    </row>
    <row r="122">
      <c r="A122" s="1" t="s">
        <v>789</v>
      </c>
      <c r="B122" s="1" t="s">
        <v>790</v>
      </c>
      <c r="C122" s="1" t="s">
        <v>791</v>
      </c>
      <c r="D122" s="1" t="s">
        <v>792</v>
      </c>
      <c r="E122" s="1" t="s">
        <v>793</v>
      </c>
      <c r="F122" s="1" t="s">
        <v>794</v>
      </c>
      <c r="G122" s="3" t="str">
        <f>IFERROR(__xludf.DUMMYFUNCTION("AI(""Preencha um valor adequado para esta célula com base no contexto da tabela"")"),"Caxias -MA")</f>
        <v>Caxias -MA</v>
      </c>
      <c r="H122" s="2" t="s">
        <v>795</v>
      </c>
      <c r="I122" s="3" t="str">
        <f>IFERROR(__xludf.DUMMYFUNCTION("IF(A122="""", """", IFS(REGEXMATCH(LOWER(A122), ""barbearia|barber""), ""Barbearia"", REGEXMATCH(LOWER(A122), ""sobrancelh|c[ií]lio|lash|micropigment|showbrancelhas""), ""Sobrancelhas e Cílios"", REGEXMATCH(LOWER(A122), ""maquia|make""), ""Maquiagem"", RE"&amp;"GEXMATCH(LOWER(A122), ""depil|epil""), ""Depilação"", REGEXMATCH(LOWER(A122), ""esmalteria|unha|nail|manicur|spa dos p[eé]s|kauu_nhas""), ""Manicure - Esmalteria"", REGEXMATCH(LOWER(A122), ""est[eé]tic|bronze|massot|terap|pilates|revitalize|dra""), ""Clín"&amp;"ica de Estética"", TRUE, ""Salão de Beleza""))"),"Salão de Beleza")</f>
        <v>Salão de Beleza</v>
      </c>
    </row>
    <row r="123">
      <c r="A123" s="1" t="s">
        <v>796</v>
      </c>
      <c r="B123" s="1" t="s">
        <v>797</v>
      </c>
      <c r="C123" s="1" t="s">
        <v>798</v>
      </c>
      <c r="D123" s="1" t="s">
        <v>799</v>
      </c>
      <c r="E123" s="1" t="s">
        <v>800</v>
      </c>
      <c r="F123" s="1" t="s">
        <v>801</v>
      </c>
      <c r="G123" s="3" t="str">
        <f>IFERROR(__xludf.DUMMYFUNCTION("AI(""Preencha um valor adequado para esta célula com base no contexto da tabela"")"),"Caxias -MA")</f>
        <v>Caxias -MA</v>
      </c>
      <c r="H123" s="2" t="s">
        <v>802</v>
      </c>
      <c r="I123" s="3" t="str">
        <f>IFERROR(__xludf.DUMMYFUNCTION("IF(A123="""", """", IFS(REGEXMATCH(LOWER(A123), ""barbearia|barber""), ""Barbearia"", REGEXMATCH(LOWER(A123), ""sobrancelh|c[ií]lio|lash|micropigment|showbrancelhas""), ""Sobrancelhas e Cílios"", REGEXMATCH(LOWER(A123), ""maquia|make""), ""Maquiagem"", RE"&amp;"GEXMATCH(LOWER(A123), ""depil|epil""), ""Depilação"", REGEXMATCH(LOWER(A123), ""esmalteria|unha|nail|manicur|spa dos p[eé]s|kauu_nhas""), ""Manicure - Esmalteria"", REGEXMATCH(LOWER(A123), ""est[eé]tic|bronze|massot|terap|pilates|revitalize|dra""), ""Clín"&amp;"ica de Estética"", TRUE, ""Salão de Beleza""))"),"Clínica de Estética")</f>
        <v>Clínica de Estética</v>
      </c>
    </row>
    <row r="124">
      <c r="A124" s="1" t="s">
        <v>803</v>
      </c>
      <c r="B124" s="1" t="s">
        <v>804</v>
      </c>
      <c r="C124" s="1" t="s">
        <v>805</v>
      </c>
      <c r="D124" s="1" t="s">
        <v>806</v>
      </c>
      <c r="E124" s="1" t="s">
        <v>807</v>
      </c>
      <c r="F124" s="1" t="s">
        <v>808</v>
      </c>
      <c r="G124" s="3" t="str">
        <f>IFERROR(__xludf.DUMMYFUNCTION("AI(""Preencha um valor adequado para esta célula com base no contexto da tabela"")"),"Caxias -MA")</f>
        <v>Caxias -MA</v>
      </c>
      <c r="H124" s="2" t="s">
        <v>809</v>
      </c>
      <c r="I124" s="3" t="str">
        <f>IFERROR(__xludf.DUMMYFUNCTION("IF(A124="""", """", IFS(REGEXMATCH(LOWER(A124), ""barbearia|barber""), ""Barbearia"", REGEXMATCH(LOWER(A124), ""sobrancelh|c[ií]lio|lash|micropigment|showbrancelhas""), ""Sobrancelhas e Cílios"", REGEXMATCH(LOWER(A124), ""maquia|make""), ""Maquiagem"", RE"&amp;"GEXMATCH(LOWER(A124), ""depil|epil""), ""Depilação"", REGEXMATCH(LOWER(A124), ""esmalteria|unha|nail|manicur|spa dos p[eé]s|kauu_nhas""), ""Manicure - Esmalteria"", REGEXMATCH(LOWER(A124), ""est[eé]tic|bronze|massot|terap|pilates|revitalize|dra""), ""Clín"&amp;"ica de Estética"", TRUE, ""Salão de Beleza""))"),"Salão de Beleza")</f>
        <v>Salão de Beleza</v>
      </c>
    </row>
    <row r="125">
      <c r="A125" s="1" t="s">
        <v>810</v>
      </c>
      <c r="B125" s="1" t="s">
        <v>811</v>
      </c>
      <c r="C125" s="1" t="s">
        <v>812</v>
      </c>
      <c r="D125" s="1" t="s">
        <v>813</v>
      </c>
      <c r="E125" s="1" t="s">
        <v>814</v>
      </c>
      <c r="F125" s="1" t="s">
        <v>815</v>
      </c>
      <c r="G125" s="3" t="str">
        <f>IFERROR(__xludf.DUMMYFUNCTION("AI(""Preencha um valor adequado para esta célula com base no contexto da tabela"")"),"Caxias -MA")</f>
        <v>Caxias -MA</v>
      </c>
      <c r="H125" s="2" t="s">
        <v>816</v>
      </c>
      <c r="I125" s="3" t="str">
        <f>IFERROR(__xludf.DUMMYFUNCTION("IF(A125="""", """", IFS(REGEXMATCH(LOWER(A125), ""barbearia|barber""), ""Barbearia"", REGEXMATCH(LOWER(A125), ""sobrancelh|c[ií]lio|lash|micropigment|showbrancelhas""), ""Sobrancelhas e Cílios"", REGEXMATCH(LOWER(A125), ""maquia|make""), ""Maquiagem"", RE"&amp;"GEXMATCH(LOWER(A125), ""depil|epil""), ""Depilação"", REGEXMATCH(LOWER(A125), ""esmalteria|unha|nail|manicur|spa dos p[eé]s|kauu_nhas""), ""Manicure - Esmalteria"", REGEXMATCH(LOWER(A125), ""est[eé]tic|bronze|massot|terap|pilates|revitalize|dra""), ""Clín"&amp;"ica de Estética"", TRUE, ""Salão de Beleza""))"),"Salão de Beleza")</f>
        <v>Salão de Beleza</v>
      </c>
    </row>
    <row r="126">
      <c r="A126" s="1" t="s">
        <v>817</v>
      </c>
      <c r="B126" s="1" t="s">
        <v>818</v>
      </c>
      <c r="C126" s="1" t="s">
        <v>819</v>
      </c>
      <c r="D126" s="1" t="s">
        <v>820</v>
      </c>
      <c r="E126" s="1" t="s">
        <v>821</v>
      </c>
      <c r="F126" s="1" t="s">
        <v>822</v>
      </c>
      <c r="G126" s="3" t="str">
        <f>IFERROR(__xludf.DUMMYFUNCTION("AI(""Preencha um valor adequado para esta célula com base no contexto da tabela"")"),"Caxias -MA")</f>
        <v>Caxias -MA</v>
      </c>
      <c r="H126" s="2" t="s">
        <v>823</v>
      </c>
      <c r="I126" s="3" t="str">
        <f>IFERROR(__xludf.DUMMYFUNCTION("IF(A126="""", """", IFS(REGEXMATCH(LOWER(A126), ""barbearia|barber""), ""Barbearia"", REGEXMATCH(LOWER(A126), ""sobrancelh|c[ií]lio|lash|micropigment|showbrancelhas""), ""Sobrancelhas e Cílios"", REGEXMATCH(LOWER(A126), ""maquia|make""), ""Maquiagem"", RE"&amp;"GEXMATCH(LOWER(A126), ""depil|epil""), ""Depilação"", REGEXMATCH(LOWER(A126), ""esmalteria|unha|nail|manicur|spa dos p[eé]s|kauu_nhas""), ""Manicure - Esmalteria"", REGEXMATCH(LOWER(A126), ""est[eé]tic|bronze|massot|terap|pilates|revitalize|dra""), ""Clín"&amp;"ica de Estética"", TRUE, ""Salão de Beleza""))"),"Manicure - Esmalteria")</f>
        <v>Manicure - Esmalteria</v>
      </c>
    </row>
    <row r="127">
      <c r="A127" s="1" t="s">
        <v>824</v>
      </c>
      <c r="D127" s="1" t="s">
        <v>825</v>
      </c>
      <c r="E127" s="1" t="s">
        <v>826</v>
      </c>
      <c r="F127" s="1" t="s">
        <v>827</v>
      </c>
      <c r="G127" s="3" t="str">
        <f>IFERROR(__xludf.DUMMYFUNCTION("AI(""Preencha um valor adequado para esta célula com base no contexto da tabela"")"),"Caxias -MA")</f>
        <v>Caxias -MA</v>
      </c>
      <c r="H127" s="2" t="s">
        <v>828</v>
      </c>
      <c r="I127" s="3" t="str">
        <f>IFERROR(__xludf.DUMMYFUNCTION("IF(A127="""", """", IFS(REGEXMATCH(LOWER(A127), ""barbearia|barber""), ""Barbearia"", REGEXMATCH(LOWER(A127), ""sobrancelh|c[ií]lio|lash|micropigment|showbrancelhas""), ""Sobrancelhas e Cílios"", REGEXMATCH(LOWER(A127), ""maquia|make""), ""Maquiagem"", RE"&amp;"GEXMATCH(LOWER(A127), ""depil|epil""), ""Depilação"", REGEXMATCH(LOWER(A127), ""esmalteria|unha|nail|manicur|spa dos p[eé]s|kauu_nhas""), ""Manicure - Esmalteria"", REGEXMATCH(LOWER(A127), ""est[eé]tic|bronze|massot|terap|pilates|revitalize|dra""), ""Clín"&amp;"ica de Estética"", TRUE, ""Salão de Beleza""))"),"Salão de Beleza")</f>
        <v>Salão de Beleza</v>
      </c>
    </row>
    <row r="128">
      <c r="A128" s="1" t="s">
        <v>829</v>
      </c>
      <c r="B128" s="1" t="s">
        <v>830</v>
      </c>
      <c r="C128" s="1" t="s">
        <v>831</v>
      </c>
      <c r="D128" s="1" t="s">
        <v>832</v>
      </c>
      <c r="E128" s="1" t="s">
        <v>833</v>
      </c>
      <c r="F128" s="1" t="s">
        <v>834</v>
      </c>
      <c r="G128" s="3" t="str">
        <f>IFERROR(__xludf.DUMMYFUNCTION("AI(""Preencha um valor adequado para esta célula com base no contexto da tabela"")"),"Caxias - MA")</f>
        <v>Caxias - MA</v>
      </c>
      <c r="H128" s="2" t="s">
        <v>835</v>
      </c>
      <c r="I128" s="3" t="str">
        <f>IFERROR(__xludf.DUMMYFUNCTION("IF(A128="""", """", IFS(REGEXMATCH(LOWER(A128), ""barbearia|barber""), ""Barbearia"", REGEXMATCH(LOWER(A128), ""sobrancelh|c[ií]lio|lash|micropigment|showbrancelhas""), ""Sobrancelhas e Cílios"", REGEXMATCH(LOWER(A128), ""maquia|make""), ""Maquiagem"", RE"&amp;"GEXMATCH(LOWER(A128), ""depil|epil""), ""Depilação"", REGEXMATCH(LOWER(A128), ""esmalteria|unha|nail|manicur|spa dos p[eé]s|kauu_nhas""), ""Manicure - Esmalteria"", REGEXMATCH(LOWER(A128), ""est[eé]tic|bronze|massot|terap|pilates|revitalize|dra""), ""Clín"&amp;"ica de Estética"", TRUE, ""Salão de Beleza""))"),"Sobrancelhas e Cílios")</f>
        <v>Sobrancelhas e Cílios</v>
      </c>
    </row>
    <row r="129">
      <c r="A129" s="1" t="s">
        <v>836</v>
      </c>
      <c r="B129" s="1" t="s">
        <v>837</v>
      </c>
      <c r="C129" s="1" t="s">
        <v>838</v>
      </c>
      <c r="D129" s="1" t="s">
        <v>839</v>
      </c>
      <c r="E129" s="1" t="s">
        <v>840</v>
      </c>
      <c r="F129" s="1" t="s">
        <v>841</v>
      </c>
      <c r="G129" s="3" t="str">
        <f>IFERROR(__xludf.DUMMYFUNCTION("AI(""Preencha um valor adequado para esta célula com base no contexto da tabela"")"),"Caxias -MA")</f>
        <v>Caxias -MA</v>
      </c>
      <c r="H129" s="2" t="s">
        <v>842</v>
      </c>
      <c r="I129" s="3" t="str">
        <f>IFERROR(__xludf.DUMMYFUNCTION("IF(A129="""", """", IFS(REGEXMATCH(LOWER(A129), ""barbearia|barber""), ""Barbearia"", REGEXMATCH(LOWER(A129), ""sobrancelh|c[ií]lio|lash|micropigment|showbrancelhas""), ""Sobrancelhas e Cílios"", REGEXMATCH(LOWER(A129), ""maquia|make""), ""Maquiagem"", RE"&amp;"GEXMATCH(LOWER(A129), ""depil|epil""), ""Depilação"", REGEXMATCH(LOWER(A129), ""esmalteria|unha|nail|manicur|spa dos p[eé]s|kauu_nhas""), ""Manicure - Esmalteria"", REGEXMATCH(LOWER(A129), ""est[eé]tic|bronze|massot|terap|pilates|revitalize|dra""), ""Clín"&amp;"ica de Estética"", TRUE, ""Salão de Beleza""))"),"Depilação")</f>
        <v>Depilação</v>
      </c>
    </row>
    <row r="130">
      <c r="A130" s="1" t="s">
        <v>843</v>
      </c>
      <c r="B130" s="1" t="s">
        <v>844</v>
      </c>
      <c r="C130" s="1" t="s">
        <v>845</v>
      </c>
      <c r="D130" s="1" t="s">
        <v>846</v>
      </c>
      <c r="E130" s="1" t="s">
        <v>847</v>
      </c>
      <c r="F130" s="1" t="s">
        <v>848</v>
      </c>
      <c r="G130" s="3" t="str">
        <f>IFERROR(__xludf.DUMMYFUNCTION("AI(""Preencha um valor adequado para esta célula com base no contexto da tabela"")"),"Caxias -MA")</f>
        <v>Caxias -MA</v>
      </c>
      <c r="H130" s="2" t="s">
        <v>849</v>
      </c>
      <c r="I130" s="3" t="str">
        <f>IFERROR(__xludf.DUMMYFUNCTION("IF(A130="""", """", IFS(REGEXMATCH(LOWER(A130), ""barbearia|barber""), ""Barbearia"", REGEXMATCH(LOWER(A130), ""sobrancelh|c[ií]lio|lash|micropigment|showbrancelhas""), ""Sobrancelhas e Cílios"", REGEXMATCH(LOWER(A130), ""maquia|make""), ""Maquiagem"", RE"&amp;"GEXMATCH(LOWER(A130), ""depil|epil""), ""Depilação"", REGEXMATCH(LOWER(A130), ""esmalteria|unha|nail|manicur|spa dos p[eé]s|kauu_nhas""), ""Manicure - Esmalteria"", REGEXMATCH(LOWER(A130), ""est[eé]tic|bronze|massot|terap|pilates|revitalize|dra""), ""Clín"&amp;"ica de Estética"", TRUE, ""Salão de Beleza""))"),"Manicure - Esmalteria")</f>
        <v>Manicure - Esmalteria</v>
      </c>
    </row>
    <row r="131">
      <c r="A131" s="1" t="s">
        <v>850</v>
      </c>
      <c r="D131" s="1" t="s">
        <v>851</v>
      </c>
      <c r="E131" s="1" t="s">
        <v>852</v>
      </c>
      <c r="F131" s="1" t="s">
        <v>853</v>
      </c>
      <c r="G131" s="3" t="str">
        <f>IFERROR(__xludf.DUMMYFUNCTION("AI(""Preencha um valor adequado para esta célula com base no contexto da tabela"")"),"Caxias -MA")</f>
        <v>Caxias -MA</v>
      </c>
      <c r="H131" s="2" t="s">
        <v>854</v>
      </c>
      <c r="I131" s="3" t="str">
        <f>IFERROR(__xludf.DUMMYFUNCTION("IF(A131="""", """", IFS(REGEXMATCH(LOWER(A131), ""barbearia|barber""), ""Barbearia"", REGEXMATCH(LOWER(A131), ""sobrancelh|c[ií]lio|lash|micropigment|showbrancelhas""), ""Sobrancelhas e Cílios"", REGEXMATCH(LOWER(A131), ""maquia|make""), ""Maquiagem"", RE"&amp;"GEXMATCH(LOWER(A131), ""depil|epil""), ""Depilação"", REGEXMATCH(LOWER(A131), ""esmalteria|unha|nail|manicur|spa dos p[eé]s|kauu_nhas""), ""Manicure - Esmalteria"", REGEXMATCH(LOWER(A131), ""est[eé]tic|bronze|massot|terap|pilates|revitalize|dra""), ""Clín"&amp;"ica de Estética"", TRUE, ""Salão de Beleza""))"),"Salão de Beleza")</f>
        <v>Salão de Beleza</v>
      </c>
    </row>
    <row r="132">
      <c r="A132" s="1" t="s">
        <v>855</v>
      </c>
      <c r="D132" s="1" t="s">
        <v>856</v>
      </c>
      <c r="E132" s="1" t="s">
        <v>857</v>
      </c>
      <c r="F132" s="1" t="s">
        <v>858</v>
      </c>
      <c r="G132" s="3" t="str">
        <f>IFERROR(__xludf.DUMMYFUNCTION("AI(""Preencha um valor adequado para esta célula com base no contexto da tabela"")"),"Caxias -MA")</f>
        <v>Caxias -MA</v>
      </c>
      <c r="H132" s="2" t="s">
        <v>859</v>
      </c>
      <c r="I132" s="3" t="str">
        <f>IFERROR(__xludf.DUMMYFUNCTION("IF(A132="""", """", IFS(REGEXMATCH(LOWER(A132), ""barbearia|barber""), ""Barbearia"", REGEXMATCH(LOWER(A132), ""sobrancelh|c[ií]lio|lash|micropigment|showbrancelhas""), ""Sobrancelhas e Cílios"", REGEXMATCH(LOWER(A132), ""maquia|make""), ""Maquiagem"", RE"&amp;"GEXMATCH(LOWER(A132), ""depil|epil""), ""Depilação"", REGEXMATCH(LOWER(A132), ""esmalteria|unha|nail|manicur|spa dos p[eé]s|kauu_nhas""), ""Manicure - Esmalteria"", REGEXMATCH(LOWER(A132), ""est[eé]tic|bronze|massot|terap|pilates|revitalize|dra""), ""Clín"&amp;"ica de Estética"", TRUE, ""Salão de Beleza""))"),"Salão de Beleza")</f>
        <v>Salão de Beleza</v>
      </c>
    </row>
    <row r="133">
      <c r="A133" s="1" t="s">
        <v>860</v>
      </c>
      <c r="B133" s="1" t="s">
        <v>861</v>
      </c>
      <c r="C133" s="1" t="s">
        <v>862</v>
      </c>
      <c r="D133" s="1" t="s">
        <v>863</v>
      </c>
      <c r="E133" s="1" t="s">
        <v>864</v>
      </c>
      <c r="F133" s="1" t="s">
        <v>865</v>
      </c>
      <c r="G133" s="3" t="str">
        <f>IFERROR(__xludf.DUMMYFUNCTION("AI(""Preencha um valor adequado para esta célula com base no contexto da tabela"")"),"Caxias -MA")</f>
        <v>Caxias -MA</v>
      </c>
      <c r="H133" s="2" t="s">
        <v>866</v>
      </c>
      <c r="I133" s="3" t="str">
        <f>IFERROR(__xludf.DUMMYFUNCTION("IF(A133="""", """", IFS(REGEXMATCH(LOWER(A133), ""barbearia|barber""), ""Barbearia"", REGEXMATCH(LOWER(A133), ""sobrancelh|c[ií]lio|lash|micropigment|showbrancelhas""), ""Sobrancelhas e Cílios"", REGEXMATCH(LOWER(A133), ""maquia|make""), ""Maquiagem"", RE"&amp;"GEXMATCH(LOWER(A133), ""depil|epil""), ""Depilação"", REGEXMATCH(LOWER(A133), ""esmalteria|unha|nail|manicur|spa dos p[eé]s|kauu_nhas""), ""Manicure - Esmalteria"", REGEXMATCH(LOWER(A133), ""est[eé]tic|bronze|massot|terap|pilates|revitalize|dra""), ""Clín"&amp;"ica de Estética"", TRUE, ""Salão de Beleza""))"),"Salão de Beleza")</f>
        <v>Salão de Beleza</v>
      </c>
    </row>
    <row r="134">
      <c r="A134" s="1" t="s">
        <v>867</v>
      </c>
      <c r="B134" s="1" t="s">
        <v>868</v>
      </c>
      <c r="C134" s="1" t="s">
        <v>869</v>
      </c>
      <c r="D134" s="1" t="s">
        <v>870</v>
      </c>
      <c r="E134" s="1" t="s">
        <v>871</v>
      </c>
      <c r="F134" s="1" t="s">
        <v>872</v>
      </c>
      <c r="G134" s="3" t="str">
        <f>IFERROR(__xludf.DUMMYFUNCTION("AI(""Preencha um valor adequado para esta célula com base no contexto da tabela"")"),"Caxias -MA")</f>
        <v>Caxias -MA</v>
      </c>
      <c r="H134" s="2" t="s">
        <v>873</v>
      </c>
      <c r="I134" s="3" t="str">
        <f>IFERROR(__xludf.DUMMYFUNCTION("IF(A134="""", """", IFS(REGEXMATCH(LOWER(A134), ""barbearia|barber""), ""Barbearia"", REGEXMATCH(LOWER(A134), ""sobrancelh|c[ií]lio|lash|micropigment|showbrancelhas""), ""Sobrancelhas e Cílios"", REGEXMATCH(LOWER(A134), ""maquia|make""), ""Maquiagem"", RE"&amp;"GEXMATCH(LOWER(A134), ""depil|epil""), ""Depilação"", REGEXMATCH(LOWER(A134), ""esmalteria|unha|nail|manicur|spa dos p[eé]s|kauu_nhas""), ""Manicure - Esmalteria"", REGEXMATCH(LOWER(A134), ""est[eé]tic|bronze|massot|terap|pilates|revitalize|dra""), ""Clín"&amp;"ica de Estética"", TRUE, ""Salão de Beleza""))"),"Clínica de Estética")</f>
        <v>Clínica de Estética</v>
      </c>
    </row>
    <row r="135">
      <c r="A135" s="1" t="s">
        <v>874</v>
      </c>
      <c r="D135" s="1" t="s">
        <v>875</v>
      </c>
      <c r="E135" s="1" t="s">
        <v>876</v>
      </c>
      <c r="F135" s="1" t="s">
        <v>877</v>
      </c>
      <c r="G135" s="3" t="str">
        <f>IFERROR(__xludf.DUMMYFUNCTION("AI(""Preencha um valor adequado para esta célula com base no contexto da tabela"")"),"Caxias -MA")</f>
        <v>Caxias -MA</v>
      </c>
      <c r="H135" s="2" t="s">
        <v>878</v>
      </c>
      <c r="I135" s="3" t="str">
        <f>IFERROR(__xludf.DUMMYFUNCTION("IF(A135="""", """", IFS(REGEXMATCH(LOWER(A135), ""barbearia|barber""), ""Barbearia"", REGEXMATCH(LOWER(A135), ""sobrancelh|c[ií]lio|lash|micropigment|showbrancelhas""), ""Sobrancelhas e Cílios"", REGEXMATCH(LOWER(A135), ""maquia|make""), ""Maquiagem"", RE"&amp;"GEXMATCH(LOWER(A135), ""depil|epil""), ""Depilação"", REGEXMATCH(LOWER(A135), ""esmalteria|unha|nail|manicur|spa dos p[eé]s|kauu_nhas""), ""Manicure - Esmalteria"", REGEXMATCH(LOWER(A135), ""est[eé]tic|bronze|massot|terap|pilates|revitalize|dra""), ""Clín"&amp;"ica de Estética"", TRUE, ""Salão de Beleza""))"),"Clínica de Estética")</f>
        <v>Clínica de Estética</v>
      </c>
    </row>
    <row r="136">
      <c r="A136" s="1" t="s">
        <v>879</v>
      </c>
      <c r="D136" s="1" t="s">
        <v>880</v>
      </c>
      <c r="E136" s="1" t="s">
        <v>881</v>
      </c>
      <c r="F136" s="1" t="s">
        <v>882</v>
      </c>
      <c r="G136" s="3" t="str">
        <f>IFERROR(__xludf.DUMMYFUNCTION("AI(""Preencha um valor adequado para esta célula com base no contexto da tabela"")"),"Caxias -MA")</f>
        <v>Caxias -MA</v>
      </c>
      <c r="H136" s="2" t="s">
        <v>883</v>
      </c>
      <c r="I136" s="3" t="str">
        <f>IFERROR(__xludf.DUMMYFUNCTION("IF(A136="""", """", IFS(REGEXMATCH(LOWER(A136), ""barbearia|barber""), ""Barbearia"", REGEXMATCH(LOWER(A136), ""sobrancelh|c[ií]lio|lash|micropigment|showbrancelhas""), ""Sobrancelhas e Cílios"", REGEXMATCH(LOWER(A136), ""maquia|make""), ""Maquiagem"", RE"&amp;"GEXMATCH(LOWER(A136), ""depil|epil""), ""Depilação"", REGEXMATCH(LOWER(A136), ""esmalteria|unha|nail|manicur|spa dos p[eé]s|kauu_nhas""), ""Manicure - Esmalteria"", REGEXMATCH(LOWER(A136), ""est[eé]tic|bronze|massot|terap|pilates|revitalize|dra""), ""Clín"&amp;"ica de Estética"", TRUE, ""Salão de Beleza""))"),"Salão de Beleza")</f>
        <v>Salão de Beleza</v>
      </c>
    </row>
    <row r="137">
      <c r="A137" s="1" t="s">
        <v>884</v>
      </c>
      <c r="B137" s="1" t="s">
        <v>885</v>
      </c>
      <c r="C137" s="1" t="s">
        <v>886</v>
      </c>
      <c r="D137" s="1" t="s">
        <v>887</v>
      </c>
      <c r="E137" s="1" t="s">
        <v>888</v>
      </c>
      <c r="F137" s="1" t="s">
        <v>889</v>
      </c>
      <c r="G137" s="3" t="str">
        <f>IFERROR(__xludf.DUMMYFUNCTION("AI(""Preencha um valor adequado para esta célula com base no contexto da tabela"")"),"Caxias -MA")</f>
        <v>Caxias -MA</v>
      </c>
      <c r="H137" s="2" t="s">
        <v>890</v>
      </c>
      <c r="I137" s="3" t="str">
        <f>IFERROR(__xludf.DUMMYFUNCTION("IF(A137="""", """", IFS(REGEXMATCH(LOWER(A137), ""barbearia|barber""), ""Barbearia"", REGEXMATCH(LOWER(A137), ""sobrancelh|c[ií]lio|lash|micropigment|showbrancelhas""), ""Sobrancelhas e Cílios"", REGEXMATCH(LOWER(A137), ""maquia|make""), ""Maquiagem"", RE"&amp;"GEXMATCH(LOWER(A137), ""depil|epil""), ""Depilação"", REGEXMATCH(LOWER(A137), ""esmalteria|unha|nail|manicur|spa dos p[eé]s|kauu_nhas""), ""Manicure - Esmalteria"", REGEXMATCH(LOWER(A137), ""est[eé]tic|bronze|massot|terap|pilates|revitalize|dra""), ""Clín"&amp;"ica de Estética"", TRUE, ""Salão de Beleza""))"),"Salão de Beleza")</f>
        <v>Salão de Beleza</v>
      </c>
    </row>
    <row r="138">
      <c r="A138" s="1" t="s">
        <v>891</v>
      </c>
      <c r="B138" s="1" t="s">
        <v>892</v>
      </c>
      <c r="C138" s="1" t="s">
        <v>893</v>
      </c>
      <c r="D138" s="1" t="s">
        <v>894</v>
      </c>
      <c r="E138" s="1" t="s">
        <v>895</v>
      </c>
      <c r="F138" s="1" t="s">
        <v>896</v>
      </c>
      <c r="G138" s="3" t="str">
        <f>IFERROR(__xludf.DUMMYFUNCTION("AI(""Preencha um valor adequado para esta célula com base no contexto da tabela"")"),"Caxias -MA")</f>
        <v>Caxias -MA</v>
      </c>
      <c r="H138" s="2" t="s">
        <v>897</v>
      </c>
      <c r="I138" s="3" t="str">
        <f>IFERROR(__xludf.DUMMYFUNCTION("IF(A138="""", """", IFS(REGEXMATCH(LOWER(A138), ""barbearia|barber""), ""Barbearia"", REGEXMATCH(LOWER(A138), ""sobrancelh|c[ií]lio|lash|micropigment|showbrancelhas""), ""Sobrancelhas e Cílios"", REGEXMATCH(LOWER(A138), ""maquia|make""), ""Maquiagem"", RE"&amp;"GEXMATCH(LOWER(A138), ""depil|epil""), ""Depilação"", REGEXMATCH(LOWER(A138), ""esmalteria|unha|nail|manicur|spa dos p[eé]s|kauu_nhas""), ""Manicure - Esmalteria"", REGEXMATCH(LOWER(A138), ""est[eé]tic|bronze|massot|terap|pilates|revitalize|dra""), ""Clín"&amp;"ica de Estética"", TRUE, ""Salão de Beleza""))"),"Salão de Beleza")</f>
        <v>Salão de Beleza</v>
      </c>
    </row>
    <row r="139">
      <c r="A139" s="1" t="s">
        <v>898</v>
      </c>
      <c r="B139" s="1" t="s">
        <v>899</v>
      </c>
      <c r="C139" s="1" t="s">
        <v>900</v>
      </c>
      <c r="D139" s="1" t="s">
        <v>901</v>
      </c>
      <c r="E139" s="1" t="s">
        <v>902</v>
      </c>
      <c r="F139" s="1" t="s">
        <v>903</v>
      </c>
      <c r="G139" s="3" t="str">
        <f>IFERROR(__xludf.DUMMYFUNCTION("AI(""Preencha um valor adequado para esta célula com base no contexto da tabela"")"),"Caxias -MA")</f>
        <v>Caxias -MA</v>
      </c>
      <c r="H139" s="2" t="s">
        <v>904</v>
      </c>
      <c r="I139" s="3" t="str">
        <f>IFERROR(__xludf.DUMMYFUNCTION("IF(A139="""", """", IFS(REGEXMATCH(LOWER(A139), ""barbearia|barber""), ""Barbearia"", REGEXMATCH(LOWER(A139), ""sobrancelh|c[ií]lio|lash|micropigment|showbrancelhas""), ""Sobrancelhas e Cílios"", REGEXMATCH(LOWER(A139), ""maquia|make""), ""Maquiagem"", RE"&amp;"GEXMATCH(LOWER(A139), ""depil|epil""), ""Depilação"", REGEXMATCH(LOWER(A139), ""esmalteria|unha|nail|manicur|spa dos p[eé]s|kauu_nhas""), ""Manicure - Esmalteria"", REGEXMATCH(LOWER(A139), ""est[eé]tic|bronze|massot|terap|pilates|revitalize|dra""), ""Clín"&amp;"ica de Estética"", TRUE, ""Salão de Beleza""))"),"Salão de Beleza")</f>
        <v>Salão de Beleza</v>
      </c>
    </row>
    <row r="140">
      <c r="A140" s="1" t="s">
        <v>905</v>
      </c>
      <c r="B140" s="1" t="s">
        <v>906</v>
      </c>
      <c r="C140" s="1" t="s">
        <v>907</v>
      </c>
      <c r="D140" s="1" t="s">
        <v>908</v>
      </c>
      <c r="E140" s="1" t="s">
        <v>909</v>
      </c>
      <c r="F140" s="1" t="s">
        <v>910</v>
      </c>
      <c r="G140" s="3" t="str">
        <f>IFERROR(__xludf.DUMMYFUNCTION("AI(""Preencha um valor adequado para esta célula com base no contexto da tabela"")"),"Caxias -MA")</f>
        <v>Caxias -MA</v>
      </c>
      <c r="H140" s="2" t="s">
        <v>911</v>
      </c>
      <c r="I140" s="3" t="str">
        <f>IFERROR(__xludf.DUMMYFUNCTION("IF(A140="""", """", IFS(REGEXMATCH(LOWER(A140), ""barbearia|barber""), ""Barbearia"", REGEXMATCH(LOWER(A140), ""sobrancelh|c[ií]lio|lash|micropigment|showbrancelhas""), ""Sobrancelhas e Cílios"", REGEXMATCH(LOWER(A140), ""maquia|make""), ""Maquiagem"", RE"&amp;"GEXMATCH(LOWER(A140), ""depil|epil""), ""Depilação"", REGEXMATCH(LOWER(A140), ""esmalteria|unha|nail|manicur|spa dos p[eé]s|kauu_nhas""), ""Manicure - Esmalteria"", REGEXMATCH(LOWER(A140), ""est[eé]tic|bronze|massot|terap|pilates|revitalize|dra""), ""Clín"&amp;"ica de Estética"", TRUE, ""Salão de Beleza""))"),"Salão de Beleza")</f>
        <v>Salão de Beleza</v>
      </c>
    </row>
    <row r="141">
      <c r="A141" s="1" t="s">
        <v>912</v>
      </c>
      <c r="B141" s="1" t="s">
        <v>913</v>
      </c>
      <c r="C141" s="1" t="s">
        <v>914</v>
      </c>
      <c r="D141" s="1" t="s">
        <v>915</v>
      </c>
      <c r="E141" s="1" t="s">
        <v>916</v>
      </c>
      <c r="F141" s="1" t="s">
        <v>917</v>
      </c>
      <c r="G141" s="3" t="str">
        <f>IFERROR(__xludf.DUMMYFUNCTION("AI(""Preencha um valor adequado para esta célula com base no contexto da tabela"")"),"Caxias -MA")</f>
        <v>Caxias -MA</v>
      </c>
      <c r="H141" s="2" t="s">
        <v>918</v>
      </c>
      <c r="I141" s="3" t="str">
        <f>IFERROR(__xludf.DUMMYFUNCTION("IF(A141="""", """", IFS(REGEXMATCH(LOWER(A141), ""barbearia|barber""), ""Barbearia"", REGEXMATCH(LOWER(A141), ""sobrancelh|c[ií]lio|lash|micropigment|showbrancelhas""), ""Sobrancelhas e Cílios"", REGEXMATCH(LOWER(A141), ""maquia|make""), ""Maquiagem"", RE"&amp;"GEXMATCH(LOWER(A141), ""depil|epil""), ""Depilação"", REGEXMATCH(LOWER(A141), ""esmalteria|unha|nail|manicur|spa dos p[eé]s|kauu_nhas""), ""Manicure - Esmalteria"", REGEXMATCH(LOWER(A141), ""est[eé]tic|bronze|massot|terap|pilates|revitalize|dra""), ""Clín"&amp;"ica de Estética"", TRUE, ""Salão de Beleza""))"),"Salão de Beleza")</f>
        <v>Salão de Beleza</v>
      </c>
    </row>
    <row r="142">
      <c r="A142" s="1" t="s">
        <v>919</v>
      </c>
      <c r="D142" s="1" t="s">
        <v>920</v>
      </c>
      <c r="E142" s="1" t="s">
        <v>921</v>
      </c>
      <c r="F142" s="1" t="s">
        <v>922</v>
      </c>
      <c r="G142" s="3" t="str">
        <f>IFERROR(__xludf.DUMMYFUNCTION("AI(""Preencha um valor adequado para esta célula com base no contexto da tabela"")"),"Caxias -MA")</f>
        <v>Caxias -MA</v>
      </c>
      <c r="H142" s="2" t="s">
        <v>923</v>
      </c>
      <c r="I142" s="3" t="str">
        <f>IFERROR(__xludf.DUMMYFUNCTION("IF(A142="""", """", IFS(REGEXMATCH(LOWER(A142), ""barbearia|barber""), ""Barbearia"", REGEXMATCH(LOWER(A142), ""sobrancelh|c[ií]lio|lash|micropigment|showbrancelhas""), ""Sobrancelhas e Cílios"", REGEXMATCH(LOWER(A142), ""maquia|make""), ""Maquiagem"", RE"&amp;"GEXMATCH(LOWER(A142), ""depil|epil""), ""Depilação"", REGEXMATCH(LOWER(A142), ""esmalteria|unha|nail|manicur|spa dos p[eé]s|kauu_nhas""), ""Manicure - Esmalteria"", REGEXMATCH(LOWER(A142), ""est[eé]tic|bronze|massot|terap|pilates|revitalize|dra""), ""Clín"&amp;"ica de Estética"", TRUE, ""Salão de Beleza""))"),"Salão de Beleza")</f>
        <v>Salão de Beleza</v>
      </c>
    </row>
    <row r="143">
      <c r="A143" s="1" t="s">
        <v>924</v>
      </c>
      <c r="B143" s="1" t="s">
        <v>925</v>
      </c>
      <c r="C143" s="1" t="s">
        <v>926</v>
      </c>
      <c r="D143" s="1" t="s">
        <v>927</v>
      </c>
      <c r="E143" s="1" t="s">
        <v>928</v>
      </c>
      <c r="F143" s="1" t="s">
        <v>929</v>
      </c>
      <c r="G143" s="3" t="str">
        <f>IFERROR(__xludf.DUMMYFUNCTION("AI(""Preencha um valor adequado para esta célula com base no contexto da tabela"")"),"Caxias -MA")</f>
        <v>Caxias -MA</v>
      </c>
      <c r="H143" s="2" t="s">
        <v>930</v>
      </c>
      <c r="I143" s="3" t="str">
        <f>IFERROR(__xludf.DUMMYFUNCTION("IF(A143="""", """", IFS(REGEXMATCH(LOWER(A143), ""barbearia|barber""), ""Barbearia"", REGEXMATCH(LOWER(A143), ""sobrancelh|c[ií]lio|lash|micropigment|showbrancelhas""), ""Sobrancelhas e Cílios"", REGEXMATCH(LOWER(A143), ""maquia|make""), ""Maquiagem"", RE"&amp;"GEXMATCH(LOWER(A143), ""depil|epil""), ""Depilação"", REGEXMATCH(LOWER(A143), ""esmalteria|unha|nail|manicur|spa dos p[eé]s|kauu_nhas""), ""Manicure - Esmalteria"", REGEXMATCH(LOWER(A143), ""est[eé]tic|bronze|massot|terap|pilates|revitalize|dra""), ""Clín"&amp;"ica de Estética"", TRUE, ""Salão de Beleza""))"),"Salão de Beleza")</f>
        <v>Salão de Beleza</v>
      </c>
    </row>
    <row r="144">
      <c r="A144" s="1" t="s">
        <v>931</v>
      </c>
      <c r="D144" s="1" t="s">
        <v>932</v>
      </c>
      <c r="E144" s="1" t="s">
        <v>933</v>
      </c>
      <c r="F144" s="1" t="s">
        <v>934</v>
      </c>
      <c r="G144" s="3" t="str">
        <f>IFERROR(__xludf.DUMMYFUNCTION("AI(""Preencha um valor adequado para esta célula com base no contexto da tabela"")"),"Caxias -MA")</f>
        <v>Caxias -MA</v>
      </c>
      <c r="H144" s="2" t="s">
        <v>935</v>
      </c>
      <c r="I144" s="3" t="str">
        <f>IFERROR(__xludf.DUMMYFUNCTION("IF(A144="""", """", IFS(REGEXMATCH(LOWER(A144), ""barbearia|barber""), ""Barbearia"", REGEXMATCH(LOWER(A144), ""sobrancelh|c[ií]lio|lash|micropigment|showbrancelhas""), ""Sobrancelhas e Cílios"", REGEXMATCH(LOWER(A144), ""maquia|make""), ""Maquiagem"", RE"&amp;"GEXMATCH(LOWER(A144), ""depil|epil""), ""Depilação"", REGEXMATCH(LOWER(A144), ""esmalteria|unha|nail|manicur|spa dos p[eé]s|kauu_nhas""), ""Manicure - Esmalteria"", REGEXMATCH(LOWER(A144), ""est[eé]tic|bronze|massot|terap|pilates|revitalize|dra""), ""Clín"&amp;"ica de Estética"", TRUE, ""Salão de Beleza""))"),"Salão de Beleza")</f>
        <v>Salão de Beleza</v>
      </c>
    </row>
    <row r="145">
      <c r="A145" s="1" t="s">
        <v>936</v>
      </c>
      <c r="B145" s="1" t="s">
        <v>937</v>
      </c>
      <c r="C145" s="1" t="s">
        <v>938</v>
      </c>
      <c r="D145" s="1" t="s">
        <v>939</v>
      </c>
      <c r="E145" s="1" t="s">
        <v>940</v>
      </c>
      <c r="F145" s="1" t="s">
        <v>941</v>
      </c>
      <c r="G145" s="3" t="str">
        <f>IFERROR(__xludf.DUMMYFUNCTION("AI(""Preencha um valor adequado para esta célula com base no contexto da tabela"")"),"Caxias - MA")</f>
        <v>Caxias - MA</v>
      </c>
      <c r="H145" s="2" t="s">
        <v>942</v>
      </c>
      <c r="I145" s="3" t="str">
        <f>IFERROR(__xludf.DUMMYFUNCTION("IF(A145="""", """", IFS(REGEXMATCH(LOWER(A145), ""barbearia|barber""), ""Barbearia"", REGEXMATCH(LOWER(A145), ""sobrancelh|c[ií]lio|lash|micropigment|showbrancelhas""), ""Sobrancelhas e Cílios"", REGEXMATCH(LOWER(A145), ""maquia|make""), ""Maquiagem"", RE"&amp;"GEXMATCH(LOWER(A145), ""depil|epil""), ""Depilação"", REGEXMATCH(LOWER(A145), ""esmalteria|unha|nail|manicur|spa dos p[eé]s|kauu_nhas""), ""Manicure - Esmalteria"", REGEXMATCH(LOWER(A145), ""est[eé]tic|bronze|massot|terap|pilates|revitalize|dra""), ""Clín"&amp;"ica de Estética"", TRUE, ""Salão de Beleza""))"),"Salão de Beleza")</f>
        <v>Salão de Beleza</v>
      </c>
    </row>
    <row r="146">
      <c r="A146" s="1" t="s">
        <v>943</v>
      </c>
      <c r="B146" s="1" t="s">
        <v>944</v>
      </c>
      <c r="C146" s="1" t="s">
        <v>945</v>
      </c>
      <c r="D146" s="1" t="s">
        <v>946</v>
      </c>
      <c r="E146" s="1" t="s">
        <v>947</v>
      </c>
      <c r="F146" s="1" t="s">
        <v>948</v>
      </c>
      <c r="G146" s="3" t="str">
        <f>IFERROR(__xludf.DUMMYFUNCTION("AI(""Preencha um valor adequado para esta célula com base no contexto da tabela"")"),"Caxias -MA")</f>
        <v>Caxias -MA</v>
      </c>
      <c r="H146" s="2" t="s">
        <v>949</v>
      </c>
      <c r="I146" s="3" t="str">
        <f>IFERROR(__xludf.DUMMYFUNCTION("IF(A146="""", """", IFS(REGEXMATCH(LOWER(A146), ""barbearia|barber""), ""Barbearia"", REGEXMATCH(LOWER(A146), ""sobrancelh|c[ií]lio|lash|micropigment|showbrancelhas""), ""Sobrancelhas e Cílios"", REGEXMATCH(LOWER(A146), ""maquia|make""), ""Maquiagem"", RE"&amp;"GEXMATCH(LOWER(A146), ""depil|epil""), ""Depilação"", REGEXMATCH(LOWER(A146), ""esmalteria|unha|nail|manicur|spa dos p[eé]s|kauu_nhas""), ""Manicure - Esmalteria"", REGEXMATCH(LOWER(A146), ""est[eé]tic|bronze|massot|terap|pilates|revitalize|dra""), ""Clín"&amp;"ica de Estética"", TRUE, ""Salão de Beleza""))"),"Salão de Beleza")</f>
        <v>Salão de Beleza</v>
      </c>
    </row>
    <row r="147">
      <c r="A147" s="1" t="s">
        <v>950</v>
      </c>
      <c r="B147" s="1" t="s">
        <v>951</v>
      </c>
      <c r="C147" s="1" t="s">
        <v>952</v>
      </c>
      <c r="D147" s="1" t="s">
        <v>953</v>
      </c>
      <c r="E147" s="1" t="s">
        <v>954</v>
      </c>
      <c r="F147" s="1" t="s">
        <v>955</v>
      </c>
      <c r="G147" s="3" t="str">
        <f>IFERROR(__xludf.DUMMYFUNCTION("AI(""Preencha um valor adequado para esta célula com base no contexto da tabela"")"),"Caxias -MA")</f>
        <v>Caxias -MA</v>
      </c>
      <c r="H147" s="2" t="s">
        <v>956</v>
      </c>
      <c r="I147" s="3" t="str">
        <f>IFERROR(__xludf.DUMMYFUNCTION("IF(A147="""", """", IFS(REGEXMATCH(LOWER(A147), ""barbearia|barber""), ""Barbearia"", REGEXMATCH(LOWER(A147), ""sobrancelh|c[ií]lio|lash|micropigment|showbrancelhas""), ""Sobrancelhas e Cílios"", REGEXMATCH(LOWER(A147), ""maquia|make""), ""Maquiagem"", RE"&amp;"GEXMATCH(LOWER(A147), ""depil|epil""), ""Depilação"", REGEXMATCH(LOWER(A147), ""esmalteria|unha|nail|manicur|spa dos p[eé]s|kauu_nhas""), ""Manicure - Esmalteria"", REGEXMATCH(LOWER(A147), ""est[eé]tic|bronze|massot|terap|pilates|revitalize|dra""), ""Clín"&amp;"ica de Estética"", TRUE, ""Salão de Beleza""))"),"Salão de Beleza")</f>
        <v>Salão de Beleza</v>
      </c>
    </row>
    <row r="148">
      <c r="A148" s="1" t="s">
        <v>957</v>
      </c>
      <c r="B148" s="1" t="s">
        <v>958</v>
      </c>
      <c r="C148" s="1" t="s">
        <v>959</v>
      </c>
      <c r="D148" s="1" t="s">
        <v>960</v>
      </c>
      <c r="E148" s="1" t="s">
        <v>961</v>
      </c>
      <c r="F148" s="1" t="s">
        <v>962</v>
      </c>
      <c r="G148" s="3" t="str">
        <f>IFERROR(__xludf.DUMMYFUNCTION("AI(""Preencha um valor adequado para esta célula com base no contexto da tabela"")"),"Caxias -MA")</f>
        <v>Caxias -MA</v>
      </c>
      <c r="H148" s="2" t="s">
        <v>963</v>
      </c>
      <c r="I148" s="3" t="str">
        <f>IFERROR(__xludf.DUMMYFUNCTION("IF(A148="""", """", IFS(REGEXMATCH(LOWER(A148), ""barbearia|barber""), ""Barbearia"", REGEXMATCH(LOWER(A148), ""sobrancelh|c[ií]lio|lash|micropigment|showbrancelhas""), ""Sobrancelhas e Cílios"", REGEXMATCH(LOWER(A148), ""maquia|make""), ""Maquiagem"", RE"&amp;"GEXMATCH(LOWER(A148), ""depil|epil""), ""Depilação"", REGEXMATCH(LOWER(A148), ""esmalteria|unha|nail|manicur|spa dos p[eé]s|kauu_nhas""), ""Manicure - Esmalteria"", REGEXMATCH(LOWER(A148), ""est[eé]tic|bronze|massot|terap|pilates|revitalize|dra""), ""Clín"&amp;"ica de Estética"", TRUE, ""Salão de Beleza""))"),"Salão de Beleza")</f>
        <v>Salão de Beleza</v>
      </c>
    </row>
    <row r="149">
      <c r="A149" s="1" t="s">
        <v>964</v>
      </c>
      <c r="B149" s="1" t="s">
        <v>965</v>
      </c>
      <c r="C149" s="1" t="s">
        <v>966</v>
      </c>
      <c r="D149" s="1" t="s">
        <v>967</v>
      </c>
      <c r="E149" s="1" t="s">
        <v>968</v>
      </c>
      <c r="F149" s="1" t="s">
        <v>969</v>
      </c>
      <c r="G149" s="3" t="str">
        <f>IFERROR(__xludf.DUMMYFUNCTION("AI(""Preencha um valor adequado para esta célula com base no contexto da tabela"")"),"Caxias -MA")</f>
        <v>Caxias -MA</v>
      </c>
      <c r="H149" s="2" t="s">
        <v>970</v>
      </c>
      <c r="I149" s="3" t="str">
        <f>IFERROR(__xludf.DUMMYFUNCTION("IF(A149="""", """", IFS(REGEXMATCH(LOWER(A149), ""barbearia|barber""), ""Barbearia"", REGEXMATCH(LOWER(A149), ""sobrancelh|c[ií]lio|lash|micropigment|showbrancelhas""), ""Sobrancelhas e Cílios"", REGEXMATCH(LOWER(A149), ""maquia|make""), ""Maquiagem"", RE"&amp;"GEXMATCH(LOWER(A149), ""depil|epil""), ""Depilação"", REGEXMATCH(LOWER(A149), ""esmalteria|unha|nail|manicur|spa dos p[eé]s|kauu_nhas""), ""Manicure - Esmalteria"", REGEXMATCH(LOWER(A149), ""est[eé]tic|bronze|massot|terap|pilates|revitalize|dra""), ""Clín"&amp;"ica de Estética"", TRUE, ""Salão de Beleza""))"),"Clínica de Estética")</f>
        <v>Clínica de Estética</v>
      </c>
    </row>
    <row r="150">
      <c r="A150" s="1" t="s">
        <v>971</v>
      </c>
      <c r="D150" s="1" t="s">
        <v>972</v>
      </c>
      <c r="E150" s="1" t="s">
        <v>973</v>
      </c>
      <c r="F150" s="1" t="s">
        <v>974</v>
      </c>
      <c r="G150" s="3" t="str">
        <f>IFERROR(__xludf.DUMMYFUNCTION("AI(""Preencha um valor adequado para esta célula com base no contexto da tabela"")"),"Caxias -MA")</f>
        <v>Caxias -MA</v>
      </c>
      <c r="H150" s="2" t="s">
        <v>975</v>
      </c>
      <c r="I150" s="3" t="str">
        <f>IFERROR(__xludf.DUMMYFUNCTION("IF(A150="""", """", IFS(REGEXMATCH(LOWER(A150), ""barbearia|barber""), ""Barbearia"", REGEXMATCH(LOWER(A150), ""sobrancelh|c[ií]lio|lash|micropigment|showbrancelhas""), ""Sobrancelhas e Cílios"", REGEXMATCH(LOWER(A150), ""maquia|make""), ""Maquiagem"", RE"&amp;"GEXMATCH(LOWER(A150), ""depil|epil""), ""Depilação"", REGEXMATCH(LOWER(A150), ""esmalteria|unha|nail|manicur|spa dos p[eé]s|kauu_nhas""), ""Manicure - Esmalteria"", REGEXMATCH(LOWER(A150), ""est[eé]tic|bronze|massot|terap|pilates|revitalize|dra""), ""Clín"&amp;"ica de Estética"", TRUE, ""Salão de Beleza""))"),"Salão de Beleza")</f>
        <v>Salão de Beleza</v>
      </c>
    </row>
    <row r="151">
      <c r="A151" s="1" t="s">
        <v>976</v>
      </c>
      <c r="B151" s="1" t="s">
        <v>977</v>
      </c>
      <c r="C151" s="1" t="s">
        <v>978</v>
      </c>
      <c r="D151" s="1" t="s">
        <v>979</v>
      </c>
      <c r="E151" s="1" t="s">
        <v>980</v>
      </c>
      <c r="F151" s="1" t="s">
        <v>981</v>
      </c>
      <c r="G151" s="3" t="str">
        <f>IFERROR(__xludf.DUMMYFUNCTION("AI(""Preencha um valor adequado para esta célula com base no contexto da tabela"")"),"Caxias -MA")</f>
        <v>Caxias -MA</v>
      </c>
      <c r="H151" s="2" t="s">
        <v>982</v>
      </c>
      <c r="I151" s="3" t="str">
        <f>IFERROR(__xludf.DUMMYFUNCTION("IF(A151="""", """", IFS(REGEXMATCH(LOWER(A151), ""barbearia|barber""), ""Barbearia"", REGEXMATCH(LOWER(A151), ""sobrancelh|c[ií]lio|lash|micropigment|showbrancelhas""), ""Sobrancelhas e Cílios"", REGEXMATCH(LOWER(A151), ""maquia|make""), ""Maquiagem"", RE"&amp;"GEXMATCH(LOWER(A151), ""depil|epil""), ""Depilação"", REGEXMATCH(LOWER(A151), ""esmalteria|unha|nail|manicur|spa dos p[eé]s|kauu_nhas""), ""Manicure - Esmalteria"", REGEXMATCH(LOWER(A151), ""est[eé]tic|bronze|massot|terap|pilates|revitalize|dra""), ""Clín"&amp;"ica de Estética"", TRUE, ""Salão de Beleza""))"),"Salão de Beleza")</f>
        <v>Salão de Beleza</v>
      </c>
    </row>
    <row r="152">
      <c r="A152" s="1" t="s">
        <v>983</v>
      </c>
      <c r="B152" s="1" t="s">
        <v>984</v>
      </c>
      <c r="C152" s="1" t="s">
        <v>985</v>
      </c>
      <c r="D152" s="1" t="s">
        <v>986</v>
      </c>
      <c r="E152" s="1" t="s">
        <v>987</v>
      </c>
      <c r="F152" s="1" t="s">
        <v>988</v>
      </c>
      <c r="G152" s="3" t="str">
        <f>IFERROR(__xludf.DUMMYFUNCTION("AI(""Preencha um valor adequado para esta célula com base no contexto da tabela"")"),"Caxias -MA")</f>
        <v>Caxias -MA</v>
      </c>
      <c r="H152" s="2" t="s">
        <v>989</v>
      </c>
      <c r="I152" s="3" t="str">
        <f>IFERROR(__xludf.DUMMYFUNCTION("IF(A152="""", """", IFS(REGEXMATCH(LOWER(A152), ""barbearia|barber""), ""Barbearia"", REGEXMATCH(LOWER(A152), ""sobrancelh|c[ií]lio|lash|micropigment|showbrancelhas""), ""Sobrancelhas e Cílios"", REGEXMATCH(LOWER(A152), ""maquia|make""), ""Maquiagem"", RE"&amp;"GEXMATCH(LOWER(A152), ""depil|epil""), ""Depilação"", REGEXMATCH(LOWER(A152), ""esmalteria|unha|nail|manicur|spa dos p[eé]s|kauu_nhas""), ""Manicure - Esmalteria"", REGEXMATCH(LOWER(A152), ""est[eé]tic|bronze|massot|terap|pilates|revitalize|dra""), ""Clín"&amp;"ica de Estética"", TRUE, ""Salão de Beleza""))"),"Depilação")</f>
        <v>Depilação</v>
      </c>
    </row>
    <row r="153">
      <c r="A153" s="1" t="s">
        <v>990</v>
      </c>
      <c r="D153" s="1" t="s">
        <v>991</v>
      </c>
      <c r="E153" s="1" t="s">
        <v>992</v>
      </c>
      <c r="F153" s="1" t="s">
        <v>993</v>
      </c>
      <c r="G153" s="3" t="str">
        <f>IFERROR(__xludf.DUMMYFUNCTION("AI(""Preencha um valor adequado para esta célula com base no contexto da tabela"")"),"Caxias -MA")</f>
        <v>Caxias -MA</v>
      </c>
      <c r="H153" s="2" t="s">
        <v>994</v>
      </c>
      <c r="I153" s="3" t="str">
        <f>IFERROR(__xludf.DUMMYFUNCTION("IF(A153="""", """", IFS(REGEXMATCH(LOWER(A153), ""barbearia|barber""), ""Barbearia"", REGEXMATCH(LOWER(A153), ""sobrancelh|c[ií]lio|lash|micropigment|showbrancelhas""), ""Sobrancelhas e Cílios"", REGEXMATCH(LOWER(A153), ""maquia|make""), ""Maquiagem"", RE"&amp;"GEXMATCH(LOWER(A153), ""depil|epil""), ""Depilação"", REGEXMATCH(LOWER(A153), ""esmalteria|unha|nail|manicur|spa dos p[eé]s|kauu_nhas""), ""Manicure - Esmalteria"", REGEXMATCH(LOWER(A153), ""est[eé]tic|bronze|massot|terap|pilates|revitalize|dra""), ""Clín"&amp;"ica de Estética"", TRUE, ""Salão de Beleza""))"),"Salão de Beleza")</f>
        <v>Salão de Beleza</v>
      </c>
    </row>
    <row r="154">
      <c r="A154" s="1" t="s">
        <v>995</v>
      </c>
      <c r="D154" s="1" t="s">
        <v>996</v>
      </c>
      <c r="E154" s="1" t="s">
        <v>997</v>
      </c>
      <c r="F154" s="1" t="s">
        <v>998</v>
      </c>
      <c r="G154" s="3" t="str">
        <f>IFERROR(__xludf.DUMMYFUNCTION("AI(""Preencha um valor adequado para esta célula com base no contexto da tabela"")"),"Caxias -MA")</f>
        <v>Caxias -MA</v>
      </c>
      <c r="H154" s="2" t="s">
        <v>999</v>
      </c>
      <c r="I154" s="3" t="str">
        <f>IFERROR(__xludf.DUMMYFUNCTION("IF(A154="""", """", IFS(REGEXMATCH(LOWER(A154), ""barbearia|barber""), ""Barbearia"", REGEXMATCH(LOWER(A154), ""sobrancelh|c[ií]lio|lash|micropigment|showbrancelhas""), ""Sobrancelhas e Cílios"", REGEXMATCH(LOWER(A154), ""maquia|make""), ""Maquiagem"", RE"&amp;"GEXMATCH(LOWER(A154), ""depil|epil""), ""Depilação"", REGEXMATCH(LOWER(A154), ""esmalteria|unha|nail|manicur|spa dos p[eé]s|kauu_nhas""), ""Manicure - Esmalteria"", REGEXMATCH(LOWER(A154), ""est[eé]tic|bronze|massot|terap|pilates|revitalize|dra""), ""Clín"&amp;"ica de Estética"", TRUE, ""Salão de Beleza""))"),"Salão de Beleza")</f>
        <v>Salão de Beleza</v>
      </c>
    </row>
    <row r="155">
      <c r="A155" s="1" t="s">
        <v>1000</v>
      </c>
      <c r="B155" s="1" t="s">
        <v>1001</v>
      </c>
      <c r="C155" s="1" t="s">
        <v>1002</v>
      </c>
      <c r="D155" s="1" t="s">
        <v>1003</v>
      </c>
      <c r="E155" s="1" t="s">
        <v>1004</v>
      </c>
      <c r="F155" s="1" t="s">
        <v>1005</v>
      </c>
      <c r="G155" s="3" t="str">
        <f>IFERROR(__xludf.DUMMYFUNCTION("AI(""Preencha um valor adequado para esta célula com base no contexto da tabela"")"),"Caxias -MA")</f>
        <v>Caxias -MA</v>
      </c>
      <c r="H155" s="2" t="s">
        <v>1006</v>
      </c>
      <c r="I155" s="3" t="str">
        <f>IFERROR(__xludf.DUMMYFUNCTION("IF(A155="""", """", IFS(REGEXMATCH(LOWER(A155), ""barbearia|barber""), ""Barbearia"", REGEXMATCH(LOWER(A155), ""sobrancelh|c[ií]lio|lash|micropigment|showbrancelhas""), ""Sobrancelhas e Cílios"", REGEXMATCH(LOWER(A155), ""maquia|make""), ""Maquiagem"", RE"&amp;"GEXMATCH(LOWER(A155), ""depil|epil""), ""Depilação"", REGEXMATCH(LOWER(A155), ""esmalteria|unha|nail|manicur|spa dos p[eé]s|kauu_nhas""), ""Manicure - Esmalteria"", REGEXMATCH(LOWER(A155), ""est[eé]tic|bronze|massot|terap|pilates|revitalize|dra""), ""Clín"&amp;"ica de Estética"", TRUE, ""Salão de Beleza""))"),"Clínica de Estética")</f>
        <v>Clínica de Estética</v>
      </c>
    </row>
    <row r="156">
      <c r="A156" s="1" t="s">
        <v>1007</v>
      </c>
      <c r="B156" s="1" t="s">
        <v>1008</v>
      </c>
      <c r="C156" s="1" t="s">
        <v>1009</v>
      </c>
      <c r="D156" s="1" t="s">
        <v>1010</v>
      </c>
      <c r="E156" s="1" t="s">
        <v>1011</v>
      </c>
      <c r="F156" s="1" t="s">
        <v>1012</v>
      </c>
      <c r="G156" s="3" t="str">
        <f>IFERROR(__xludf.DUMMYFUNCTION("AI(""Preencha um valor adequado para esta célula com base no contexto da tabela"")"),"Caxias -MA")</f>
        <v>Caxias -MA</v>
      </c>
      <c r="H156" s="2" t="s">
        <v>1013</v>
      </c>
      <c r="I156" s="3" t="str">
        <f>IFERROR(__xludf.DUMMYFUNCTION("IF(A156="""", """", IFS(REGEXMATCH(LOWER(A156), ""barbearia|barber""), ""Barbearia"", REGEXMATCH(LOWER(A156), ""sobrancelh|c[ií]lio|lash|micropigment|showbrancelhas""), ""Sobrancelhas e Cílios"", REGEXMATCH(LOWER(A156), ""maquia|make""), ""Maquiagem"", RE"&amp;"GEXMATCH(LOWER(A156), ""depil|epil""), ""Depilação"", REGEXMATCH(LOWER(A156), ""esmalteria|unha|nail|manicur|spa dos p[eé]s|kauu_nhas""), ""Manicure - Esmalteria"", REGEXMATCH(LOWER(A156), ""est[eé]tic|bronze|massot|terap|pilates|revitalize|dra""), ""Clín"&amp;"ica de Estética"", TRUE, ""Salão de Beleza""))"),"Salão de Beleza")</f>
        <v>Salão de Beleza</v>
      </c>
    </row>
    <row r="157">
      <c r="A157" s="1" t="s">
        <v>1014</v>
      </c>
      <c r="B157" s="1" t="s">
        <v>1015</v>
      </c>
      <c r="C157" s="1" t="s">
        <v>1016</v>
      </c>
      <c r="D157" s="1" t="s">
        <v>1017</v>
      </c>
      <c r="E157" s="1" t="s">
        <v>1018</v>
      </c>
      <c r="F157" s="1" t="s">
        <v>1019</v>
      </c>
      <c r="G157" s="3" t="str">
        <f>IFERROR(__xludf.DUMMYFUNCTION("AI(""Preencha um valor adequado para esta célula com base no contexto da tabela"")"),"Caxias -MA")</f>
        <v>Caxias -MA</v>
      </c>
      <c r="H157" s="2" t="s">
        <v>1020</v>
      </c>
      <c r="I157" s="3" t="str">
        <f>IFERROR(__xludf.DUMMYFUNCTION("IF(A157="""", """", IFS(REGEXMATCH(LOWER(A157), ""barbearia|barber""), ""Barbearia"", REGEXMATCH(LOWER(A157), ""sobrancelh|c[ií]lio|lash|micropigment|showbrancelhas""), ""Sobrancelhas e Cílios"", REGEXMATCH(LOWER(A157), ""maquia|make""), ""Maquiagem"", RE"&amp;"GEXMATCH(LOWER(A157), ""depil|epil""), ""Depilação"", REGEXMATCH(LOWER(A157), ""esmalteria|unha|nail|manicur|spa dos p[eé]s|kauu_nhas""), ""Manicure - Esmalteria"", REGEXMATCH(LOWER(A157), ""est[eé]tic|bronze|massot|terap|pilates|revitalize|dra""), ""Clín"&amp;"ica de Estética"", TRUE, ""Salão de Beleza""))"),"Salão de Beleza")</f>
        <v>Salão de Beleza</v>
      </c>
    </row>
    <row r="158">
      <c r="A158" s="1" t="s">
        <v>1021</v>
      </c>
      <c r="B158" s="1" t="s">
        <v>1022</v>
      </c>
      <c r="C158" s="1" t="s">
        <v>1023</v>
      </c>
      <c r="D158" s="1" t="s">
        <v>1024</v>
      </c>
      <c r="E158" s="1" t="s">
        <v>1025</v>
      </c>
      <c r="F158" s="1" t="s">
        <v>1026</v>
      </c>
      <c r="G158" s="3" t="str">
        <f>IFERROR(__xludf.DUMMYFUNCTION("AI(""Preencha um valor adequado para esta célula com base no contexto da tabela"")"),"Coroatá -MA")</f>
        <v>Coroatá -MA</v>
      </c>
      <c r="H158" s="2" t="s">
        <v>1027</v>
      </c>
      <c r="I158" s="3" t="str">
        <f>IFERROR(__xludf.DUMMYFUNCTION("IF(A158="""", """", IFS(REGEXMATCH(LOWER(A158), ""barbearia|barber""), ""Barbearia"", REGEXMATCH(LOWER(A158), ""sobrancelh|c[ií]lio|lash|micropigment|showbrancelhas""), ""Sobrancelhas e Cílios"", REGEXMATCH(LOWER(A158), ""maquia|make""), ""Maquiagem"", RE"&amp;"GEXMATCH(LOWER(A158), ""depil|epil""), ""Depilação"", REGEXMATCH(LOWER(A158), ""esmalteria|unha|nail|manicur|spa dos p[eé]s|kauu_nhas""), ""Manicure - Esmalteria"", REGEXMATCH(LOWER(A158), ""est[eé]tic|bronze|massot|terap|pilates|revitalize|dra""), ""Clín"&amp;"ica de Estética"", TRUE, ""Salão de Beleza""))"),"Clínica de Estética")</f>
        <v>Clínica de Estética</v>
      </c>
    </row>
    <row r="159">
      <c r="A159" s="1" t="s">
        <v>1028</v>
      </c>
      <c r="B159" s="1" t="s">
        <v>1029</v>
      </c>
      <c r="C159" s="1" t="s">
        <v>1030</v>
      </c>
      <c r="D159" s="1" t="s">
        <v>1031</v>
      </c>
      <c r="E159" s="1" t="s">
        <v>1032</v>
      </c>
      <c r="F159" s="1" t="s">
        <v>1033</v>
      </c>
      <c r="G159" s="3" t="str">
        <f>IFERROR(__xludf.DUMMYFUNCTION("AI(""Preencha um valor adequado para esta célula com base no contexto da tabela"")"),"Caxias -MA")</f>
        <v>Caxias -MA</v>
      </c>
      <c r="H159" s="2" t="s">
        <v>1034</v>
      </c>
      <c r="I159" s="3" t="str">
        <f>IFERROR(__xludf.DUMMYFUNCTION("IF(A159="""", """", IFS(REGEXMATCH(LOWER(A159), ""barbearia|barber""), ""Barbearia"", REGEXMATCH(LOWER(A159), ""sobrancelh|c[ií]lio|lash|micropigment|showbrancelhas""), ""Sobrancelhas e Cílios"", REGEXMATCH(LOWER(A159), ""maquia|make""), ""Maquiagem"", RE"&amp;"GEXMATCH(LOWER(A159), ""depil|epil""), ""Depilação"", REGEXMATCH(LOWER(A159), ""esmalteria|unha|nail|manicur|spa dos p[eé]s|kauu_nhas""), ""Manicure - Esmalteria"", REGEXMATCH(LOWER(A159), ""est[eé]tic|bronze|massot|terap|pilates|revitalize|dra""), ""Clín"&amp;"ica de Estética"", TRUE, ""Salão de Beleza""))"),"Manicure - Esmalteria")</f>
        <v>Manicure - Esmalteria</v>
      </c>
    </row>
    <row r="160">
      <c r="A160" s="1" t="s">
        <v>1035</v>
      </c>
      <c r="B160" s="1" t="s">
        <v>1036</v>
      </c>
      <c r="C160" s="1" t="s">
        <v>1037</v>
      </c>
      <c r="D160" s="1" t="s">
        <v>1038</v>
      </c>
      <c r="E160" s="1" t="s">
        <v>1039</v>
      </c>
      <c r="F160" s="1" t="s">
        <v>1040</v>
      </c>
      <c r="G160" s="3" t="str">
        <f>IFERROR(__xludf.DUMMYFUNCTION("AI(""Preencha um valor adequado para esta célula com base no contexto da tabela"")"),"Caxias -MA")</f>
        <v>Caxias -MA</v>
      </c>
      <c r="H160" s="2" t="s">
        <v>1041</v>
      </c>
      <c r="I160" s="3" t="str">
        <f>IFERROR(__xludf.DUMMYFUNCTION("IF(A160="""", """", IFS(REGEXMATCH(LOWER(A160), ""barbearia|barber""), ""Barbearia"", REGEXMATCH(LOWER(A160), ""sobrancelh|c[ií]lio|lash|micropigment|showbrancelhas""), ""Sobrancelhas e Cílios"", REGEXMATCH(LOWER(A160), ""maquia|make""), ""Maquiagem"", RE"&amp;"GEXMATCH(LOWER(A160), ""depil|epil""), ""Depilação"", REGEXMATCH(LOWER(A160), ""esmalteria|unha|nail|manicur|spa dos p[eé]s|kauu_nhas""), ""Manicure - Esmalteria"", REGEXMATCH(LOWER(A160), ""est[eé]tic|bronze|massot|terap|pilates|revitalize|dra""), ""Clín"&amp;"ica de Estética"", TRUE, ""Salão de Beleza""))"),"Salão de Beleza")</f>
        <v>Salão de Beleza</v>
      </c>
    </row>
    <row r="161">
      <c r="A161" s="1" t="s">
        <v>1042</v>
      </c>
      <c r="B161" s="1" t="s">
        <v>1043</v>
      </c>
      <c r="C161" s="1" t="s">
        <v>1044</v>
      </c>
      <c r="D161" s="1" t="s">
        <v>1045</v>
      </c>
      <c r="E161" s="1" t="s">
        <v>1046</v>
      </c>
      <c r="F161" s="1" t="s">
        <v>1047</v>
      </c>
      <c r="G161" s="3" t="str">
        <f>IFERROR(__xludf.DUMMYFUNCTION("AI(""Preencha um valor adequado para esta célula com base no contexto da tabela"")"),"Caxias -MA")</f>
        <v>Caxias -MA</v>
      </c>
      <c r="H161" s="2" t="s">
        <v>1048</v>
      </c>
      <c r="I161" s="3" t="str">
        <f>IFERROR(__xludf.DUMMYFUNCTION("IF(A161="""", """", IFS(REGEXMATCH(LOWER(A161), ""barbearia|barber""), ""Barbearia"", REGEXMATCH(LOWER(A161), ""sobrancelh|c[ií]lio|lash|micropigment|showbrancelhas""), ""Sobrancelhas e Cílios"", REGEXMATCH(LOWER(A161), ""maquia|make""), ""Maquiagem"", RE"&amp;"GEXMATCH(LOWER(A161), ""depil|epil""), ""Depilação"", REGEXMATCH(LOWER(A161), ""esmalteria|unha|nail|manicur|spa dos p[eé]s|kauu_nhas""), ""Manicure - Esmalteria"", REGEXMATCH(LOWER(A161), ""est[eé]tic|bronze|massot|terap|pilates|revitalize|dra""), ""Clín"&amp;"ica de Estética"", TRUE, ""Salão de Beleza""))"),"Salão de Beleza")</f>
        <v>Salão de Beleza</v>
      </c>
    </row>
    <row r="162">
      <c r="A162" s="1" t="s">
        <v>1049</v>
      </c>
      <c r="B162" s="1" t="s">
        <v>1050</v>
      </c>
      <c r="C162" s="1" t="s">
        <v>1051</v>
      </c>
      <c r="E162" s="1" t="s">
        <v>1052</v>
      </c>
      <c r="F162" s="1" t="s">
        <v>1053</v>
      </c>
      <c r="G162" s="3" t="str">
        <f>IFERROR(__xludf.DUMMYFUNCTION("AI(""Preencha um valor adequado para esta célula com base no contexto da tabela"")"),"Caxias -MA")</f>
        <v>Caxias -MA</v>
      </c>
      <c r="H162" s="2" t="s">
        <v>1054</v>
      </c>
      <c r="I162" s="3" t="str">
        <f>IFERROR(__xludf.DUMMYFUNCTION("IF(A162="""", """", IFS(REGEXMATCH(LOWER(A162), ""barbearia|barber""), ""Barbearia"", REGEXMATCH(LOWER(A162), ""sobrancelh|c[ií]lio|lash|micropigment|showbrancelhas""), ""Sobrancelhas e Cílios"", REGEXMATCH(LOWER(A162), ""maquia|make""), ""Maquiagem"", RE"&amp;"GEXMATCH(LOWER(A162), ""depil|epil""), ""Depilação"", REGEXMATCH(LOWER(A162), ""esmalteria|unha|nail|manicur|spa dos p[eé]s|kauu_nhas""), ""Manicure - Esmalteria"", REGEXMATCH(LOWER(A162), ""est[eé]tic|bronze|massot|terap|pilates|revitalize|dra""), ""Clín"&amp;"ica de Estética"", TRUE, ""Salão de Beleza""))"),"Salão de Beleza")</f>
        <v>Salão de Beleza</v>
      </c>
    </row>
    <row r="163">
      <c r="A163" s="1" t="s">
        <v>1055</v>
      </c>
      <c r="D163" s="1" t="s">
        <v>1056</v>
      </c>
      <c r="E163" s="1" t="s">
        <v>1057</v>
      </c>
      <c r="F163" s="1" t="s">
        <v>1058</v>
      </c>
      <c r="G163" s="3" t="str">
        <f>IFERROR(__xludf.DUMMYFUNCTION("AI(""Preencha um valor adequado para esta célula com base no contexto da tabela"")"),"Caxias -MA")</f>
        <v>Caxias -MA</v>
      </c>
      <c r="H163" s="2" t="s">
        <v>1059</v>
      </c>
      <c r="I163" s="3" t="str">
        <f>IFERROR(__xludf.DUMMYFUNCTION("IF(A163="""", """", IFS(REGEXMATCH(LOWER(A163), ""barbearia|barber""), ""Barbearia"", REGEXMATCH(LOWER(A163), ""sobrancelh|c[ií]lio|lash|micropigment|showbrancelhas""), ""Sobrancelhas e Cílios"", REGEXMATCH(LOWER(A163), ""maquia|make""), ""Maquiagem"", RE"&amp;"GEXMATCH(LOWER(A163), ""depil|epil""), ""Depilação"", REGEXMATCH(LOWER(A163), ""esmalteria|unha|nail|manicur|spa dos p[eé]s|kauu_nhas""), ""Manicure - Esmalteria"", REGEXMATCH(LOWER(A163), ""est[eé]tic|bronze|massot|terap|pilates|revitalize|dra""), ""Clín"&amp;"ica de Estética"", TRUE, ""Salão de Beleza""))"),"Salão de Beleza")</f>
        <v>Salão de Beleza</v>
      </c>
    </row>
    <row r="164">
      <c r="A164" s="1" t="s">
        <v>1060</v>
      </c>
      <c r="B164" s="1" t="s">
        <v>1061</v>
      </c>
      <c r="C164" s="1" t="s">
        <v>1062</v>
      </c>
      <c r="D164" s="1" t="s">
        <v>1063</v>
      </c>
      <c r="E164" s="1" t="s">
        <v>1064</v>
      </c>
      <c r="F164" s="1" t="s">
        <v>1065</v>
      </c>
      <c r="G164" s="3" t="str">
        <f>IFERROR(__xludf.DUMMYFUNCTION("AI(""Preencha um valor adequado para esta célula com base no contexto da tabela"")"),"Caxias -MA")</f>
        <v>Caxias -MA</v>
      </c>
      <c r="H164" s="2" t="s">
        <v>1066</v>
      </c>
      <c r="I164" s="3" t="str">
        <f>IFERROR(__xludf.DUMMYFUNCTION("IF(A164="""", """", IFS(REGEXMATCH(LOWER(A164), ""barbearia|barber""), ""Barbearia"", REGEXMATCH(LOWER(A164), ""sobrancelh|c[ií]lio|lash|micropigment|showbrancelhas""), ""Sobrancelhas e Cílios"", REGEXMATCH(LOWER(A164), ""maquia|make""), ""Maquiagem"", RE"&amp;"GEXMATCH(LOWER(A164), ""depil|epil""), ""Depilação"", REGEXMATCH(LOWER(A164), ""esmalteria|unha|nail|manicur|spa dos p[eé]s|kauu_nhas""), ""Manicure - Esmalteria"", REGEXMATCH(LOWER(A164), ""est[eé]tic|bronze|massot|terap|pilates|revitalize|dra""), ""Clín"&amp;"ica de Estética"", TRUE, ""Salão de Beleza""))"),"Clínica de Estética")</f>
        <v>Clínica de Estética</v>
      </c>
    </row>
    <row r="165">
      <c r="A165" s="1" t="s">
        <v>1067</v>
      </c>
      <c r="D165" s="1" t="s">
        <v>1068</v>
      </c>
      <c r="E165" s="1" t="s">
        <v>1069</v>
      </c>
      <c r="F165" s="1" t="s">
        <v>1070</v>
      </c>
      <c r="G165" s="3" t="str">
        <f>IFERROR(__xludf.DUMMYFUNCTION("AI(""Preencha um valor adequado para esta célula com base no contexto da tabela"")"),"Caxias -MA")</f>
        <v>Caxias -MA</v>
      </c>
      <c r="H165" s="2" t="s">
        <v>1071</v>
      </c>
      <c r="I165" s="3" t="str">
        <f>IFERROR(__xludf.DUMMYFUNCTION("IF(A165="""", """", IFS(REGEXMATCH(LOWER(A165), ""barbearia|barber""), ""Barbearia"", REGEXMATCH(LOWER(A165), ""sobrancelh|c[ií]lio|lash|micropigment|showbrancelhas""), ""Sobrancelhas e Cílios"", REGEXMATCH(LOWER(A165), ""maquia|make""), ""Maquiagem"", RE"&amp;"GEXMATCH(LOWER(A165), ""depil|epil""), ""Depilação"", REGEXMATCH(LOWER(A165), ""esmalteria|unha|nail|manicur|spa dos p[eé]s|kauu_nhas""), ""Manicure - Esmalteria"", REGEXMATCH(LOWER(A165), ""est[eé]tic|bronze|massot|terap|pilates|revitalize|dra""), ""Clín"&amp;"ica de Estética"", TRUE, ""Salão de Beleza""))"),"Salão de Beleza")</f>
        <v>Salão de Beleza</v>
      </c>
    </row>
    <row r="166">
      <c r="A166" s="1" t="s">
        <v>1072</v>
      </c>
      <c r="D166" s="1" t="s">
        <v>1073</v>
      </c>
      <c r="E166" s="1" t="s">
        <v>1074</v>
      </c>
      <c r="F166" s="1" t="s">
        <v>1075</v>
      </c>
      <c r="G166" s="3" t="str">
        <f>IFERROR(__xludf.DUMMYFUNCTION("AI(""Preencha um valor adequado para esta célula com base no contexto da tabela"")"),"Caxias -MA")</f>
        <v>Caxias -MA</v>
      </c>
      <c r="H166" s="2" t="s">
        <v>1076</v>
      </c>
      <c r="I166" s="3" t="str">
        <f>IFERROR(__xludf.DUMMYFUNCTION("IF(A166="""", """", IFS(REGEXMATCH(LOWER(A166), ""barbearia|barber""), ""Barbearia"", REGEXMATCH(LOWER(A166), ""sobrancelh|c[ií]lio|lash|micropigment|showbrancelhas""), ""Sobrancelhas e Cílios"", REGEXMATCH(LOWER(A166), ""maquia|make""), ""Maquiagem"", RE"&amp;"GEXMATCH(LOWER(A166), ""depil|epil""), ""Depilação"", REGEXMATCH(LOWER(A166), ""esmalteria|unha|nail|manicur|spa dos p[eé]s|kauu_nhas""), ""Manicure - Esmalteria"", REGEXMATCH(LOWER(A166), ""est[eé]tic|bronze|massot|terap|pilates|revitalize|dra""), ""Clín"&amp;"ica de Estética"", TRUE, ""Salão de Beleza""))"),"Salão de Beleza")</f>
        <v>Salão de Beleza</v>
      </c>
    </row>
    <row r="167">
      <c r="A167" s="1" t="s">
        <v>1077</v>
      </c>
      <c r="B167" s="1" t="s">
        <v>1078</v>
      </c>
      <c r="C167" s="1" t="s">
        <v>1079</v>
      </c>
      <c r="D167" s="1" t="s">
        <v>1080</v>
      </c>
      <c r="E167" s="1" t="s">
        <v>1081</v>
      </c>
      <c r="F167" s="1" t="s">
        <v>1082</v>
      </c>
      <c r="G167" s="3" t="str">
        <f>IFERROR(__xludf.DUMMYFUNCTION("AI(""Preencha um valor adequado para esta célula com base no contexto da tabela"")"),"Caxias -MA")</f>
        <v>Caxias -MA</v>
      </c>
      <c r="H167" s="2" t="s">
        <v>1083</v>
      </c>
      <c r="I167" s="3" t="str">
        <f>IFERROR(__xludf.DUMMYFUNCTION("IF(A167="""", """", IFS(REGEXMATCH(LOWER(A167), ""barbearia|barber""), ""Barbearia"", REGEXMATCH(LOWER(A167), ""sobrancelh|c[ií]lio|lash|micropigment|showbrancelhas""), ""Sobrancelhas e Cílios"", REGEXMATCH(LOWER(A167), ""maquia|make""), ""Maquiagem"", RE"&amp;"GEXMATCH(LOWER(A167), ""depil|epil""), ""Depilação"", REGEXMATCH(LOWER(A167), ""esmalteria|unha|nail|manicur|spa dos p[eé]s|kauu_nhas""), ""Manicure - Esmalteria"", REGEXMATCH(LOWER(A167), ""est[eé]tic|bronze|massot|terap|pilates|revitalize|dra""), ""Clín"&amp;"ica de Estética"", TRUE, ""Salão de Beleza""))"),"Barbearia")</f>
        <v>Barbearia</v>
      </c>
    </row>
    <row r="168">
      <c r="A168" s="1" t="s">
        <v>1084</v>
      </c>
      <c r="B168" s="1" t="s">
        <v>1085</v>
      </c>
      <c r="C168" s="1" t="s">
        <v>1086</v>
      </c>
      <c r="D168" s="1" t="s">
        <v>1087</v>
      </c>
      <c r="E168" s="1" t="s">
        <v>1088</v>
      </c>
      <c r="F168" s="1" t="s">
        <v>1089</v>
      </c>
      <c r="G168" s="3" t="str">
        <f>IFERROR(__xludf.DUMMYFUNCTION("AI(""Preencha um valor adequado para esta célula com base no contexto da tabela"")"),"Caxias -MA")</f>
        <v>Caxias -MA</v>
      </c>
      <c r="H168" s="2" t="s">
        <v>1090</v>
      </c>
      <c r="I168" s="3" t="str">
        <f>IFERROR(__xludf.DUMMYFUNCTION("IF(A168="""", """", IFS(REGEXMATCH(LOWER(A168), ""barbearia|barber""), ""Barbearia"", REGEXMATCH(LOWER(A168), ""sobrancelh|c[ií]lio|lash|micropigment|showbrancelhas""), ""Sobrancelhas e Cílios"", REGEXMATCH(LOWER(A168), ""maquia|make""), ""Maquiagem"", RE"&amp;"GEXMATCH(LOWER(A168), ""depil|epil""), ""Depilação"", REGEXMATCH(LOWER(A168), ""esmalteria|unha|nail|manicur|spa dos p[eé]s|kauu_nhas""), ""Manicure - Esmalteria"", REGEXMATCH(LOWER(A168), ""est[eé]tic|bronze|massot|terap|pilates|revitalize|dra""), ""Clín"&amp;"ica de Estética"", TRUE, ""Salão de Beleza""))"),"Clínica de Estética")</f>
        <v>Clínica de Estética</v>
      </c>
    </row>
    <row r="169">
      <c r="A169" s="1" t="s">
        <v>1091</v>
      </c>
      <c r="D169" s="1" t="s">
        <v>1092</v>
      </c>
      <c r="E169" s="1" t="s">
        <v>1093</v>
      </c>
      <c r="F169" s="1" t="s">
        <v>1094</v>
      </c>
      <c r="G169" s="3" t="str">
        <f>IFERROR(__xludf.DUMMYFUNCTION("AI(""Preencha um valor adequado para esta célula com base no contexto da tabela"")"),"Caxias -MA")</f>
        <v>Caxias -MA</v>
      </c>
      <c r="H169" s="2" t="s">
        <v>1095</v>
      </c>
      <c r="I169" s="3" t="str">
        <f>IFERROR(__xludf.DUMMYFUNCTION("IF(A169="""", """", IFS(REGEXMATCH(LOWER(A169), ""barbearia|barber""), ""Barbearia"", REGEXMATCH(LOWER(A169), ""sobrancelh|c[ií]lio|lash|micropigment|showbrancelhas""), ""Sobrancelhas e Cílios"", REGEXMATCH(LOWER(A169), ""maquia|make""), ""Maquiagem"", RE"&amp;"GEXMATCH(LOWER(A169), ""depil|epil""), ""Depilação"", REGEXMATCH(LOWER(A169), ""esmalteria|unha|nail|manicur|spa dos p[eé]s|kauu_nhas""), ""Manicure - Esmalteria"", REGEXMATCH(LOWER(A169), ""est[eé]tic|bronze|massot|terap|pilates|revitalize|dra""), ""Clín"&amp;"ica de Estética"", TRUE, ""Salão de Beleza""))"),"Barbearia")</f>
        <v>Barbearia</v>
      </c>
    </row>
    <row r="170">
      <c r="A170" s="1" t="s">
        <v>1096</v>
      </c>
      <c r="B170" s="1" t="s">
        <v>1097</v>
      </c>
      <c r="C170" s="1" t="s">
        <v>1098</v>
      </c>
      <c r="D170" s="1" t="s">
        <v>1099</v>
      </c>
      <c r="E170" s="1" t="s">
        <v>1100</v>
      </c>
      <c r="F170" s="1" t="s">
        <v>1101</v>
      </c>
      <c r="G170" s="3" t="str">
        <f>IFERROR(__xludf.DUMMYFUNCTION("AI(""Preencha um valor adequado para esta célula com base no contexto da tabela"")"),"Caxias -MA")</f>
        <v>Caxias -MA</v>
      </c>
      <c r="H170" s="2" t="s">
        <v>1102</v>
      </c>
      <c r="I170" s="3" t="str">
        <f>IFERROR(__xludf.DUMMYFUNCTION("IF(A170="""", """", IFS(REGEXMATCH(LOWER(A170), ""barbearia|barber""), ""Barbearia"", REGEXMATCH(LOWER(A170), ""sobrancelh|c[ií]lio|lash|micropigment|showbrancelhas""), ""Sobrancelhas e Cílios"", REGEXMATCH(LOWER(A170), ""maquia|make""), ""Maquiagem"", RE"&amp;"GEXMATCH(LOWER(A170), ""depil|epil""), ""Depilação"", REGEXMATCH(LOWER(A170), ""esmalteria|unha|nail|manicur|spa dos p[eé]s|kauu_nhas""), ""Manicure - Esmalteria"", REGEXMATCH(LOWER(A170), ""est[eé]tic|bronze|massot|terap|pilates|revitalize|dra""), ""Clín"&amp;"ica de Estética"", TRUE, ""Salão de Beleza""))"),"Clínica de Estética")</f>
        <v>Clínica de Estética</v>
      </c>
    </row>
    <row r="171">
      <c r="A171" s="1" t="s">
        <v>1103</v>
      </c>
      <c r="B171" s="1" t="s">
        <v>1104</v>
      </c>
      <c r="C171" s="1" t="s">
        <v>1105</v>
      </c>
      <c r="D171" s="1" t="s">
        <v>1106</v>
      </c>
      <c r="E171" s="1" t="s">
        <v>1107</v>
      </c>
      <c r="F171" s="1" t="s">
        <v>1108</v>
      </c>
      <c r="G171" s="3" t="str">
        <f>IFERROR(__xludf.DUMMYFUNCTION("AI(""Preencha um valor adequado para esta célula com base no contexto da tabela"")"),"Caxias -MA")</f>
        <v>Caxias -MA</v>
      </c>
      <c r="H171" s="2" t="s">
        <v>1109</v>
      </c>
      <c r="I171" s="3" t="str">
        <f>IFERROR(__xludf.DUMMYFUNCTION("IF(A171="""", """", IFS(REGEXMATCH(LOWER(A171), ""barbearia|barber""), ""Barbearia"", REGEXMATCH(LOWER(A171), ""sobrancelh|c[ií]lio|lash|micropigment|showbrancelhas""), ""Sobrancelhas e Cílios"", REGEXMATCH(LOWER(A171), ""maquia|make""), ""Maquiagem"", RE"&amp;"GEXMATCH(LOWER(A171), ""depil|epil""), ""Depilação"", REGEXMATCH(LOWER(A171), ""esmalteria|unha|nail|manicur|spa dos p[eé]s|kauu_nhas""), ""Manicure - Esmalteria"", REGEXMATCH(LOWER(A171), ""est[eé]tic|bronze|massot|terap|pilates|revitalize|dra""), ""Clín"&amp;"ica de Estética"", TRUE, ""Salão de Beleza""))"),"Manicure - Esmalteria")</f>
        <v>Manicure - Esmalteria</v>
      </c>
    </row>
    <row r="172">
      <c r="A172" s="1" t="s">
        <v>1110</v>
      </c>
      <c r="D172" s="1" t="s">
        <v>1111</v>
      </c>
      <c r="E172" s="1" t="s">
        <v>1112</v>
      </c>
      <c r="F172" s="1" t="s">
        <v>1113</v>
      </c>
      <c r="G172" s="3" t="str">
        <f>IFERROR(__xludf.DUMMYFUNCTION("AI(""Preencha um valor adequado para esta célula com base no contexto da tabela"")"),"Caxias -MA")</f>
        <v>Caxias -MA</v>
      </c>
      <c r="H172" s="2" t="s">
        <v>1114</v>
      </c>
      <c r="I172" s="3" t="str">
        <f>IFERROR(__xludf.DUMMYFUNCTION("IF(A172="""", """", IFS(REGEXMATCH(LOWER(A172), ""barbearia|barber""), ""Barbearia"", REGEXMATCH(LOWER(A172), ""sobrancelh|c[ií]lio|lash|micropigment|showbrancelhas""), ""Sobrancelhas e Cílios"", REGEXMATCH(LOWER(A172), ""maquia|make""), ""Maquiagem"", RE"&amp;"GEXMATCH(LOWER(A172), ""depil|epil""), ""Depilação"", REGEXMATCH(LOWER(A172), ""esmalteria|unha|nail|manicur|spa dos p[eé]s|kauu_nhas""), ""Manicure - Esmalteria"", REGEXMATCH(LOWER(A172), ""est[eé]tic|bronze|massot|terap|pilates|revitalize|dra""), ""Clín"&amp;"ica de Estética"", TRUE, ""Salão de Beleza""))"),"Salão de Beleza")</f>
        <v>Salão de Beleza</v>
      </c>
    </row>
    <row r="173">
      <c r="A173" s="1" t="s">
        <v>1115</v>
      </c>
      <c r="B173" s="1" t="s">
        <v>1116</v>
      </c>
      <c r="C173" s="1" t="s">
        <v>1117</v>
      </c>
      <c r="D173" s="1" t="s">
        <v>1118</v>
      </c>
      <c r="E173" s="1" t="s">
        <v>1119</v>
      </c>
      <c r="F173" s="1" t="s">
        <v>1120</v>
      </c>
      <c r="G173" s="3" t="str">
        <f>IFERROR(__xludf.DUMMYFUNCTION("AI(""Preencha um valor adequado para esta célula com base no contexto da tabela"")"),"Caxias -MA")</f>
        <v>Caxias -MA</v>
      </c>
      <c r="H173" s="2" t="s">
        <v>1121</v>
      </c>
      <c r="I173" s="3" t="str">
        <f>IFERROR(__xludf.DUMMYFUNCTION("IF(A173="""", """", IFS(REGEXMATCH(LOWER(A173), ""barbearia|barber""), ""Barbearia"", REGEXMATCH(LOWER(A173), ""sobrancelh|c[ií]lio|lash|micropigment|showbrancelhas""), ""Sobrancelhas e Cílios"", REGEXMATCH(LOWER(A173), ""maquia|make""), ""Maquiagem"", RE"&amp;"GEXMATCH(LOWER(A173), ""depil|epil""), ""Depilação"", REGEXMATCH(LOWER(A173), ""esmalteria|unha|nail|manicur|spa dos p[eé]s|kauu_nhas""), ""Manicure - Esmalteria"", REGEXMATCH(LOWER(A173), ""est[eé]tic|bronze|massot|terap|pilates|revitalize|dra""), ""Clín"&amp;"ica de Estética"", TRUE, ""Salão de Beleza""))"),"Salão de Beleza")</f>
        <v>Salão de Beleza</v>
      </c>
    </row>
    <row r="174">
      <c r="A174" s="1" t="s">
        <v>1122</v>
      </c>
      <c r="B174" s="1" t="s">
        <v>512</v>
      </c>
      <c r="C174" s="1" t="s">
        <v>513</v>
      </c>
      <c r="D174" s="1" t="s">
        <v>1123</v>
      </c>
      <c r="E174" s="1" t="s">
        <v>1124</v>
      </c>
      <c r="F174" s="1" t="s">
        <v>1125</v>
      </c>
      <c r="G174" s="3" t="str">
        <f>IFERROR(__xludf.DUMMYFUNCTION("AI(""Preencha um valor adequado para esta célula com base no contexto da tabela"")"),"Caxias -MA")</f>
        <v>Caxias -MA</v>
      </c>
      <c r="H174" s="2" t="s">
        <v>1126</v>
      </c>
      <c r="I174" s="3" t="str">
        <f>IFERROR(__xludf.DUMMYFUNCTION("IF(A174="""", """", IFS(REGEXMATCH(LOWER(A174), ""barbearia|barber""), ""Barbearia"", REGEXMATCH(LOWER(A174), ""sobrancelh|c[ií]lio|lash|micropigment|showbrancelhas""), ""Sobrancelhas e Cílios"", REGEXMATCH(LOWER(A174), ""maquia|make""), ""Maquiagem"", RE"&amp;"GEXMATCH(LOWER(A174), ""depil|epil""), ""Depilação"", REGEXMATCH(LOWER(A174), ""esmalteria|unha|nail|manicur|spa dos p[eé]s|kauu_nhas""), ""Manicure - Esmalteria"", REGEXMATCH(LOWER(A174), ""est[eé]tic|bronze|massot|terap|pilates|revitalize|dra""), ""Clín"&amp;"ica de Estética"", TRUE, ""Salão de Beleza""))"),"Barbearia")</f>
        <v>Barbearia</v>
      </c>
    </row>
    <row r="175">
      <c r="A175" s="1" t="s">
        <v>1127</v>
      </c>
      <c r="B175" s="1" t="s">
        <v>1128</v>
      </c>
      <c r="C175" s="1" t="s">
        <v>1129</v>
      </c>
      <c r="D175" s="1" t="s">
        <v>1130</v>
      </c>
      <c r="E175" s="1" t="s">
        <v>1131</v>
      </c>
      <c r="F175" s="1" t="s">
        <v>1132</v>
      </c>
      <c r="G175" s="3" t="str">
        <f>IFERROR(__xludf.DUMMYFUNCTION("AI(""Preencha um valor adequado para esta célula com base no contexto da tabela"")"),"Caxias -MA")</f>
        <v>Caxias -MA</v>
      </c>
      <c r="H175" s="2" t="s">
        <v>1133</v>
      </c>
      <c r="I175" s="3" t="str">
        <f>IFERROR(__xludf.DUMMYFUNCTION("IF(A175="""", """", IFS(REGEXMATCH(LOWER(A175), ""barbearia|barber""), ""Barbearia"", REGEXMATCH(LOWER(A175), ""sobrancelh|c[ií]lio|lash|micropigment|showbrancelhas""), ""Sobrancelhas e Cílios"", REGEXMATCH(LOWER(A175), ""maquia|make""), ""Maquiagem"", RE"&amp;"GEXMATCH(LOWER(A175), ""depil|epil""), ""Depilação"", REGEXMATCH(LOWER(A175), ""esmalteria|unha|nail|manicur|spa dos p[eé]s|kauu_nhas""), ""Manicure - Esmalteria"", REGEXMATCH(LOWER(A175), ""est[eé]tic|bronze|massot|terap|pilates|revitalize|dra""), ""Clín"&amp;"ica de Estética"", TRUE, ""Salão de Beleza""))"),"Salão de Beleza")</f>
        <v>Salão de Beleza</v>
      </c>
    </row>
    <row r="176">
      <c r="A176" s="1" t="s">
        <v>1134</v>
      </c>
      <c r="D176" s="1" t="s">
        <v>1135</v>
      </c>
      <c r="E176" s="1" t="s">
        <v>1136</v>
      </c>
      <c r="F176" s="1" t="s">
        <v>1137</v>
      </c>
      <c r="G176" s="3" t="str">
        <f>IFERROR(__xludf.DUMMYFUNCTION("AI(""Preencha um valor adequado para esta célula com base no contexto da tabela"")"),"Caxias -MA")</f>
        <v>Caxias -MA</v>
      </c>
      <c r="H176" s="2" t="s">
        <v>1138</v>
      </c>
      <c r="I176" s="3" t="str">
        <f>IFERROR(__xludf.DUMMYFUNCTION("IF(A176="""", """", IFS(REGEXMATCH(LOWER(A176), ""barbearia|barber""), ""Barbearia"", REGEXMATCH(LOWER(A176), ""sobrancelh|c[ií]lio|lash|micropigment|showbrancelhas""), ""Sobrancelhas e Cílios"", REGEXMATCH(LOWER(A176), ""maquia|make""), ""Maquiagem"", RE"&amp;"GEXMATCH(LOWER(A176), ""depil|epil""), ""Depilação"", REGEXMATCH(LOWER(A176), ""esmalteria|unha|nail|manicur|spa dos p[eé]s|kauu_nhas""), ""Manicure - Esmalteria"", REGEXMATCH(LOWER(A176), ""est[eé]tic|bronze|massot|terap|pilates|revitalize|dra""), ""Clín"&amp;"ica de Estética"", TRUE, ""Salão de Beleza""))"),"Barbearia")</f>
        <v>Barbearia</v>
      </c>
    </row>
    <row r="177">
      <c r="A177" s="1" t="s">
        <v>1139</v>
      </c>
      <c r="B177" s="1" t="s">
        <v>1140</v>
      </c>
      <c r="C177" s="1" t="s">
        <v>1141</v>
      </c>
      <c r="D177" s="1" t="s">
        <v>1142</v>
      </c>
      <c r="E177" s="1" t="s">
        <v>1143</v>
      </c>
      <c r="F177" s="1" t="s">
        <v>1144</v>
      </c>
      <c r="G177" s="3" t="str">
        <f>IFERROR(__xludf.DUMMYFUNCTION("AI(""Preencha um valor adequado para esta célula com base no contexto da tabela"")"),"Caxias -MA")</f>
        <v>Caxias -MA</v>
      </c>
      <c r="H177" s="2" t="s">
        <v>1145</v>
      </c>
      <c r="I177" s="3" t="str">
        <f>IFERROR(__xludf.DUMMYFUNCTION("IF(A177="""", """", IFS(REGEXMATCH(LOWER(A177), ""barbearia|barber""), ""Barbearia"", REGEXMATCH(LOWER(A177), ""sobrancelh|c[ií]lio|lash|micropigment|showbrancelhas""), ""Sobrancelhas e Cílios"", REGEXMATCH(LOWER(A177), ""maquia|make""), ""Maquiagem"", RE"&amp;"GEXMATCH(LOWER(A177), ""depil|epil""), ""Depilação"", REGEXMATCH(LOWER(A177), ""esmalteria|unha|nail|manicur|spa dos p[eé]s|kauu_nhas""), ""Manicure - Esmalteria"", REGEXMATCH(LOWER(A177), ""est[eé]tic|bronze|massot|terap|pilates|revitalize|dra""), ""Clín"&amp;"ica de Estética"", TRUE, ""Salão de Beleza""))"),"Sobrancelhas e Cílios")</f>
        <v>Sobrancelhas e Cílios</v>
      </c>
    </row>
    <row r="178">
      <c r="A178" s="1" t="s">
        <v>1146</v>
      </c>
      <c r="D178" s="1" t="s">
        <v>1147</v>
      </c>
      <c r="E178" s="1" t="s">
        <v>1148</v>
      </c>
      <c r="F178" s="1" t="s">
        <v>1149</v>
      </c>
      <c r="G178" s="3" t="str">
        <f>IFERROR(__xludf.DUMMYFUNCTION("AI(""Preencha um valor adequado para esta célula com base no contexto da tabela"")"),"Caxias -MA")</f>
        <v>Caxias -MA</v>
      </c>
      <c r="H178" s="2" t="s">
        <v>1150</v>
      </c>
      <c r="I178" s="3" t="str">
        <f>IFERROR(__xludf.DUMMYFUNCTION("IF(A178="""", """", IFS(REGEXMATCH(LOWER(A178), ""barbearia|barber""), ""Barbearia"", REGEXMATCH(LOWER(A178), ""sobrancelh|c[ií]lio|lash|micropigment|showbrancelhas""), ""Sobrancelhas e Cílios"", REGEXMATCH(LOWER(A178), ""maquia|make""), ""Maquiagem"", RE"&amp;"GEXMATCH(LOWER(A178), ""depil|epil""), ""Depilação"", REGEXMATCH(LOWER(A178), ""esmalteria|unha|nail|manicur|spa dos p[eé]s|kauu_nhas""), ""Manicure - Esmalteria"", REGEXMATCH(LOWER(A178), ""est[eé]tic|bronze|massot|terap|pilates|revitalize|dra""), ""Clín"&amp;"ica de Estética"", TRUE, ""Salão de Beleza""))"),"Salão de Beleza")</f>
        <v>Salão de Beleza</v>
      </c>
    </row>
    <row r="179">
      <c r="A179" s="1" t="s">
        <v>1151</v>
      </c>
      <c r="B179" s="1" t="s">
        <v>1152</v>
      </c>
      <c r="C179" s="1" t="s">
        <v>1153</v>
      </c>
      <c r="D179" s="1" t="s">
        <v>1154</v>
      </c>
      <c r="E179" s="1" t="s">
        <v>1155</v>
      </c>
      <c r="F179" s="1" t="s">
        <v>1156</v>
      </c>
      <c r="G179" s="3" t="str">
        <f>IFERROR(__xludf.DUMMYFUNCTION("AI(""Preencha um valor adequado para esta célula com base no contexto da tabela"")"),"Caxias -MA")</f>
        <v>Caxias -MA</v>
      </c>
      <c r="H179" s="2" t="s">
        <v>1157</v>
      </c>
      <c r="I179" s="3" t="str">
        <f>IFERROR(__xludf.DUMMYFUNCTION("IF(A179="""", """", IFS(REGEXMATCH(LOWER(A179), ""barbearia|barber""), ""Barbearia"", REGEXMATCH(LOWER(A179), ""sobrancelh|c[ií]lio|lash|micropigment|showbrancelhas""), ""Sobrancelhas e Cílios"", REGEXMATCH(LOWER(A179), ""maquia|make""), ""Maquiagem"", RE"&amp;"GEXMATCH(LOWER(A179), ""depil|epil""), ""Depilação"", REGEXMATCH(LOWER(A179), ""esmalteria|unha|nail|manicur|spa dos p[eé]s|kauu_nhas""), ""Manicure - Esmalteria"", REGEXMATCH(LOWER(A179), ""est[eé]tic|bronze|massot|terap|pilates|revitalize|dra""), ""Clín"&amp;"ica de Estética"", TRUE, ""Salão de Beleza""))"),"Manicure - Esmalteria")</f>
        <v>Manicure - Esmalteria</v>
      </c>
    </row>
    <row r="180">
      <c r="A180" s="1" t="s">
        <v>1158</v>
      </c>
      <c r="B180" s="1" t="s">
        <v>1159</v>
      </c>
      <c r="C180" s="1" t="s">
        <v>1160</v>
      </c>
      <c r="D180" s="1" t="s">
        <v>1161</v>
      </c>
      <c r="E180" s="1" t="s">
        <v>1162</v>
      </c>
      <c r="F180" s="1" t="s">
        <v>1163</v>
      </c>
      <c r="G180" s="3" t="str">
        <f>IFERROR(__xludf.DUMMYFUNCTION("AI(""Preencha um valor adequado para esta célula com base no contexto da tabela"")"),"Caxias -MA")</f>
        <v>Caxias -MA</v>
      </c>
      <c r="H180" s="2" t="s">
        <v>1164</v>
      </c>
      <c r="I180" s="3" t="str">
        <f>IFERROR(__xludf.DUMMYFUNCTION("IF(A180="""", """", IFS(REGEXMATCH(LOWER(A180), ""barbearia|barber""), ""Barbearia"", REGEXMATCH(LOWER(A180), ""sobrancelh|c[ií]lio|lash|micropigment|showbrancelhas""), ""Sobrancelhas e Cílios"", REGEXMATCH(LOWER(A180), ""maquia|make""), ""Maquiagem"", RE"&amp;"GEXMATCH(LOWER(A180), ""depil|epil""), ""Depilação"", REGEXMATCH(LOWER(A180), ""esmalteria|unha|nail|manicur|spa dos p[eé]s|kauu_nhas""), ""Manicure - Esmalteria"", REGEXMATCH(LOWER(A180), ""est[eé]tic|bronze|massot|terap|pilates|revitalize|dra""), ""Clín"&amp;"ica de Estética"", TRUE, ""Salão de Beleza""))"),"Salão de Beleza")</f>
        <v>Salão de Beleza</v>
      </c>
    </row>
    <row r="181">
      <c r="A181" s="1" t="s">
        <v>1165</v>
      </c>
      <c r="B181" s="1" t="s">
        <v>1166</v>
      </c>
      <c r="C181" s="1" t="s">
        <v>1167</v>
      </c>
      <c r="D181" s="1" t="s">
        <v>1168</v>
      </c>
      <c r="E181" s="1" t="s">
        <v>1169</v>
      </c>
      <c r="F181" s="1" t="s">
        <v>1170</v>
      </c>
      <c r="G181" s="3" t="str">
        <f>IFERROR(__xludf.DUMMYFUNCTION("AI(""Preencha um valor adequado para esta célula com base no contexto da tabela"")"),"Caxias -MA")</f>
        <v>Caxias -MA</v>
      </c>
      <c r="H181" s="2" t="s">
        <v>1171</v>
      </c>
      <c r="I181" s="3" t="str">
        <f>IFERROR(__xludf.DUMMYFUNCTION("IF(A181="""", """", IFS(REGEXMATCH(LOWER(A181), ""barbearia|barber""), ""Barbearia"", REGEXMATCH(LOWER(A181), ""sobrancelh|c[ií]lio|lash|micropigment|showbrancelhas""), ""Sobrancelhas e Cílios"", REGEXMATCH(LOWER(A181), ""maquia|make""), ""Maquiagem"", RE"&amp;"GEXMATCH(LOWER(A181), ""depil|epil""), ""Depilação"", REGEXMATCH(LOWER(A181), ""esmalteria|unha|nail|manicur|spa dos p[eé]s|kauu_nhas""), ""Manicure - Esmalteria"", REGEXMATCH(LOWER(A181), ""est[eé]tic|bronze|massot|terap|pilates|revitalize|dra""), ""Clín"&amp;"ica de Estética"", TRUE, ""Salão de Beleza""))"),"Salão de Beleza")</f>
        <v>Salão de Beleza</v>
      </c>
    </row>
    <row r="182">
      <c r="A182" s="1" t="s">
        <v>1172</v>
      </c>
      <c r="D182" s="1" t="s">
        <v>1173</v>
      </c>
      <c r="E182" s="1" t="s">
        <v>1174</v>
      </c>
      <c r="F182" s="1" t="s">
        <v>1175</v>
      </c>
      <c r="G182" s="3" t="str">
        <f>IFERROR(__xludf.DUMMYFUNCTION("AI(""Preencha um valor adequado para esta célula com base no contexto da tabela"")"),"Caxias -MA")</f>
        <v>Caxias -MA</v>
      </c>
      <c r="H182" s="2" t="s">
        <v>1176</v>
      </c>
      <c r="I182" s="3" t="str">
        <f>IFERROR(__xludf.DUMMYFUNCTION("IF(A182="""", """", IFS(REGEXMATCH(LOWER(A182), ""barbearia|barber""), ""Barbearia"", REGEXMATCH(LOWER(A182), ""sobrancelh|c[ií]lio|lash|micropigment|showbrancelhas""), ""Sobrancelhas e Cílios"", REGEXMATCH(LOWER(A182), ""maquia|make""), ""Maquiagem"", RE"&amp;"GEXMATCH(LOWER(A182), ""depil|epil""), ""Depilação"", REGEXMATCH(LOWER(A182), ""esmalteria|unha|nail|manicur|spa dos p[eé]s|kauu_nhas""), ""Manicure - Esmalteria"", REGEXMATCH(LOWER(A182), ""est[eé]tic|bronze|massot|terap|pilates|revitalize|dra""), ""Clín"&amp;"ica de Estética"", TRUE, ""Salão de Beleza""))"),"Salão de Beleza")</f>
        <v>Salão de Beleza</v>
      </c>
    </row>
    <row r="183">
      <c r="A183" s="1" t="s">
        <v>1177</v>
      </c>
      <c r="B183" s="1" t="s">
        <v>1178</v>
      </c>
      <c r="C183" s="1" t="s">
        <v>1179</v>
      </c>
      <c r="D183" s="1" t="s">
        <v>1180</v>
      </c>
      <c r="E183" s="1" t="s">
        <v>1181</v>
      </c>
      <c r="F183" s="1" t="s">
        <v>1182</v>
      </c>
      <c r="G183" s="3" t="str">
        <f>IFERROR(__xludf.DUMMYFUNCTION("AI(""Preencha um valor adequado para esta célula com base no contexto da tabela"")"),"Caxias -MA")</f>
        <v>Caxias -MA</v>
      </c>
      <c r="H183" s="2" t="s">
        <v>1183</v>
      </c>
      <c r="I183" s="3" t="str">
        <f>IFERROR(__xludf.DUMMYFUNCTION("IF(A183="""", """", IFS(REGEXMATCH(LOWER(A183), ""barbearia|barber""), ""Barbearia"", REGEXMATCH(LOWER(A183), ""sobrancelh|c[ií]lio|lash|micropigment|showbrancelhas""), ""Sobrancelhas e Cílios"", REGEXMATCH(LOWER(A183), ""maquia|make""), ""Maquiagem"", RE"&amp;"GEXMATCH(LOWER(A183), ""depil|epil""), ""Depilação"", REGEXMATCH(LOWER(A183), ""esmalteria|unha|nail|manicur|spa dos p[eé]s|kauu_nhas""), ""Manicure - Esmalteria"", REGEXMATCH(LOWER(A183), ""est[eé]tic|bronze|massot|terap|pilates|revitalize|dra""), ""Clín"&amp;"ica de Estética"", TRUE, ""Salão de Beleza""))"),"Manicure - Esmalteria")</f>
        <v>Manicure - Esmalteria</v>
      </c>
    </row>
    <row r="184">
      <c r="A184" s="1" t="s">
        <v>1184</v>
      </c>
      <c r="B184" s="1" t="s">
        <v>1185</v>
      </c>
      <c r="C184" s="1" t="s">
        <v>1186</v>
      </c>
      <c r="D184" s="1" t="s">
        <v>1187</v>
      </c>
      <c r="E184" s="1" t="s">
        <v>1188</v>
      </c>
      <c r="F184" s="1" t="s">
        <v>1189</v>
      </c>
      <c r="G184" s="3" t="str">
        <f>IFERROR(__xludf.DUMMYFUNCTION("AI(""Preencha um valor adequado para esta célula com base no contexto da tabela"")"),"Caxias -MA")</f>
        <v>Caxias -MA</v>
      </c>
      <c r="H184" s="2" t="s">
        <v>1190</v>
      </c>
      <c r="I184" s="3" t="str">
        <f>IFERROR(__xludf.DUMMYFUNCTION("IF(A184="""", """", IFS(REGEXMATCH(LOWER(A184), ""barbearia|barber""), ""Barbearia"", REGEXMATCH(LOWER(A184), ""sobrancelh|c[ií]lio|lash|micropigment|showbrancelhas""), ""Sobrancelhas e Cílios"", REGEXMATCH(LOWER(A184), ""maquia|make""), ""Maquiagem"", RE"&amp;"GEXMATCH(LOWER(A184), ""depil|epil""), ""Depilação"", REGEXMATCH(LOWER(A184), ""esmalteria|unha|nail|manicur|spa dos p[eé]s|kauu_nhas""), ""Manicure - Esmalteria"", REGEXMATCH(LOWER(A184), ""est[eé]tic|bronze|massot|terap|pilates|revitalize|dra""), ""Clín"&amp;"ica de Estética"", TRUE, ""Salão de Beleza""))"),"Manicure - Esmalteria")</f>
        <v>Manicure - Esmalteria</v>
      </c>
    </row>
    <row r="185">
      <c r="A185" s="1" t="s">
        <v>1191</v>
      </c>
      <c r="D185" s="1" t="s">
        <v>1192</v>
      </c>
      <c r="E185" s="1" t="s">
        <v>1193</v>
      </c>
      <c r="F185" s="1" t="s">
        <v>1194</v>
      </c>
      <c r="G185" s="3" t="str">
        <f>IFERROR(__xludf.DUMMYFUNCTION("AI(""Preencha um valor adequado para esta célula com base no contexto da tabela"")"),"Caxias -MA")</f>
        <v>Caxias -MA</v>
      </c>
      <c r="H185" s="2" t="s">
        <v>1195</v>
      </c>
      <c r="I185" s="3" t="str">
        <f>IFERROR(__xludf.DUMMYFUNCTION("IF(A185="""", """", IFS(REGEXMATCH(LOWER(A185), ""barbearia|barber""), ""Barbearia"", REGEXMATCH(LOWER(A185), ""sobrancelh|c[ií]lio|lash|micropigment|showbrancelhas""), ""Sobrancelhas e Cílios"", REGEXMATCH(LOWER(A185), ""maquia|make""), ""Maquiagem"", RE"&amp;"GEXMATCH(LOWER(A185), ""depil|epil""), ""Depilação"", REGEXMATCH(LOWER(A185), ""esmalteria|unha|nail|manicur|spa dos p[eé]s|kauu_nhas""), ""Manicure - Esmalteria"", REGEXMATCH(LOWER(A185), ""est[eé]tic|bronze|massot|terap|pilates|revitalize|dra""), ""Clín"&amp;"ica de Estética"", TRUE, ""Salão de Beleza""))"),"Salão de Beleza")</f>
        <v>Salão de Beleza</v>
      </c>
    </row>
    <row r="186">
      <c r="A186" s="1" t="s">
        <v>1196</v>
      </c>
      <c r="B186" s="1" t="s">
        <v>1197</v>
      </c>
      <c r="C186" s="1" t="s">
        <v>1198</v>
      </c>
      <c r="D186" s="1" t="s">
        <v>1199</v>
      </c>
      <c r="E186" s="1" t="s">
        <v>1200</v>
      </c>
      <c r="F186" s="1" t="s">
        <v>1201</v>
      </c>
      <c r="G186" s="3" t="str">
        <f>IFERROR(__xludf.DUMMYFUNCTION("AI(""Preencha um valor adequado para esta célula com base no contexto da tabela"")"),"Caxias -MA")</f>
        <v>Caxias -MA</v>
      </c>
      <c r="H186" s="2" t="s">
        <v>1202</v>
      </c>
      <c r="I186" s="3" t="str">
        <f>IFERROR(__xludf.DUMMYFUNCTION("IF(A186="""", """", IFS(REGEXMATCH(LOWER(A186), ""barbearia|barber""), ""Barbearia"", REGEXMATCH(LOWER(A186), ""sobrancelh|c[ií]lio|lash|micropigment|showbrancelhas""), ""Sobrancelhas e Cílios"", REGEXMATCH(LOWER(A186), ""maquia|make""), ""Maquiagem"", RE"&amp;"GEXMATCH(LOWER(A186), ""depil|epil""), ""Depilação"", REGEXMATCH(LOWER(A186), ""esmalteria|unha|nail|manicur|spa dos p[eé]s|kauu_nhas""), ""Manicure - Esmalteria"", REGEXMATCH(LOWER(A186), ""est[eé]tic|bronze|massot|terap|pilates|revitalize|dra""), ""Clín"&amp;"ica de Estética"", TRUE, ""Salão de Beleza""))"),"Salão de Beleza")</f>
        <v>Salão de Beleza</v>
      </c>
    </row>
    <row r="187">
      <c r="A187" s="1" t="s">
        <v>1203</v>
      </c>
      <c r="D187" s="1" t="s">
        <v>1204</v>
      </c>
      <c r="E187" s="1" t="s">
        <v>1205</v>
      </c>
      <c r="F187" s="1" t="s">
        <v>1206</v>
      </c>
      <c r="G187" s="3" t="str">
        <f>IFERROR(__xludf.DUMMYFUNCTION("AI(""Preencha um valor adequado para esta célula com base no contexto da tabela"")"),"Caxias -MA")</f>
        <v>Caxias -MA</v>
      </c>
      <c r="H187" s="2" t="s">
        <v>1207</v>
      </c>
      <c r="I187" s="3" t="str">
        <f>IFERROR(__xludf.DUMMYFUNCTION("IF(A187="""", """", IFS(REGEXMATCH(LOWER(A187), ""barbearia|barber""), ""Barbearia"", REGEXMATCH(LOWER(A187), ""sobrancelh|c[ií]lio|lash|micropigment|showbrancelhas""), ""Sobrancelhas e Cílios"", REGEXMATCH(LOWER(A187), ""maquia|make""), ""Maquiagem"", RE"&amp;"GEXMATCH(LOWER(A187), ""depil|epil""), ""Depilação"", REGEXMATCH(LOWER(A187), ""esmalteria|unha|nail|manicur|spa dos p[eé]s|kauu_nhas""), ""Manicure - Esmalteria"", REGEXMATCH(LOWER(A187), ""est[eé]tic|bronze|massot|terap|pilates|revitalize|dra""), ""Clín"&amp;"ica de Estética"", TRUE, ""Salão de Beleza""))"),"Salão de Beleza")</f>
        <v>Salão de Beleza</v>
      </c>
    </row>
    <row r="188">
      <c r="A188" s="1" t="s">
        <v>1208</v>
      </c>
      <c r="D188" s="1" t="s">
        <v>1209</v>
      </c>
      <c r="E188" s="1" t="s">
        <v>1210</v>
      </c>
      <c r="F188" s="1" t="s">
        <v>1211</v>
      </c>
      <c r="G188" s="3" t="str">
        <f>IFERROR(__xludf.DUMMYFUNCTION("AI(""Preencha um valor adequado para esta célula com base no contexto da tabela"")"),"Caxias -MA")</f>
        <v>Caxias -MA</v>
      </c>
      <c r="H188" s="2" t="s">
        <v>1212</v>
      </c>
      <c r="I188" s="3" t="str">
        <f>IFERROR(__xludf.DUMMYFUNCTION("IF(A188="""", """", IFS(REGEXMATCH(LOWER(A188), ""barbearia|barber""), ""Barbearia"", REGEXMATCH(LOWER(A188), ""sobrancelh|c[ií]lio|lash|micropigment|showbrancelhas""), ""Sobrancelhas e Cílios"", REGEXMATCH(LOWER(A188), ""maquia|make""), ""Maquiagem"", RE"&amp;"GEXMATCH(LOWER(A188), ""depil|epil""), ""Depilação"", REGEXMATCH(LOWER(A188), ""esmalteria|unha|nail|manicur|spa dos p[eé]s|kauu_nhas""), ""Manicure - Esmalteria"", REGEXMATCH(LOWER(A188), ""est[eé]tic|bronze|massot|terap|pilates|revitalize|dra""), ""Clín"&amp;"ica de Estética"", TRUE, ""Salão de Beleza""))"),"Salão de Beleza")</f>
        <v>Salão de Beleza</v>
      </c>
    </row>
    <row r="189">
      <c r="A189" s="1" t="s">
        <v>1213</v>
      </c>
      <c r="B189" s="1" t="s">
        <v>1214</v>
      </c>
      <c r="C189" s="1" t="s">
        <v>1215</v>
      </c>
      <c r="D189" s="1" t="s">
        <v>1216</v>
      </c>
      <c r="E189" s="1" t="s">
        <v>1217</v>
      </c>
      <c r="F189" s="1" t="s">
        <v>1218</v>
      </c>
      <c r="G189" s="3" t="str">
        <f>IFERROR(__xludf.DUMMYFUNCTION("AI(""Preencha um valor adequado para esta célula com base no contexto da tabela"")"),"Caxias -MA")</f>
        <v>Caxias -MA</v>
      </c>
      <c r="H189" s="2" t="s">
        <v>1219</v>
      </c>
      <c r="I189" s="3" t="str">
        <f>IFERROR(__xludf.DUMMYFUNCTION("IF(A189="""", """", IFS(REGEXMATCH(LOWER(A189), ""barbearia|barber""), ""Barbearia"", REGEXMATCH(LOWER(A189), ""sobrancelh|c[ií]lio|lash|micropigment|showbrancelhas""), ""Sobrancelhas e Cílios"", REGEXMATCH(LOWER(A189), ""maquia|make""), ""Maquiagem"", RE"&amp;"GEXMATCH(LOWER(A189), ""depil|epil""), ""Depilação"", REGEXMATCH(LOWER(A189), ""esmalteria|unha|nail|manicur|spa dos p[eé]s|kauu_nhas""), ""Manicure - Esmalteria"", REGEXMATCH(LOWER(A189), ""est[eé]tic|bronze|massot|terap|pilates|revitalize|dra""), ""Clín"&amp;"ica de Estética"", TRUE, ""Salão de Beleza""))"),"Manicure - Esmalteria")</f>
        <v>Manicure - Esmalteria</v>
      </c>
    </row>
    <row r="190">
      <c r="A190" s="1" t="s">
        <v>1220</v>
      </c>
      <c r="D190" s="1" t="s">
        <v>1221</v>
      </c>
      <c r="E190" s="1" t="s">
        <v>1222</v>
      </c>
      <c r="F190" s="1" t="s">
        <v>1223</v>
      </c>
      <c r="G190" s="3" t="str">
        <f>IFERROR(__xludf.DUMMYFUNCTION("AI(""Preencha um valor adequado para esta célula com base no contexto da tabela"")"),"Caxias -MA")</f>
        <v>Caxias -MA</v>
      </c>
      <c r="H190" s="2" t="s">
        <v>1224</v>
      </c>
      <c r="I190" s="3" t="str">
        <f>IFERROR(__xludf.DUMMYFUNCTION("IF(A190="""", """", IFS(REGEXMATCH(LOWER(A190), ""barbearia|barber""), ""Barbearia"", REGEXMATCH(LOWER(A190), ""sobrancelh|c[ií]lio|lash|micropigment|showbrancelhas""), ""Sobrancelhas e Cílios"", REGEXMATCH(LOWER(A190), ""maquia|make""), ""Maquiagem"", RE"&amp;"GEXMATCH(LOWER(A190), ""depil|epil""), ""Depilação"", REGEXMATCH(LOWER(A190), ""esmalteria|unha|nail|manicur|spa dos p[eé]s|kauu_nhas""), ""Manicure - Esmalteria"", REGEXMATCH(LOWER(A190), ""est[eé]tic|bronze|massot|terap|pilates|revitalize|dra""), ""Clín"&amp;"ica de Estética"", TRUE, ""Salão de Beleza""))"),"Salão de Beleza")</f>
        <v>Salão de Beleza</v>
      </c>
    </row>
    <row r="191">
      <c r="A191" s="1" t="s">
        <v>1225</v>
      </c>
      <c r="D191" s="1" t="s">
        <v>1226</v>
      </c>
      <c r="E191" s="1" t="s">
        <v>1227</v>
      </c>
      <c r="F191" s="1" t="s">
        <v>1228</v>
      </c>
      <c r="G191" s="3" t="str">
        <f>IFERROR(__xludf.DUMMYFUNCTION("AI(""Preencha um valor adequado para esta célula com base no contexto da tabela"")"),"Caxias -MA")</f>
        <v>Caxias -MA</v>
      </c>
      <c r="H191" s="2" t="s">
        <v>1229</v>
      </c>
      <c r="I191" s="3" t="str">
        <f>IFERROR(__xludf.DUMMYFUNCTION("IF(A191="""", """", IFS(REGEXMATCH(LOWER(A191), ""barbearia|barber""), ""Barbearia"", REGEXMATCH(LOWER(A191), ""sobrancelh|c[ií]lio|lash|micropigment|showbrancelhas""), ""Sobrancelhas e Cílios"", REGEXMATCH(LOWER(A191), ""maquia|make""), ""Maquiagem"", RE"&amp;"GEXMATCH(LOWER(A191), ""depil|epil""), ""Depilação"", REGEXMATCH(LOWER(A191), ""esmalteria|unha|nail|manicur|spa dos p[eé]s|kauu_nhas""), ""Manicure - Esmalteria"", REGEXMATCH(LOWER(A191), ""est[eé]tic|bronze|massot|terap|pilates|revitalize|dra""), ""Clín"&amp;"ica de Estética"", TRUE, ""Salão de Beleza""))"),"Salão de Beleza")</f>
        <v>Salão de Beleza</v>
      </c>
    </row>
    <row r="192">
      <c r="A192" s="1" t="s">
        <v>1230</v>
      </c>
      <c r="D192" s="1" t="s">
        <v>1231</v>
      </c>
      <c r="E192" s="1" t="s">
        <v>1232</v>
      </c>
      <c r="F192" s="1" t="s">
        <v>1233</v>
      </c>
      <c r="G192" s="3" t="str">
        <f>IFERROR(__xludf.DUMMYFUNCTION("AI(""Preencha um valor adequado para esta célula com base no contexto da tabela"")"),"Caxias -MA")</f>
        <v>Caxias -MA</v>
      </c>
      <c r="H192" s="2" t="s">
        <v>1234</v>
      </c>
      <c r="I192" s="3" t="str">
        <f>IFERROR(__xludf.DUMMYFUNCTION("IF(A192="""", """", IFS(REGEXMATCH(LOWER(A192), ""barbearia|barber""), ""Barbearia"", REGEXMATCH(LOWER(A192), ""sobrancelh|c[ií]lio|lash|micropigment|showbrancelhas""), ""Sobrancelhas e Cílios"", REGEXMATCH(LOWER(A192), ""maquia|make""), ""Maquiagem"", RE"&amp;"GEXMATCH(LOWER(A192), ""depil|epil""), ""Depilação"", REGEXMATCH(LOWER(A192), ""esmalteria|unha|nail|manicur|spa dos p[eé]s|kauu_nhas""), ""Manicure - Esmalteria"", REGEXMATCH(LOWER(A192), ""est[eé]tic|bronze|massot|terap|pilates|revitalize|dra""), ""Clín"&amp;"ica de Estética"", TRUE, ""Salão de Beleza""))"),"Salão de Beleza")</f>
        <v>Salão de Beleza</v>
      </c>
    </row>
    <row r="193">
      <c r="A193" s="1" t="s">
        <v>1235</v>
      </c>
      <c r="B193" s="1" t="s">
        <v>1236</v>
      </c>
      <c r="C193" s="1" t="s">
        <v>1237</v>
      </c>
      <c r="D193" s="1" t="s">
        <v>1238</v>
      </c>
      <c r="E193" s="1" t="s">
        <v>1239</v>
      </c>
      <c r="F193" s="1" t="s">
        <v>1240</v>
      </c>
      <c r="G193" s="3" t="str">
        <f>IFERROR(__xludf.DUMMYFUNCTION("AI(""Preencha um valor adequado para esta célula com base no contexto da tabela"")"),"Caxias -MA")</f>
        <v>Caxias -MA</v>
      </c>
      <c r="H193" s="2" t="s">
        <v>1241</v>
      </c>
      <c r="I193" s="3" t="str">
        <f>IFERROR(__xludf.DUMMYFUNCTION("IF(A193="""", """", IFS(REGEXMATCH(LOWER(A193), ""barbearia|barber""), ""Barbearia"", REGEXMATCH(LOWER(A193), ""sobrancelh|c[ií]lio|lash|micropigment|showbrancelhas""), ""Sobrancelhas e Cílios"", REGEXMATCH(LOWER(A193), ""maquia|make""), ""Maquiagem"", RE"&amp;"GEXMATCH(LOWER(A193), ""depil|epil""), ""Depilação"", REGEXMATCH(LOWER(A193), ""esmalteria|unha|nail|manicur|spa dos p[eé]s|kauu_nhas""), ""Manicure - Esmalteria"", REGEXMATCH(LOWER(A193), ""est[eé]tic|bronze|massot|terap|pilates|revitalize|dra""), ""Clín"&amp;"ica de Estética"", TRUE, ""Salão de Beleza""))"),"Salão de Beleza")</f>
        <v>Salão de Beleza</v>
      </c>
    </row>
    <row r="194">
      <c r="A194" s="1" t="s">
        <v>1242</v>
      </c>
      <c r="B194" s="1" t="s">
        <v>1243</v>
      </c>
      <c r="C194" s="1" t="s">
        <v>1244</v>
      </c>
      <c r="D194" s="1" t="s">
        <v>1245</v>
      </c>
      <c r="E194" s="1" t="s">
        <v>1246</v>
      </c>
      <c r="F194" s="1" t="s">
        <v>1247</v>
      </c>
      <c r="G194" s="3" t="str">
        <f>IFERROR(__xludf.DUMMYFUNCTION("AI(""Preencha um valor adequado para esta célula com base no contexto da tabela"")"),"Caxias -MA")</f>
        <v>Caxias -MA</v>
      </c>
      <c r="H194" s="2" t="s">
        <v>1248</v>
      </c>
      <c r="I194" s="3" t="str">
        <f>IFERROR(__xludf.DUMMYFUNCTION("IF(A194="""", """", IFS(REGEXMATCH(LOWER(A194), ""barbearia|barber""), ""Barbearia"", REGEXMATCH(LOWER(A194), ""sobrancelh|c[ií]lio|lash|micropigment|showbrancelhas""), ""Sobrancelhas e Cílios"", REGEXMATCH(LOWER(A194), ""maquia|make""), ""Maquiagem"", RE"&amp;"GEXMATCH(LOWER(A194), ""depil|epil""), ""Depilação"", REGEXMATCH(LOWER(A194), ""esmalteria|unha|nail|manicur|spa dos p[eé]s|kauu_nhas""), ""Manicure - Esmalteria"", REGEXMATCH(LOWER(A194), ""est[eé]tic|bronze|massot|terap|pilates|revitalize|dra""), ""Clín"&amp;"ica de Estética"", TRUE, ""Salão de Beleza""))"),"Salão de Beleza")</f>
        <v>Salão de Beleza</v>
      </c>
    </row>
    <row r="195">
      <c r="A195" s="1" t="s">
        <v>1249</v>
      </c>
      <c r="B195" s="1" t="s">
        <v>1250</v>
      </c>
      <c r="C195" s="1" t="s">
        <v>1251</v>
      </c>
      <c r="D195" s="1" t="s">
        <v>1252</v>
      </c>
      <c r="E195" s="1" t="s">
        <v>1253</v>
      </c>
      <c r="F195" s="1" t="s">
        <v>1254</v>
      </c>
      <c r="G195" s="3" t="str">
        <f>IFERROR(__xludf.DUMMYFUNCTION("AI(""Preencha um valor adequado para esta célula com base no contexto da tabela"")"),"Caxias -MA")</f>
        <v>Caxias -MA</v>
      </c>
      <c r="H195" s="2" t="s">
        <v>1255</v>
      </c>
      <c r="I195" s="3" t="str">
        <f>IFERROR(__xludf.DUMMYFUNCTION("IF(A195="""", """", IFS(REGEXMATCH(LOWER(A195), ""barbearia|barber""), ""Barbearia"", REGEXMATCH(LOWER(A195), ""sobrancelh|c[ií]lio|lash|micropigment|showbrancelhas""), ""Sobrancelhas e Cílios"", REGEXMATCH(LOWER(A195), ""maquia|make""), ""Maquiagem"", RE"&amp;"GEXMATCH(LOWER(A195), ""depil|epil""), ""Depilação"", REGEXMATCH(LOWER(A195), ""esmalteria|unha|nail|manicur|spa dos p[eé]s|kauu_nhas""), ""Manicure - Esmalteria"", REGEXMATCH(LOWER(A195), ""est[eé]tic|bronze|massot|terap|pilates|revitalize|dra""), ""Clín"&amp;"ica de Estética"", TRUE, ""Salão de Beleza""))"),"Maquiagem")</f>
        <v>Maquiagem</v>
      </c>
    </row>
    <row r="196">
      <c r="A196" s="1" t="s">
        <v>1256</v>
      </c>
      <c r="D196" s="1" t="s">
        <v>1257</v>
      </c>
      <c r="E196" s="1" t="s">
        <v>1258</v>
      </c>
      <c r="F196" s="1" t="s">
        <v>1259</v>
      </c>
      <c r="G196" s="3" t="str">
        <f>IFERROR(__xludf.DUMMYFUNCTION("AI(""Preencha um valor adequado para esta célula com base no contexto da tabela"")"),"Caxias -MA")</f>
        <v>Caxias -MA</v>
      </c>
      <c r="H196" s="2" t="s">
        <v>1260</v>
      </c>
      <c r="I196" s="3" t="str">
        <f>IFERROR(__xludf.DUMMYFUNCTION("IF(A196="""", """", IFS(REGEXMATCH(LOWER(A196), ""barbearia|barber""), ""Barbearia"", REGEXMATCH(LOWER(A196), ""sobrancelh|c[ií]lio|lash|micropigment|showbrancelhas""), ""Sobrancelhas e Cílios"", REGEXMATCH(LOWER(A196), ""maquia|make""), ""Maquiagem"", RE"&amp;"GEXMATCH(LOWER(A196), ""depil|epil""), ""Depilação"", REGEXMATCH(LOWER(A196), ""esmalteria|unha|nail|manicur|spa dos p[eé]s|kauu_nhas""), ""Manicure - Esmalteria"", REGEXMATCH(LOWER(A196), ""est[eé]tic|bronze|massot|terap|pilates|revitalize|dra""), ""Clín"&amp;"ica de Estética"", TRUE, ""Salão de Beleza""))"),"Salão de Beleza")</f>
        <v>Salão de Beleza</v>
      </c>
    </row>
    <row r="197">
      <c r="A197" s="1" t="s">
        <v>1261</v>
      </c>
      <c r="B197" s="1" t="s">
        <v>1262</v>
      </c>
      <c r="C197" s="1" t="s">
        <v>1263</v>
      </c>
      <c r="D197" s="1" t="s">
        <v>1264</v>
      </c>
      <c r="E197" s="1" t="s">
        <v>1265</v>
      </c>
      <c r="F197" s="1" t="s">
        <v>1266</v>
      </c>
      <c r="G197" s="3" t="str">
        <f>IFERROR(__xludf.DUMMYFUNCTION("AI(""Preencha um valor adequado para esta célula com base no contexto da tabela"")"),"Caxias -MA")</f>
        <v>Caxias -MA</v>
      </c>
      <c r="H197" s="2" t="s">
        <v>1267</v>
      </c>
      <c r="I197" s="3" t="str">
        <f>IFERROR(__xludf.DUMMYFUNCTION("IF(A197="""", """", IFS(REGEXMATCH(LOWER(A197), ""barbearia|barber""), ""Barbearia"", REGEXMATCH(LOWER(A197), ""sobrancelh|c[ií]lio|lash|micropigment|showbrancelhas""), ""Sobrancelhas e Cílios"", REGEXMATCH(LOWER(A197), ""maquia|make""), ""Maquiagem"", RE"&amp;"GEXMATCH(LOWER(A197), ""depil|epil""), ""Depilação"", REGEXMATCH(LOWER(A197), ""esmalteria|unha|nail|manicur|spa dos p[eé]s|kauu_nhas""), ""Manicure - Esmalteria"", REGEXMATCH(LOWER(A197), ""est[eé]tic|bronze|massot|terap|pilates|revitalize|dra""), ""Clín"&amp;"ica de Estética"", TRUE, ""Salão de Beleza""))"),"Manicure - Esmalteria")</f>
        <v>Manicure - Esmalteria</v>
      </c>
    </row>
    <row r="198">
      <c r="A198" s="1" t="s">
        <v>1268</v>
      </c>
      <c r="B198" s="1" t="s">
        <v>1269</v>
      </c>
      <c r="C198" s="1" t="s">
        <v>1270</v>
      </c>
      <c r="D198" s="1" t="s">
        <v>1271</v>
      </c>
      <c r="E198" s="1" t="s">
        <v>1272</v>
      </c>
      <c r="F198" s="1" t="s">
        <v>1273</v>
      </c>
      <c r="G198" s="3" t="str">
        <f>IFERROR(__xludf.DUMMYFUNCTION("AI(""Preencha um valor adequado para esta célula com base no contexto da tabela"")"),"Caxias -MA")</f>
        <v>Caxias -MA</v>
      </c>
      <c r="H198" s="2" t="s">
        <v>1274</v>
      </c>
      <c r="I198" s="3" t="str">
        <f>IFERROR(__xludf.DUMMYFUNCTION("IF(A198="""", """", IFS(REGEXMATCH(LOWER(A198), ""barbearia|barber""), ""Barbearia"", REGEXMATCH(LOWER(A198), ""sobrancelh|c[ií]lio|lash|micropigment|showbrancelhas""), ""Sobrancelhas e Cílios"", REGEXMATCH(LOWER(A198), ""maquia|make""), ""Maquiagem"", RE"&amp;"GEXMATCH(LOWER(A198), ""depil|epil""), ""Depilação"", REGEXMATCH(LOWER(A198), ""esmalteria|unha|nail|manicur|spa dos p[eé]s|kauu_nhas""), ""Manicure - Esmalteria"", REGEXMATCH(LOWER(A198), ""est[eé]tic|bronze|massot|terap|pilates|revitalize|dra""), ""Clín"&amp;"ica de Estética"", TRUE, ""Salão de Beleza""))"),"Manicure - Esmalteria")</f>
        <v>Manicure - Esmalteria</v>
      </c>
    </row>
    <row r="199">
      <c r="A199" s="1" t="s">
        <v>1275</v>
      </c>
      <c r="B199" s="1" t="s">
        <v>1276</v>
      </c>
      <c r="C199" s="1" t="s">
        <v>1277</v>
      </c>
      <c r="D199" s="1" t="s">
        <v>1278</v>
      </c>
      <c r="E199" s="1" t="s">
        <v>1279</v>
      </c>
      <c r="F199" s="1" t="s">
        <v>1280</v>
      </c>
      <c r="G199" s="3" t="str">
        <f>IFERROR(__xludf.DUMMYFUNCTION("AI(""Preencha um valor adequado para esta célula com base no contexto da tabela"")"),"Caxias -MA")</f>
        <v>Caxias -MA</v>
      </c>
      <c r="H199" s="2" t="s">
        <v>1281</v>
      </c>
      <c r="I199" s="3" t="str">
        <f>IFERROR(__xludf.DUMMYFUNCTION("IF(A199="""", """", IFS(REGEXMATCH(LOWER(A199), ""barbearia|barber""), ""Barbearia"", REGEXMATCH(LOWER(A199), ""sobrancelh|c[ií]lio|lash|micropigment|showbrancelhas""), ""Sobrancelhas e Cílios"", REGEXMATCH(LOWER(A199), ""maquia|make""), ""Maquiagem"", RE"&amp;"GEXMATCH(LOWER(A199), ""depil|epil""), ""Depilação"", REGEXMATCH(LOWER(A199), ""esmalteria|unha|nail|manicur|spa dos p[eé]s|kauu_nhas""), ""Manicure - Esmalteria"", REGEXMATCH(LOWER(A199), ""est[eé]tic|bronze|massot|terap|pilates|revitalize|dra""), ""Clín"&amp;"ica de Estética"", TRUE, ""Salão de Beleza""))"),"Sobrancelhas e Cílios")</f>
        <v>Sobrancelhas e Cílios</v>
      </c>
    </row>
    <row r="200">
      <c r="A200" s="1" t="s">
        <v>1282</v>
      </c>
      <c r="B200" s="1" t="s">
        <v>1283</v>
      </c>
      <c r="C200" s="1" t="s">
        <v>1284</v>
      </c>
      <c r="D200" s="1" t="s">
        <v>1285</v>
      </c>
      <c r="E200" s="1" t="s">
        <v>1286</v>
      </c>
      <c r="F200" s="1" t="s">
        <v>1287</v>
      </c>
      <c r="G200" s="3" t="str">
        <f>IFERROR(__xludf.DUMMYFUNCTION("AI(""Preencha um valor adequado para esta célula com base no contexto da tabela"")"),"Caxias -MA")</f>
        <v>Caxias -MA</v>
      </c>
      <c r="H200" s="2" t="s">
        <v>1288</v>
      </c>
      <c r="I200" s="3" t="str">
        <f>IFERROR(__xludf.DUMMYFUNCTION("IF(A200="""", """", IFS(REGEXMATCH(LOWER(A200), ""barbearia|barber""), ""Barbearia"", REGEXMATCH(LOWER(A200), ""sobrancelh|c[ií]lio|lash|micropigment|showbrancelhas""), ""Sobrancelhas e Cílios"", REGEXMATCH(LOWER(A200), ""maquia|make""), ""Maquiagem"", RE"&amp;"GEXMATCH(LOWER(A200), ""depil|epil""), ""Depilação"", REGEXMATCH(LOWER(A200), ""esmalteria|unha|nail|manicur|spa dos p[eé]s|kauu_nhas""), ""Manicure - Esmalteria"", REGEXMATCH(LOWER(A200), ""est[eé]tic|bronze|massot|terap|pilates|revitalize|dra""), ""Clín"&amp;"ica de Estética"", TRUE, ""Salão de Beleza""))"),"Manicure - Esmalteria")</f>
        <v>Manicure - Esmalteria</v>
      </c>
    </row>
    <row r="201">
      <c r="A201" s="1" t="s">
        <v>1289</v>
      </c>
      <c r="B201" s="1" t="s">
        <v>1290</v>
      </c>
      <c r="C201" s="1" t="s">
        <v>1291</v>
      </c>
      <c r="D201" s="1" t="s">
        <v>1292</v>
      </c>
      <c r="E201" s="1" t="s">
        <v>1293</v>
      </c>
      <c r="F201" s="1" t="s">
        <v>1294</v>
      </c>
      <c r="G201" s="3" t="str">
        <f>IFERROR(__xludf.DUMMYFUNCTION("AI(""Preencha um valor adequado para esta célula com base no contexto da tabela"")"),"Caxias -MA")</f>
        <v>Caxias -MA</v>
      </c>
      <c r="H201" s="2" t="s">
        <v>1295</v>
      </c>
      <c r="I201" s="3" t="str">
        <f>IFERROR(__xludf.DUMMYFUNCTION("IF(A201="""", """", IFS(REGEXMATCH(LOWER(A201), ""barbearia|barber""), ""Barbearia"", REGEXMATCH(LOWER(A201), ""sobrancelh|c[ií]lio|lash|micropigment|showbrancelhas""), ""Sobrancelhas e Cílios"", REGEXMATCH(LOWER(A201), ""maquia|make""), ""Maquiagem"", RE"&amp;"GEXMATCH(LOWER(A201), ""depil|epil""), ""Depilação"", REGEXMATCH(LOWER(A201), ""esmalteria|unha|nail|manicur|spa dos p[eé]s|kauu_nhas""), ""Manicure - Esmalteria"", REGEXMATCH(LOWER(A201), ""est[eé]tic|bronze|massot|terap|pilates|revitalize|dra""), ""Clín"&amp;"ica de Estética"", TRUE, ""Salão de Beleza""))"),"Manicure - Esmalteria")</f>
        <v>Manicure - Esmalteria</v>
      </c>
    </row>
    <row r="202">
      <c r="A202" s="1" t="s">
        <v>1296</v>
      </c>
      <c r="B202" s="1" t="s">
        <v>1297</v>
      </c>
      <c r="C202" s="1" t="s">
        <v>1298</v>
      </c>
      <c r="D202" s="1" t="s">
        <v>1299</v>
      </c>
      <c r="E202" s="1" t="s">
        <v>1300</v>
      </c>
      <c r="F202" s="1" t="s">
        <v>1301</v>
      </c>
      <c r="G202" s="3" t="str">
        <f>IFERROR(__xludf.DUMMYFUNCTION("AI(""Preencha um valor adequado para esta célula com base no contexto da tabela"")"),"Caxias -MA")</f>
        <v>Caxias -MA</v>
      </c>
      <c r="H202" s="2" t="s">
        <v>1302</v>
      </c>
      <c r="I202" s="3" t="str">
        <f>IFERROR(__xludf.DUMMYFUNCTION("IF(A202="""", """", IFS(REGEXMATCH(LOWER(A202), ""barbearia|barber""), ""Barbearia"", REGEXMATCH(LOWER(A202), ""sobrancelh|c[ií]lio|lash|micropigment|showbrancelhas""), ""Sobrancelhas e Cílios"", REGEXMATCH(LOWER(A202), ""maquia|make""), ""Maquiagem"", RE"&amp;"GEXMATCH(LOWER(A202), ""depil|epil""), ""Depilação"", REGEXMATCH(LOWER(A202), ""esmalteria|unha|nail|manicur|spa dos p[eé]s|kauu_nhas""), ""Manicure - Esmalteria"", REGEXMATCH(LOWER(A202), ""est[eé]tic|bronze|massot|terap|pilates|revitalize|dra""), ""Clín"&amp;"ica de Estética"", TRUE, ""Salão de Beleza""))"),"Salão de Beleza")</f>
        <v>Salão de Beleza</v>
      </c>
    </row>
    <row r="203">
      <c r="A203" s="1" t="s">
        <v>1303</v>
      </c>
      <c r="D203" s="1" t="s">
        <v>1304</v>
      </c>
      <c r="E203" s="1" t="s">
        <v>1305</v>
      </c>
      <c r="F203" s="1" t="s">
        <v>1306</v>
      </c>
      <c r="G203" s="3" t="str">
        <f>IFERROR(__xludf.DUMMYFUNCTION("AI(""Preencha um valor adequado para esta célula com base no contexto da tabela"")"),"Caxias -MA")</f>
        <v>Caxias -MA</v>
      </c>
      <c r="H203" s="2" t="s">
        <v>1307</v>
      </c>
      <c r="I203" s="3" t="str">
        <f>IFERROR(__xludf.DUMMYFUNCTION("IF(A203="""", """", IFS(REGEXMATCH(LOWER(A203), ""barbearia|barber""), ""Barbearia"", REGEXMATCH(LOWER(A203), ""sobrancelh|c[ií]lio|lash|micropigment|showbrancelhas""), ""Sobrancelhas e Cílios"", REGEXMATCH(LOWER(A203), ""maquia|make""), ""Maquiagem"", RE"&amp;"GEXMATCH(LOWER(A203), ""depil|epil""), ""Depilação"", REGEXMATCH(LOWER(A203), ""esmalteria|unha|nail|manicur|spa dos p[eé]s|kauu_nhas""), ""Manicure - Esmalteria"", REGEXMATCH(LOWER(A203), ""est[eé]tic|bronze|massot|terap|pilates|revitalize|dra""), ""Clín"&amp;"ica de Estética"", TRUE, ""Salão de Beleza""))"),"Manicure - Esmalteria")</f>
        <v>Manicure - Esmalteria</v>
      </c>
    </row>
    <row r="204">
      <c r="A204" s="1" t="s">
        <v>1308</v>
      </c>
      <c r="B204" s="1" t="s">
        <v>1309</v>
      </c>
      <c r="C204" s="1" t="s">
        <v>1310</v>
      </c>
      <c r="D204" s="1" t="s">
        <v>1311</v>
      </c>
      <c r="E204" s="1" t="s">
        <v>1312</v>
      </c>
      <c r="F204" s="1" t="s">
        <v>1313</v>
      </c>
      <c r="G204" s="3" t="str">
        <f>IFERROR(__xludf.DUMMYFUNCTION("AI(""Preencha um valor adequado para esta célula com base no contexto da tabela"")"),"Caxias -MA")</f>
        <v>Caxias -MA</v>
      </c>
      <c r="H204" s="2" t="s">
        <v>1314</v>
      </c>
      <c r="I204" s="3" t="str">
        <f>IFERROR(__xludf.DUMMYFUNCTION("IF(A204="""", """", IFS(REGEXMATCH(LOWER(A204), ""barbearia|barber""), ""Barbearia"", REGEXMATCH(LOWER(A204), ""sobrancelh|c[ií]lio|lash|micropigment|showbrancelhas""), ""Sobrancelhas e Cílios"", REGEXMATCH(LOWER(A204), ""maquia|make""), ""Maquiagem"", RE"&amp;"GEXMATCH(LOWER(A204), ""depil|epil""), ""Depilação"", REGEXMATCH(LOWER(A204), ""esmalteria|unha|nail|manicur|spa dos p[eé]s|kauu_nhas""), ""Manicure - Esmalteria"", REGEXMATCH(LOWER(A204), ""est[eé]tic|bronze|massot|terap|pilates|revitalize|dra""), ""Clín"&amp;"ica de Estética"", TRUE, ""Salão de Beleza""))"),"Manicure - Esmalteria")</f>
        <v>Manicure - Esmalteria</v>
      </c>
    </row>
    <row r="205">
      <c r="A205" s="1" t="s">
        <v>1315</v>
      </c>
      <c r="B205" s="1" t="s">
        <v>1316</v>
      </c>
      <c r="C205" s="1" t="s">
        <v>1317</v>
      </c>
      <c r="D205" s="1" t="s">
        <v>1318</v>
      </c>
      <c r="E205" s="1" t="s">
        <v>1319</v>
      </c>
      <c r="F205" s="1" t="s">
        <v>1320</v>
      </c>
      <c r="G205" s="3" t="str">
        <f>IFERROR(__xludf.DUMMYFUNCTION("AI(""Preencha um valor adequado para esta célula com base no contexto da tabela"")"),"Caxias -MA")</f>
        <v>Caxias -MA</v>
      </c>
      <c r="H205" s="2" t="s">
        <v>1321</v>
      </c>
      <c r="I205" s="3" t="str">
        <f>IFERROR(__xludf.DUMMYFUNCTION("IF(A205="""", """", IFS(REGEXMATCH(LOWER(A205), ""barbearia|barber""), ""Barbearia"", REGEXMATCH(LOWER(A205), ""sobrancelh|c[ií]lio|lash|micropigment|showbrancelhas""), ""Sobrancelhas e Cílios"", REGEXMATCH(LOWER(A205), ""maquia|make""), ""Maquiagem"", RE"&amp;"GEXMATCH(LOWER(A205), ""depil|epil""), ""Depilação"", REGEXMATCH(LOWER(A205), ""esmalteria|unha|nail|manicur|spa dos p[eé]s|kauu_nhas""), ""Manicure - Esmalteria"", REGEXMATCH(LOWER(A205), ""est[eé]tic|bronze|massot|terap|pilates|revitalize|dra""), ""Clín"&amp;"ica de Estética"", TRUE, ""Salão de Beleza""))"),"Salão de Beleza")</f>
        <v>Salão de Beleza</v>
      </c>
    </row>
    <row r="206">
      <c r="A206" s="1" t="s">
        <v>1322</v>
      </c>
      <c r="B206" s="1" t="s">
        <v>1323</v>
      </c>
      <c r="C206" s="1" t="s">
        <v>1324</v>
      </c>
      <c r="D206" s="1" t="s">
        <v>1325</v>
      </c>
      <c r="E206" s="1" t="s">
        <v>1326</v>
      </c>
      <c r="F206" s="1" t="s">
        <v>1327</v>
      </c>
      <c r="G206" s="3" t="str">
        <f>IFERROR(__xludf.DUMMYFUNCTION("AI(""Preencha um valor adequado para esta célula com base no contexto da tabela"")"),"Caxias -MA")</f>
        <v>Caxias -MA</v>
      </c>
      <c r="H206" s="2" t="s">
        <v>1328</v>
      </c>
      <c r="I206" s="3" t="str">
        <f>IFERROR(__xludf.DUMMYFUNCTION("IF(A206="""", """", IFS(REGEXMATCH(LOWER(A206), ""barbearia|barber""), ""Barbearia"", REGEXMATCH(LOWER(A206), ""sobrancelh|c[ií]lio|lash|micropigment|showbrancelhas""), ""Sobrancelhas e Cílios"", REGEXMATCH(LOWER(A206), ""maquia|make""), ""Maquiagem"", RE"&amp;"GEXMATCH(LOWER(A206), ""depil|epil""), ""Depilação"", REGEXMATCH(LOWER(A206), ""esmalteria|unha|nail|manicur|spa dos p[eé]s|kauu_nhas""), ""Manicure - Esmalteria"", REGEXMATCH(LOWER(A206), ""est[eé]tic|bronze|massot|terap|pilates|revitalize|dra""), ""Clín"&amp;"ica de Estética"", TRUE, ""Salão de Beleza""))"),"Sobrancelhas e Cílios")</f>
        <v>Sobrancelhas e Cílios</v>
      </c>
    </row>
    <row r="207">
      <c r="A207" s="1" t="s">
        <v>1329</v>
      </c>
      <c r="D207" s="1" t="s">
        <v>190</v>
      </c>
      <c r="E207" s="1" t="s">
        <v>1330</v>
      </c>
      <c r="F207" s="1" t="s">
        <v>1331</v>
      </c>
      <c r="G207" s="3" t="str">
        <f>IFERROR(__xludf.DUMMYFUNCTION("AI(""Preencha um valor adequado para esta célula com base no contexto da tabela"")"),"Caxias -MA")</f>
        <v>Caxias -MA</v>
      </c>
      <c r="H207" s="2" t="s">
        <v>1332</v>
      </c>
      <c r="I207" s="3" t="str">
        <f>IFERROR(__xludf.DUMMYFUNCTION("IF(A207="""", """", IFS(REGEXMATCH(LOWER(A207), ""barbearia|barber""), ""Barbearia"", REGEXMATCH(LOWER(A207), ""sobrancelh|c[ií]lio|lash|micropigment|showbrancelhas""), ""Sobrancelhas e Cílios"", REGEXMATCH(LOWER(A207), ""maquia|make""), ""Maquiagem"", RE"&amp;"GEXMATCH(LOWER(A207), ""depil|epil""), ""Depilação"", REGEXMATCH(LOWER(A207), ""esmalteria|unha|nail|manicur|spa dos p[eé]s|kauu_nhas""), ""Manicure - Esmalteria"", REGEXMATCH(LOWER(A207), ""est[eé]tic|bronze|massot|terap|pilates|revitalize|dra""), ""Clín"&amp;"ica de Estética"", TRUE, ""Salão de Beleza""))"),"Salão de Beleza")</f>
        <v>Salão de Beleza</v>
      </c>
    </row>
    <row r="208">
      <c r="A208" s="1" t="s">
        <v>1333</v>
      </c>
      <c r="B208" s="1" t="s">
        <v>1334</v>
      </c>
      <c r="C208" s="1" t="s">
        <v>1335</v>
      </c>
      <c r="D208" s="1" t="s">
        <v>1336</v>
      </c>
      <c r="E208" s="1" t="s">
        <v>1337</v>
      </c>
      <c r="F208" s="1" t="s">
        <v>1338</v>
      </c>
      <c r="G208" s="3" t="str">
        <f>IFERROR(__xludf.DUMMYFUNCTION("AI(""Preencha um valor adequado para esta célula com base no contexto da tabela"")"),"Caxias -MA")</f>
        <v>Caxias -MA</v>
      </c>
      <c r="H208" s="2" t="s">
        <v>1339</v>
      </c>
      <c r="I208" s="3" t="str">
        <f>IFERROR(__xludf.DUMMYFUNCTION("IF(A208="""", """", IFS(REGEXMATCH(LOWER(A208), ""barbearia|barber""), ""Barbearia"", REGEXMATCH(LOWER(A208), ""sobrancelh|c[ií]lio|lash|micropigment|showbrancelhas""), ""Sobrancelhas e Cílios"", REGEXMATCH(LOWER(A208), ""maquia|make""), ""Maquiagem"", RE"&amp;"GEXMATCH(LOWER(A208), ""depil|epil""), ""Depilação"", REGEXMATCH(LOWER(A208), ""esmalteria|unha|nail|manicur|spa dos p[eé]s|kauu_nhas""), ""Manicure - Esmalteria"", REGEXMATCH(LOWER(A208), ""est[eé]tic|bronze|massot|terap|pilates|revitalize|dra""), ""Clín"&amp;"ica de Estética"", TRUE, ""Salão de Beleza""))"),"Manicure - Esmalteria")</f>
        <v>Manicure - Esmalteria</v>
      </c>
    </row>
    <row r="209">
      <c r="A209" s="1" t="s">
        <v>1340</v>
      </c>
      <c r="B209" s="1" t="s">
        <v>1341</v>
      </c>
      <c r="C209" s="1" t="s">
        <v>1342</v>
      </c>
      <c r="D209" s="1" t="s">
        <v>1343</v>
      </c>
      <c r="E209" s="1" t="s">
        <v>1344</v>
      </c>
      <c r="F209" s="1" t="s">
        <v>1345</v>
      </c>
      <c r="G209" s="3" t="str">
        <f>IFERROR(__xludf.DUMMYFUNCTION("AI(""Preencha um valor adequado para esta célula com base no contexto da tabela"")"),"Caxias -MA")</f>
        <v>Caxias -MA</v>
      </c>
      <c r="H209" s="2" t="s">
        <v>1346</v>
      </c>
      <c r="I209" s="3" t="str">
        <f>IFERROR(__xludf.DUMMYFUNCTION("IF(A209="""", """", IFS(REGEXMATCH(LOWER(A209), ""barbearia|barber""), ""Barbearia"", REGEXMATCH(LOWER(A209), ""sobrancelh|c[ií]lio|lash|micropigment|showbrancelhas""), ""Sobrancelhas e Cílios"", REGEXMATCH(LOWER(A209), ""maquia|make""), ""Maquiagem"", RE"&amp;"GEXMATCH(LOWER(A209), ""depil|epil""), ""Depilação"", REGEXMATCH(LOWER(A209), ""esmalteria|unha|nail|manicur|spa dos p[eé]s|kauu_nhas""), ""Manicure - Esmalteria"", REGEXMATCH(LOWER(A209), ""est[eé]tic|bronze|massot|terap|pilates|revitalize|dra""), ""Clín"&amp;"ica de Estética"", TRUE, ""Salão de Beleza""))"),"Manicure - Esmalteria")</f>
        <v>Manicure - Esmalteria</v>
      </c>
    </row>
    <row r="210">
      <c r="A210" s="1" t="s">
        <v>1347</v>
      </c>
      <c r="B210" s="1" t="s">
        <v>1348</v>
      </c>
      <c r="C210" s="1" t="s">
        <v>1349</v>
      </c>
      <c r="D210" s="1" t="s">
        <v>1350</v>
      </c>
      <c r="E210" s="1" t="s">
        <v>1351</v>
      </c>
      <c r="F210" s="1" t="s">
        <v>1352</v>
      </c>
      <c r="G210" s="3" t="str">
        <f>IFERROR(__xludf.DUMMYFUNCTION("AI(""Preencha um valor adequado para esta célula com base no contexto da tabela"")"),"Caxias -MA")</f>
        <v>Caxias -MA</v>
      </c>
      <c r="H210" s="2" t="s">
        <v>1353</v>
      </c>
      <c r="I210" s="3" t="str">
        <f>IFERROR(__xludf.DUMMYFUNCTION("IF(A210="""", """", IFS(REGEXMATCH(LOWER(A210), ""barbearia|barber""), ""Barbearia"", REGEXMATCH(LOWER(A210), ""sobrancelh|c[ií]lio|lash|micropigment|showbrancelhas""), ""Sobrancelhas e Cílios"", REGEXMATCH(LOWER(A210), ""maquia|make""), ""Maquiagem"", RE"&amp;"GEXMATCH(LOWER(A210), ""depil|epil""), ""Depilação"", REGEXMATCH(LOWER(A210), ""esmalteria|unha|nail|manicur|spa dos p[eé]s|kauu_nhas""), ""Manicure - Esmalteria"", REGEXMATCH(LOWER(A210), ""est[eé]tic|bronze|massot|terap|pilates|revitalize|dra""), ""Clín"&amp;"ica de Estética"", TRUE, ""Salão de Beleza""))"),"Manicure - Esmalteria")</f>
        <v>Manicure - Esmalteria</v>
      </c>
    </row>
    <row r="211">
      <c r="A211" s="1" t="s">
        <v>1354</v>
      </c>
      <c r="B211" s="1" t="s">
        <v>1355</v>
      </c>
      <c r="C211" s="1" t="s">
        <v>1356</v>
      </c>
      <c r="D211" s="1" t="s">
        <v>1357</v>
      </c>
      <c r="E211" s="1" t="s">
        <v>1358</v>
      </c>
      <c r="F211" s="1" t="s">
        <v>1359</v>
      </c>
      <c r="G211" s="3" t="str">
        <f>IFERROR(__xludf.DUMMYFUNCTION("AI(""Preencha um valor adequado para esta célula com base no contexto da tabela"")"),"Caxias -MA")</f>
        <v>Caxias -MA</v>
      </c>
      <c r="H211" s="2" t="s">
        <v>1360</v>
      </c>
      <c r="I211" s="3" t="str">
        <f>IFERROR(__xludf.DUMMYFUNCTION("IF(A211="""", """", IFS(REGEXMATCH(LOWER(A211), ""barbearia|barber""), ""Barbearia"", REGEXMATCH(LOWER(A211), ""sobrancelh|c[ií]lio|lash|micropigment|showbrancelhas""), ""Sobrancelhas e Cílios"", REGEXMATCH(LOWER(A211), ""maquia|make""), ""Maquiagem"", RE"&amp;"GEXMATCH(LOWER(A211), ""depil|epil""), ""Depilação"", REGEXMATCH(LOWER(A211), ""esmalteria|unha|nail|manicur|spa dos p[eé]s|kauu_nhas""), ""Manicure - Esmalteria"", REGEXMATCH(LOWER(A211), ""est[eé]tic|bronze|massot|terap|pilates|revitalize|dra""), ""Clín"&amp;"ica de Estética"", TRUE, ""Salão de Beleza""))"),"Salão de Beleza")</f>
        <v>Salão de Beleza</v>
      </c>
    </row>
    <row r="212">
      <c r="A212" s="1" t="s">
        <v>1361</v>
      </c>
      <c r="B212" s="1" t="s">
        <v>1362</v>
      </c>
      <c r="C212" s="1" t="s">
        <v>1363</v>
      </c>
      <c r="D212" s="1" t="s">
        <v>1364</v>
      </c>
      <c r="E212" s="1" t="s">
        <v>1365</v>
      </c>
      <c r="F212" s="1" t="s">
        <v>1366</v>
      </c>
      <c r="G212" s="3" t="str">
        <f>IFERROR(__xludf.DUMMYFUNCTION("AI(""Preencha um valor adequado para esta célula com base no contexto da tabela"")"),"Caxias -MA")</f>
        <v>Caxias -MA</v>
      </c>
      <c r="H212" s="2" t="s">
        <v>1367</v>
      </c>
      <c r="I212" s="3" t="str">
        <f>IFERROR(__xludf.DUMMYFUNCTION("IF(A212="""", """", IFS(REGEXMATCH(LOWER(A212), ""barbearia|barber""), ""Barbearia"", REGEXMATCH(LOWER(A212), ""sobrancelh|c[ií]lio|lash|micropigment|showbrancelhas""), ""Sobrancelhas e Cílios"", REGEXMATCH(LOWER(A212), ""maquia|make""), ""Maquiagem"", RE"&amp;"GEXMATCH(LOWER(A212), ""depil|epil""), ""Depilação"", REGEXMATCH(LOWER(A212), ""esmalteria|unha|nail|manicur|spa dos p[eé]s|kauu_nhas""), ""Manicure - Esmalteria"", REGEXMATCH(LOWER(A212), ""est[eé]tic|bronze|massot|terap|pilates|revitalize|dra""), ""Clín"&amp;"ica de Estética"", TRUE, ""Salão de Beleza""))"),"Manicure - Esmalteria")</f>
        <v>Manicure - Esmalteria</v>
      </c>
    </row>
    <row r="213">
      <c r="A213" s="1" t="s">
        <v>1368</v>
      </c>
      <c r="D213" s="1" t="s">
        <v>1369</v>
      </c>
      <c r="E213" s="1" t="s">
        <v>1370</v>
      </c>
      <c r="F213" s="1" t="s">
        <v>1371</v>
      </c>
      <c r="G213" s="3" t="str">
        <f>IFERROR(__xludf.DUMMYFUNCTION("AI(""Preencha um valor adequado para esta célula com base no contexto da tabela"")"),"Caxias -MA")</f>
        <v>Caxias -MA</v>
      </c>
      <c r="H213" s="2" t="s">
        <v>1372</v>
      </c>
      <c r="I213" s="3" t="str">
        <f>IFERROR(__xludf.DUMMYFUNCTION("IF(A213="""", """", IFS(REGEXMATCH(LOWER(A213), ""barbearia|barber""), ""Barbearia"", REGEXMATCH(LOWER(A213), ""sobrancelh|c[ií]lio|lash|micropigment|showbrancelhas""), ""Sobrancelhas e Cílios"", REGEXMATCH(LOWER(A213), ""maquia|make""), ""Maquiagem"", RE"&amp;"GEXMATCH(LOWER(A213), ""depil|epil""), ""Depilação"", REGEXMATCH(LOWER(A213), ""esmalteria|unha|nail|manicur|spa dos p[eé]s|kauu_nhas""), ""Manicure - Esmalteria"", REGEXMATCH(LOWER(A213), ""est[eé]tic|bronze|massot|terap|pilates|revitalize|dra""), ""Clín"&amp;"ica de Estética"", TRUE, ""Salão de Beleza""))"),"Manicure - Esmalteria")</f>
        <v>Manicure - Esmalteria</v>
      </c>
    </row>
    <row r="214">
      <c r="A214" s="1" t="s">
        <v>1373</v>
      </c>
      <c r="B214" s="1" t="s">
        <v>1374</v>
      </c>
      <c r="C214" s="1" t="s">
        <v>1375</v>
      </c>
      <c r="D214" s="1" t="s">
        <v>1376</v>
      </c>
      <c r="E214" s="1" t="s">
        <v>1377</v>
      </c>
      <c r="F214" s="1" t="s">
        <v>1378</v>
      </c>
      <c r="G214" s="3" t="str">
        <f>IFERROR(__xludf.DUMMYFUNCTION("AI(""Preencha um valor adequado para esta célula com base no contexto da tabela"")"),"Caxias -MA")</f>
        <v>Caxias -MA</v>
      </c>
      <c r="H214" s="2" t="s">
        <v>1379</v>
      </c>
      <c r="I214" s="3" t="str">
        <f>IFERROR(__xludf.DUMMYFUNCTION("IF(A214="""", """", IFS(REGEXMATCH(LOWER(A214), ""barbearia|barber""), ""Barbearia"", REGEXMATCH(LOWER(A214), ""sobrancelh|c[ií]lio|lash|micropigment|showbrancelhas""), ""Sobrancelhas e Cílios"", REGEXMATCH(LOWER(A214), ""maquia|make""), ""Maquiagem"", RE"&amp;"GEXMATCH(LOWER(A214), ""depil|epil""), ""Depilação"", REGEXMATCH(LOWER(A214), ""esmalteria|unha|nail|manicur|spa dos p[eé]s|kauu_nhas""), ""Manicure - Esmalteria"", REGEXMATCH(LOWER(A214), ""est[eé]tic|bronze|massot|terap|pilates|revitalize|dra""), ""Clín"&amp;"ica de Estética"", TRUE, ""Salão de Beleza""))"),"Manicure - Esmalteria")</f>
        <v>Manicure - Esmalteria</v>
      </c>
    </row>
    <row r="215">
      <c r="A215" s="1" t="s">
        <v>1380</v>
      </c>
      <c r="D215" s="1" t="s">
        <v>1381</v>
      </c>
      <c r="E215" s="1" t="s">
        <v>1382</v>
      </c>
      <c r="F215" s="1" t="s">
        <v>1383</v>
      </c>
      <c r="G215" s="3" t="str">
        <f>IFERROR(__xludf.DUMMYFUNCTION("AI(""Preencha um valor adequado para esta célula com base no contexto da tabela"")"),"Caxias -MA")</f>
        <v>Caxias -MA</v>
      </c>
      <c r="H215" s="2" t="s">
        <v>1384</v>
      </c>
      <c r="I215" s="3" t="str">
        <f>IFERROR(__xludf.DUMMYFUNCTION("IF(A215="""", """", IFS(REGEXMATCH(LOWER(A215), ""barbearia|barber""), ""Barbearia"", REGEXMATCH(LOWER(A215), ""sobrancelh|c[ií]lio|lash|micropigment|showbrancelhas""), ""Sobrancelhas e Cílios"", REGEXMATCH(LOWER(A215), ""maquia|make""), ""Maquiagem"", RE"&amp;"GEXMATCH(LOWER(A215), ""depil|epil""), ""Depilação"", REGEXMATCH(LOWER(A215), ""esmalteria|unha|nail|manicur|spa dos p[eé]s|kauu_nhas""), ""Manicure - Esmalteria"", REGEXMATCH(LOWER(A215), ""est[eé]tic|bronze|massot|terap|pilates|revitalize|dra""), ""Clín"&amp;"ica de Estética"", TRUE, ""Salão de Beleza""))"),"Maquiagem")</f>
        <v>Maquiagem</v>
      </c>
    </row>
    <row r="216">
      <c r="A216" s="1" t="s">
        <v>1385</v>
      </c>
      <c r="B216" s="1" t="s">
        <v>1386</v>
      </c>
      <c r="C216" s="1" t="s">
        <v>1387</v>
      </c>
      <c r="D216" s="1" t="s">
        <v>1388</v>
      </c>
      <c r="E216" s="1" t="s">
        <v>1389</v>
      </c>
      <c r="F216" s="1" t="s">
        <v>1390</v>
      </c>
      <c r="G216" s="3" t="str">
        <f>IFERROR(__xludf.DUMMYFUNCTION("AI(""Preencha um valor adequado para esta célula com base no contexto da tabela"")"),"Caxias -MA")</f>
        <v>Caxias -MA</v>
      </c>
      <c r="H216" s="2" t="s">
        <v>1391</v>
      </c>
      <c r="I216" s="3" t="str">
        <f>IFERROR(__xludf.DUMMYFUNCTION("IF(A216="""", """", IFS(REGEXMATCH(LOWER(A216), ""barbearia|barber""), ""Barbearia"", REGEXMATCH(LOWER(A216), ""sobrancelh|c[ií]lio|lash|micropigment|showbrancelhas""), ""Sobrancelhas e Cílios"", REGEXMATCH(LOWER(A216), ""maquia|make""), ""Maquiagem"", RE"&amp;"GEXMATCH(LOWER(A216), ""depil|epil""), ""Depilação"", REGEXMATCH(LOWER(A216), ""esmalteria|unha|nail|manicur|spa dos p[eé]s|kauu_nhas""), ""Manicure - Esmalteria"", REGEXMATCH(LOWER(A216), ""est[eé]tic|bronze|massot|terap|pilates|revitalize|dra""), ""Clín"&amp;"ica de Estética"", TRUE, ""Salão de Beleza""))"),"Sobrancelhas e Cílios")</f>
        <v>Sobrancelhas e Cílios</v>
      </c>
    </row>
    <row r="217">
      <c r="A217" s="1" t="s">
        <v>1392</v>
      </c>
      <c r="D217" s="1" t="s">
        <v>1393</v>
      </c>
      <c r="E217" s="1" t="s">
        <v>1394</v>
      </c>
      <c r="F217" s="1" t="s">
        <v>1395</v>
      </c>
      <c r="G217" s="3" t="str">
        <f>IFERROR(__xludf.DUMMYFUNCTION("AI(""Preencha um valor adequado para esta célula com base no contexto da tabela"")"),"Caxias -MA")</f>
        <v>Caxias -MA</v>
      </c>
      <c r="H217" s="2" t="s">
        <v>1396</v>
      </c>
      <c r="I217" s="3" t="str">
        <f>IFERROR(__xludf.DUMMYFUNCTION("IF(A217="""", """", IFS(REGEXMATCH(LOWER(A217), ""barbearia|barber""), ""Barbearia"", REGEXMATCH(LOWER(A217), ""sobrancelh|c[ií]lio|lash|micropigment|showbrancelhas""), ""Sobrancelhas e Cílios"", REGEXMATCH(LOWER(A217), ""maquia|make""), ""Maquiagem"", RE"&amp;"GEXMATCH(LOWER(A217), ""depil|epil""), ""Depilação"", REGEXMATCH(LOWER(A217), ""esmalteria|unha|nail|manicur|spa dos p[eé]s|kauu_nhas""), ""Manicure - Esmalteria"", REGEXMATCH(LOWER(A217), ""est[eé]tic|bronze|massot|terap|pilates|revitalize|dra""), ""Clín"&amp;"ica de Estética"", TRUE, ""Salão de Beleza""))"),"Salão de Beleza")</f>
        <v>Salão de Beleza</v>
      </c>
    </row>
    <row r="218">
      <c r="A218" s="1" t="s">
        <v>1397</v>
      </c>
      <c r="B218" s="1" t="s">
        <v>1398</v>
      </c>
      <c r="C218" s="1" t="s">
        <v>1399</v>
      </c>
      <c r="D218" s="1" t="s">
        <v>1400</v>
      </c>
      <c r="E218" s="1" t="s">
        <v>1401</v>
      </c>
      <c r="F218" s="1" t="s">
        <v>1402</v>
      </c>
      <c r="G218" s="3" t="str">
        <f>IFERROR(__xludf.DUMMYFUNCTION("AI(""Preencha um valor adequado para esta célula com base no contexto da tabela"")"),"Caxias -MA")</f>
        <v>Caxias -MA</v>
      </c>
      <c r="H218" s="2" t="s">
        <v>1403</v>
      </c>
      <c r="I218" s="3" t="str">
        <f>IFERROR(__xludf.DUMMYFUNCTION("IF(A218="""", """", IFS(REGEXMATCH(LOWER(A218), ""barbearia|barber""), ""Barbearia"", REGEXMATCH(LOWER(A218), ""sobrancelh|c[ií]lio|lash|micropigment|showbrancelhas""), ""Sobrancelhas e Cílios"", REGEXMATCH(LOWER(A218), ""maquia|make""), ""Maquiagem"", RE"&amp;"GEXMATCH(LOWER(A218), ""depil|epil""), ""Depilação"", REGEXMATCH(LOWER(A218), ""esmalteria|unha|nail|manicur|spa dos p[eé]s|kauu_nhas""), ""Manicure - Esmalteria"", REGEXMATCH(LOWER(A218), ""est[eé]tic|bronze|massot|terap|pilates|revitalize|dra""), ""Clín"&amp;"ica de Estética"", TRUE, ""Salão de Beleza""))"),"Manicure - Esmalteria")</f>
        <v>Manicure - Esmalteria</v>
      </c>
    </row>
    <row r="219">
      <c r="A219" s="1" t="s">
        <v>461</v>
      </c>
      <c r="B219" s="1" t="s">
        <v>462</v>
      </c>
      <c r="C219" s="1" t="s">
        <v>463</v>
      </c>
      <c r="E219" s="1" t="s">
        <v>1052</v>
      </c>
      <c r="F219" s="1" t="s">
        <v>1053</v>
      </c>
      <c r="G219" s="3" t="str">
        <f>IFERROR(__xludf.DUMMYFUNCTION("AI(""Preencha um valor adequado para esta célula com base no contexto da tabela"")"),"Caxias -MA")</f>
        <v>Caxias -MA</v>
      </c>
      <c r="H219" s="2" t="s">
        <v>1404</v>
      </c>
      <c r="I219" s="3" t="str">
        <f>IFERROR(__xludf.DUMMYFUNCTION("IF(A219="""", """", IFS(REGEXMATCH(LOWER(A219), ""barbearia|barber""), ""Barbearia"", REGEXMATCH(LOWER(A219), ""sobrancelh|c[ií]lio|lash|micropigment|showbrancelhas""), ""Sobrancelhas e Cílios"", REGEXMATCH(LOWER(A219), ""maquia|make""), ""Maquiagem"", RE"&amp;"GEXMATCH(LOWER(A219), ""depil|epil""), ""Depilação"", REGEXMATCH(LOWER(A219), ""esmalteria|unha|nail|manicur|spa dos p[eé]s|kauu_nhas""), ""Manicure - Esmalteria"", REGEXMATCH(LOWER(A219), ""est[eé]tic|bronze|massot|terap|pilates|revitalize|dra""), ""Clín"&amp;"ica de Estética"", TRUE, ""Salão de Beleza""))"),"Salão de Beleza")</f>
        <v>Salão de Beleza</v>
      </c>
    </row>
    <row r="220">
      <c r="A220" s="1" t="s">
        <v>1405</v>
      </c>
      <c r="D220" s="1" t="s">
        <v>1406</v>
      </c>
      <c r="E220" s="1" t="s">
        <v>1407</v>
      </c>
      <c r="F220" s="1" t="s">
        <v>1408</v>
      </c>
      <c r="G220" s="3" t="str">
        <f>IFERROR(__xludf.DUMMYFUNCTION("AI(""Preencha um valor adequado para esta célula com base no contexto da tabela"")"),"Caxias -MA")</f>
        <v>Caxias -MA</v>
      </c>
      <c r="H220" s="2" t="s">
        <v>1409</v>
      </c>
      <c r="I220" s="3" t="str">
        <f>IFERROR(__xludf.DUMMYFUNCTION("IF(A220="""", """", IFS(REGEXMATCH(LOWER(A220), ""barbearia|barber""), ""Barbearia"", REGEXMATCH(LOWER(A220), ""sobrancelh|c[ií]lio|lash|micropigment|showbrancelhas""), ""Sobrancelhas e Cílios"", REGEXMATCH(LOWER(A220), ""maquia|make""), ""Maquiagem"", RE"&amp;"GEXMATCH(LOWER(A220), ""depil|epil""), ""Depilação"", REGEXMATCH(LOWER(A220), ""esmalteria|unha|nail|manicur|spa dos p[eé]s|kauu_nhas""), ""Manicure - Esmalteria"", REGEXMATCH(LOWER(A220), ""est[eé]tic|bronze|massot|terap|pilates|revitalize|dra""), ""Clín"&amp;"ica de Estética"", TRUE, ""Salão de Beleza""))"),"Salão de Beleza")</f>
        <v>Salão de Beleza</v>
      </c>
    </row>
    <row r="221">
      <c r="A221" s="1" t="s">
        <v>1410</v>
      </c>
      <c r="D221" s="1" t="s">
        <v>1411</v>
      </c>
      <c r="E221" s="1" t="s">
        <v>1412</v>
      </c>
      <c r="F221" s="1" t="s">
        <v>1413</v>
      </c>
      <c r="G221" s="3" t="str">
        <f>IFERROR(__xludf.DUMMYFUNCTION("AI(""Preencha um valor adequado para esta célula com base no contexto da tabela"")"),"Caxias -MA")</f>
        <v>Caxias -MA</v>
      </c>
      <c r="H221" s="2" t="s">
        <v>1414</v>
      </c>
      <c r="I221" s="3" t="str">
        <f>IFERROR(__xludf.DUMMYFUNCTION("IF(A221="""", """", IFS(REGEXMATCH(LOWER(A221), ""barbearia|barber""), ""Barbearia"", REGEXMATCH(LOWER(A221), ""sobrancelh|c[ií]lio|lash|micropigment|showbrancelhas""), ""Sobrancelhas e Cílios"", REGEXMATCH(LOWER(A221), ""maquia|make""), ""Maquiagem"", RE"&amp;"GEXMATCH(LOWER(A221), ""depil|epil""), ""Depilação"", REGEXMATCH(LOWER(A221), ""esmalteria|unha|nail|manicur|spa dos p[eé]s|kauu_nhas""), ""Manicure - Esmalteria"", REGEXMATCH(LOWER(A221), ""est[eé]tic|bronze|massot|terap|pilates|revitalize|dra""), ""Clín"&amp;"ica de Estética"", TRUE, ""Salão de Beleza""))"),"Salão de Beleza")</f>
        <v>Salão de Beleza</v>
      </c>
    </row>
    <row r="222">
      <c r="A222" s="1" t="s">
        <v>1415</v>
      </c>
      <c r="B222" s="1" t="s">
        <v>1416</v>
      </c>
      <c r="C222" s="1" t="s">
        <v>1417</v>
      </c>
      <c r="D222" s="1" t="s">
        <v>1418</v>
      </c>
      <c r="E222" s="1" t="s">
        <v>1419</v>
      </c>
      <c r="F222" s="1" t="s">
        <v>1420</v>
      </c>
      <c r="G222" s="3" t="str">
        <f>IFERROR(__xludf.DUMMYFUNCTION("AI(""Preencha um valor adequado para esta célula com base no contexto da tabela"")"),"Caxias -MA")</f>
        <v>Caxias -MA</v>
      </c>
      <c r="H222" s="2" t="s">
        <v>1421</v>
      </c>
      <c r="I222" s="3" t="str">
        <f>IFERROR(__xludf.DUMMYFUNCTION("IF(A222="""", """", IFS(REGEXMATCH(LOWER(A222), ""barbearia|barber""), ""Barbearia"", REGEXMATCH(LOWER(A222), ""sobrancelh|c[ií]lio|lash|micropigment|showbrancelhas""), ""Sobrancelhas e Cílios"", REGEXMATCH(LOWER(A222), ""maquia|make""), ""Maquiagem"", RE"&amp;"GEXMATCH(LOWER(A222), ""depil|epil""), ""Depilação"", REGEXMATCH(LOWER(A222), ""esmalteria|unha|nail|manicur|spa dos p[eé]s|kauu_nhas""), ""Manicure - Esmalteria"", REGEXMATCH(LOWER(A222), ""est[eé]tic|bronze|massot|terap|pilates|revitalize|dra""), ""Clín"&amp;"ica de Estética"", TRUE, ""Salão de Beleza""))"),"Salão de Beleza")</f>
        <v>Salão de Beleza</v>
      </c>
    </row>
    <row r="223">
      <c r="A223" s="1" t="s">
        <v>1422</v>
      </c>
      <c r="B223" s="1" t="s">
        <v>1423</v>
      </c>
      <c r="C223" s="1" t="s">
        <v>1424</v>
      </c>
      <c r="D223" s="1" t="s">
        <v>1425</v>
      </c>
      <c r="E223" s="1" t="s">
        <v>1426</v>
      </c>
      <c r="F223" s="1" t="s">
        <v>1427</v>
      </c>
      <c r="G223" s="3" t="str">
        <f>IFERROR(__xludf.DUMMYFUNCTION("AI(""Preencha um valor adequado para esta célula com base no contexto da tabela"")"),"Caxias -MA")</f>
        <v>Caxias -MA</v>
      </c>
      <c r="H223" s="2" t="s">
        <v>1428</v>
      </c>
      <c r="I223" s="3" t="str">
        <f>IFERROR(__xludf.DUMMYFUNCTION("IF(A223="""", """", IFS(REGEXMATCH(LOWER(A223), ""barbearia|barber""), ""Barbearia"", REGEXMATCH(LOWER(A223), ""sobrancelh|c[ií]lio|lash|micropigment|showbrancelhas""), ""Sobrancelhas e Cílios"", REGEXMATCH(LOWER(A223), ""maquia|make""), ""Maquiagem"", RE"&amp;"GEXMATCH(LOWER(A223), ""depil|epil""), ""Depilação"", REGEXMATCH(LOWER(A223), ""esmalteria|unha|nail|manicur|spa dos p[eé]s|kauu_nhas""), ""Manicure - Esmalteria"", REGEXMATCH(LOWER(A223), ""est[eé]tic|bronze|massot|terap|pilates|revitalize|dra""), ""Clín"&amp;"ica de Estética"", TRUE, ""Salão de Beleza""))"),"Salão de Beleza")</f>
        <v>Salão de Beleza</v>
      </c>
    </row>
    <row r="224">
      <c r="A224" s="1" t="s">
        <v>1429</v>
      </c>
      <c r="D224" s="1" t="s">
        <v>1430</v>
      </c>
      <c r="E224" s="1" t="s">
        <v>1431</v>
      </c>
      <c r="F224" s="1" t="s">
        <v>1432</v>
      </c>
      <c r="G224" s="3" t="str">
        <f>IFERROR(__xludf.DUMMYFUNCTION("AI(""Preencha um valor adequado para esta célula com base no contexto da tabela"")"),"Caxias -MA")</f>
        <v>Caxias -MA</v>
      </c>
      <c r="H224" s="2" t="s">
        <v>1433</v>
      </c>
      <c r="I224" s="3" t="str">
        <f>IFERROR(__xludf.DUMMYFUNCTION("IF(A224="""", """", IFS(REGEXMATCH(LOWER(A224), ""barbearia|barber""), ""Barbearia"", REGEXMATCH(LOWER(A224), ""sobrancelh|c[ií]lio|lash|micropigment|showbrancelhas""), ""Sobrancelhas e Cílios"", REGEXMATCH(LOWER(A224), ""maquia|make""), ""Maquiagem"", RE"&amp;"GEXMATCH(LOWER(A224), ""depil|epil""), ""Depilação"", REGEXMATCH(LOWER(A224), ""esmalteria|unha|nail|manicur|spa dos p[eé]s|kauu_nhas""), ""Manicure - Esmalteria"", REGEXMATCH(LOWER(A224), ""est[eé]tic|bronze|massot|terap|pilates|revitalize|dra""), ""Clín"&amp;"ica de Estética"", TRUE, ""Salão de Beleza""))"),"Salão de Beleza")</f>
        <v>Salão de Beleza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</hyperlinks>
  <drawing r:id="rId224"/>
</worksheet>
</file>