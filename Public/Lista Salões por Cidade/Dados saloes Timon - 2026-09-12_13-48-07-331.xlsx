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Timon - 2026-09-12" sheetId="1" r:id="rId5"/>
  </sheets>
  <definedNames/>
  <calcPr/>
</workbook>
</file>

<file path=xl/sharedStrings.xml><?xml version="1.0" encoding="utf-8"?>
<sst xmlns="http://schemas.openxmlformats.org/spreadsheetml/2006/main" count="3578" uniqueCount="3495">
  <si>
    <t>Salão</t>
  </si>
  <si>
    <t>telefone</t>
  </si>
  <si>
    <t>phoneUnformatted</t>
  </si>
  <si>
    <t>address</t>
  </si>
  <si>
    <t>latitude</t>
  </si>
  <si>
    <t>longitude</t>
  </si>
  <si>
    <t>Cidade</t>
  </si>
  <si>
    <t>url</t>
  </si>
  <si>
    <t>endereço</t>
  </si>
  <si>
    <t>Categoria</t>
  </si>
  <si>
    <t>Studio Beleza Feminina</t>
  </si>
  <si>
    <t>R. José Inácio da Silva Filho - São Francisco, Timon - MA, 65636-245, Brasil</t>
  </si>
  <si>
    <t>-5.0801707</t>
  </si>
  <si>
    <t>-42.8450453</t>
  </si>
  <si>
    <t>Timon - MA</t>
  </si>
  <si>
    <t>https://www.google.com/maps/search/?api=1&amp;query=Studio%20Beleza%20Feminina&amp;query_place_id=ChIJ_UMW1SA4jgcRP4Jcy2YDfGc</t>
  </si>
  <si>
    <t>R. José Inácio da Silva Filho</t>
  </si>
  <si>
    <t>Ceiça Cabelos</t>
  </si>
  <si>
    <t>+55 86 3212-2223</t>
  </si>
  <si>
    <t>+558632122223</t>
  </si>
  <si>
    <t>Rua Adão Belarmino, 39 - Parque Piaui, Timon - MA, 65631-260, Brasil</t>
  </si>
  <si>
    <t>-5.0909786</t>
  </si>
  <si>
    <t>-42.8328693</t>
  </si>
  <si>
    <t>https://www.google.com/maps/search/?api=1&amp;query=Cei%C3%A7a%20Cabelos&amp;query_place_id=ChIJUceh0IU3jgcR_nuYAToSA_M</t>
  </si>
  <si>
    <t>Rua Adão Belarmino, 39</t>
  </si>
  <si>
    <t>Espaço Shirley Reis</t>
  </si>
  <si>
    <t>+55 86 99563-6485</t>
  </si>
  <si>
    <t>+5586995636485</t>
  </si>
  <si>
    <t>Rua 11, Quadra AB, Casa 31 - Res. Novo Tempo, Timon - MA, 65636-858, Brasil</t>
  </si>
  <si>
    <t>-5.0728936</t>
  </si>
  <si>
    <t>-42.8773848</t>
  </si>
  <si>
    <t>https://www.google.com/maps/search/?api=1&amp;query=Espa%C3%A7o%20Shirley%20Reis&amp;query_place_id=ChIJgV7259lHjgcRuYD0IsriHuI</t>
  </si>
  <si>
    <t>Rua 11, Quadra AB, Casa 31</t>
  </si>
  <si>
    <t>Studio Adna Marques | Salão Cabelos</t>
  </si>
  <si>
    <t>+55 86 99419-6580</t>
  </si>
  <si>
    <t>+5586994196580</t>
  </si>
  <si>
    <t>Rua Adão Belarmino, 522 - Parque Piaui I, Timon - MA, 65636-540, Brasil</t>
  </si>
  <si>
    <t>-5.0929705</t>
  </si>
  <si>
    <t>-42.8367614</t>
  </si>
  <si>
    <t>https://www.google.com/maps/search/?api=1&amp;query=Studio%20Adna%20Marques%20%7C%20Sal%C3%A3o%20Cabelos&amp;query_place_id=ChIJ5yRj_vg3jgcRUyqCg_0AC0A</t>
  </si>
  <si>
    <t>Rua Adão Belarmino, 522</t>
  </si>
  <si>
    <t>Simone Aragão - Cabelo e Estética</t>
  </si>
  <si>
    <t>+55 99 98453-9689</t>
  </si>
  <si>
    <t>+5599984539689</t>
  </si>
  <si>
    <t>Av. Piauí - Centro, Timon - MA, 65630-030, Brasil</t>
  </si>
  <si>
    <t>-5.0918172</t>
  </si>
  <si>
    <t>-42.8234966</t>
  </si>
  <si>
    <t>https://www.google.com/maps/search/?api=1&amp;query=Simone%20Arag%C3%A3o%20-%20Cabelo%20e%20Est%C3%A9tica&amp;query_place_id=ChIJ45dDMXY3jgcRqUyWvZTfZDc</t>
  </si>
  <si>
    <t>Av. Piauí</t>
  </si>
  <si>
    <t>Studio E</t>
  </si>
  <si>
    <t>+55 86 99849-2186</t>
  </si>
  <si>
    <t>+5586998492186</t>
  </si>
  <si>
    <t>Av. Jaime Rios, 620 - Parque Piaui, Timon - MA, 65631-190, Brasil</t>
  </si>
  <si>
    <t>-5.0962529</t>
  </si>
  <si>
    <t>-42.8267736</t>
  </si>
  <si>
    <t>https://www.google.com/maps/search/?api=1&amp;query=Studio%20E&amp;query_place_id=ChIJTbIXb_o3jgcRS9vCqltawsk</t>
  </si>
  <si>
    <t>Av. Jaime Rios, 620</t>
  </si>
  <si>
    <t>Maria cabelos</t>
  </si>
  <si>
    <t>W33C+52 - Timon, MA, Brasil</t>
  </si>
  <si>
    <t>-5.0970604</t>
  </si>
  <si>
    <t>-42.9299648</t>
  </si>
  <si>
    <t>https://www.google.com/maps/search/?api=1&amp;query=Maria%20cabelos&amp;query_place_id=ChIJDUo1BR5JjgcRVT_xwMireMc</t>
  </si>
  <si>
    <t>W33C+52</t>
  </si>
  <si>
    <t>Lais dhimas Nails Designer</t>
  </si>
  <si>
    <t>Casa 10 - R. 02, Cj - Res. Novo Tempo, Timon - MA, 65636-872, Brasil</t>
  </si>
  <si>
    <t>-5.074299</t>
  </si>
  <si>
    <t>-42.8836422</t>
  </si>
  <si>
    <t>https://www.google.com/maps/search/?api=1&amp;query=Lais%20dhimas%20Nails%20Designer&amp;query_place_id=ChIJcxXEheNHjgcR2ClyTsAosaw</t>
  </si>
  <si>
    <t>Casa 10 - R. 02, Cj</t>
  </si>
  <si>
    <t>STUDIO DE BELEZA Elayne &amp; Cristina</t>
  </si>
  <si>
    <t>Av. 2 - Res. Novo Tempo, Timon - MA, Brasil</t>
  </si>
  <si>
    <t>-5.0698969</t>
  </si>
  <si>
    <t>-42.8813724</t>
  </si>
  <si>
    <t>https://www.google.com/maps/search/?api=1&amp;query=STUDIO%20DE%20BELEZA%20Elayne%20%26%20Cristina&amp;query_place_id=ChIJDRlJSOpHjgcRx7c6Euz1UZY</t>
  </si>
  <si>
    <t>Av. 2</t>
  </si>
  <si>
    <t>Studio Grasy Costa</t>
  </si>
  <si>
    <t>+55 99 98521-8470</t>
  </si>
  <si>
    <t>+5599985218470</t>
  </si>
  <si>
    <t>R. 05, quadra L - casa 47 - Timon, MA, 65630-020, Brasil</t>
  </si>
  <si>
    <t>-5.0708352</t>
  </si>
  <si>
    <t>-42.8802566</t>
  </si>
  <si>
    <t>https://www.google.com/maps/search/?api=1&amp;query=Studio%20Grasy%20Costa&amp;query_place_id=ChIJm5asBg1HjgcRnQ-ReTPkSCc</t>
  </si>
  <si>
    <t>R. 05, quadra L - casa 47</t>
  </si>
  <si>
    <t>Karynna costa studio de beleza</t>
  </si>
  <si>
    <t>R. 05 - Timon, MA, 65636-882, Brasil</t>
  </si>
  <si>
    <t>-5.0709441</t>
  </si>
  <si>
    <t>-42.8803316</t>
  </si>
  <si>
    <t>https://www.google.com/maps/search/?api=1&amp;query=Karynna%20costa%20studio%20de%20beleza&amp;query_place_id=ChIJaxbHvPhHjgcR9ECuLBreAEw</t>
  </si>
  <si>
    <t>R. 05</t>
  </si>
  <si>
    <t>Studio Nathaly Nails</t>
  </si>
  <si>
    <t>+55 99 98483-0633</t>
  </si>
  <si>
    <t>+5599984830633</t>
  </si>
  <si>
    <t>Rua 9 q X, casa 49, Timon - MA, 65636-854, Brasil</t>
  </si>
  <si>
    <t>-5.0748482</t>
  </si>
  <si>
    <t>-42.8792792</t>
  </si>
  <si>
    <t>https://www.google.com/maps/search/?api=1&amp;query=Studio%20Nathaly%20Nails&amp;query_place_id=ChIJ-9w0x5tHjgcRq4YoG1vX-Go</t>
  </si>
  <si>
    <t>Rua 9 q X, casa 49</t>
  </si>
  <si>
    <t>Espaço Laura Valentina Salão de Beleza</t>
  </si>
  <si>
    <t>+55 99 98550-1088</t>
  </si>
  <si>
    <t>+5599985501088</t>
  </si>
  <si>
    <t>R. 8, Quadra U Casa 71 - Res. Novo Tempo, Timon - MA, 65636-852, Brasil</t>
  </si>
  <si>
    <t>-5.07106</t>
  </si>
  <si>
    <t>-42.8778953</t>
  </si>
  <si>
    <t>https://www.google.com/maps/search/?api=1&amp;query=Espa%C3%A7o%20Laura%20Valentina%20Sal%C3%A3o%20de%20Beleza&amp;query_place_id=ChIJjbMNpGhHjgcRPL5artwVVeU</t>
  </si>
  <si>
    <t>R. 8, Quadra U Casa 71</t>
  </si>
  <si>
    <t>Studio Fontinele beleza feminina</t>
  </si>
  <si>
    <t>+55 11 96692-3918</t>
  </si>
  <si>
    <t>+5511966923918</t>
  </si>
  <si>
    <t>R. Arari, 20 - Bela Vista, Timon - MA, 65636-600, Brasil</t>
  </si>
  <si>
    <t>-5.1013463</t>
  </si>
  <si>
    <t>-42.8696084</t>
  </si>
  <si>
    <t>https://www.google.com/maps/search/?api=1&amp;query=Studio%20Fontinele%20beleza%20feminina&amp;query_place_id=ChIJmdZTpio3jgcRNdk8Kqg1uRM</t>
  </si>
  <si>
    <t>R. Arari, 20</t>
  </si>
  <si>
    <t>Estúdio de bela e ensino</t>
  </si>
  <si>
    <t>+55 86 98861-5332</t>
  </si>
  <si>
    <t>+5586988615332</t>
  </si>
  <si>
    <t>Rua 12,quadra AA,casa 10,bairro - Res. Novo Tempo, Timon - MA, Brasil</t>
  </si>
  <si>
    <t>-5.0766831</t>
  </si>
  <si>
    <t>-42.8789245</t>
  </si>
  <si>
    <t>https://www.google.com/maps/search/?api=1&amp;query=Est%C3%BAdio%20de%20bela%20e%20ensino&amp;query_place_id=ChIJhb5aQCxHjgcRxHxyyvNMWEE</t>
  </si>
  <si>
    <t>Rua 12,quadra AA,casa 10,bairro</t>
  </si>
  <si>
    <t>Studio De Beleza Emanuele Alves</t>
  </si>
  <si>
    <t>R. Paraná, quadra A - casa 21 - Julia Almeida, Timon - MA, 65635-469, Brasil</t>
  </si>
  <si>
    <t>-5.1130105</t>
  </si>
  <si>
    <t>-42.8674942</t>
  </si>
  <si>
    <t>https://www.google.com/maps/search/?api=1&amp;query=Studio%20De%20Beleza%20Emanuele%20Alves&amp;query_place_id=ChIJXbvgridJjgcRIoYINxAnvQw</t>
  </si>
  <si>
    <t>R. Paraná, quadra A - casa 21</t>
  </si>
  <si>
    <t>Studio Scheylla Hair</t>
  </si>
  <si>
    <t>+55 86 3317-1173</t>
  </si>
  <si>
    <t>+558633171173</t>
  </si>
  <si>
    <t>Av. Luís Firmino de Sousa, 2515 - São Benedito, Timon - MA, 65636-340, Brasil</t>
  </si>
  <si>
    <t>-5.1056176</t>
  </si>
  <si>
    <t>-42.8414645</t>
  </si>
  <si>
    <t>https://www.google.com/maps/search/?api=1&amp;query=Studio%20Scheylla%20Hair&amp;query_place_id=ChIJO-_rz743jgcR7xJHs7ISpzE</t>
  </si>
  <si>
    <t>Av. Luís Firmino de Sousa, 2515</t>
  </si>
  <si>
    <t>Studio Nohara Rocha</t>
  </si>
  <si>
    <t>+55 86 98833-5071</t>
  </si>
  <si>
    <t>+5586988335071</t>
  </si>
  <si>
    <t>R. Cravo, 024 - Julia Almeida, Timon - MA, 65635-526, Brasil</t>
  </si>
  <si>
    <t>-5.1162331</t>
  </si>
  <si>
    <t>-42.8570134</t>
  </si>
  <si>
    <t>https://www.google.com/maps/search/?api=1&amp;query=Studio%20Nohara%20Rocha&amp;query_place_id=ChIJqcfAsM03jgcRK6Ht3hVqwQg</t>
  </si>
  <si>
    <t>R. Cravo, 024</t>
  </si>
  <si>
    <t>STUDIO ELINE RAQUEL</t>
  </si>
  <si>
    <t>+55 86 98809-1497</t>
  </si>
  <si>
    <t>+5586988091497</t>
  </si>
  <si>
    <t>R. Dois - Pedro Patrício, Timon - MA, 65634-394, Brasil</t>
  </si>
  <si>
    <t>-5.1138013</t>
  </si>
  <si>
    <t>-42.8478602</t>
  </si>
  <si>
    <t>https://www.google.com/maps/search/?api=1&amp;query=STUDIO%20ELINE%20RAQUEL&amp;query_place_id=ChIJM0qS5Ms3jgcRG7uKEBakFkY</t>
  </si>
  <si>
    <t>R. Dois</t>
  </si>
  <si>
    <t>Neta Nery Studio De Beleza</t>
  </si>
  <si>
    <t>+55 86 98808-6609</t>
  </si>
  <si>
    <t>+5586988086609</t>
  </si>
  <si>
    <t>R. Particular, 672 - Parque Piaui, Timon - MA, 65636-510, Brasil</t>
  </si>
  <si>
    <t>-5.1059667</t>
  </si>
  <si>
    <t>-42.8469902</t>
  </si>
  <si>
    <t>https://www.google.com/maps/search/?api=1&amp;query=Neta%20Nery%20Studio%20De%20Beleza&amp;query_place_id=ChIJhe9zAn43jgcRRvEqd9LCX-A</t>
  </si>
  <si>
    <t>R. Particular, 672</t>
  </si>
  <si>
    <t>Diely cabelos</t>
  </si>
  <si>
    <t>R. Colinas - Bela Vista, Timon - MA, Brasil</t>
  </si>
  <si>
    <t>-5.0999154</t>
  </si>
  <si>
    <t>-42.868799</t>
  </si>
  <si>
    <t>https://www.google.com/maps/search/?api=1&amp;query=Diely%20cabelos&amp;query_place_id=ChIJbUJpZ2xJjgcReflhuiOT-20</t>
  </si>
  <si>
    <t>R. Colinas</t>
  </si>
  <si>
    <t>Prime Concept Studio</t>
  </si>
  <si>
    <t>+55 86 98807-3672</t>
  </si>
  <si>
    <t>+5586988073672</t>
  </si>
  <si>
    <t>R. Ten. Antônio Corrêa da Silva, 367 - Parque Piaui, Timon - MA, 65636-487, Brasil</t>
  </si>
  <si>
    <t>-5.088725</t>
  </si>
  <si>
    <t>-42.838666</t>
  </si>
  <si>
    <t>https://www.google.com/maps/search/?api=1&amp;query=Prime%20Concept%20Studio&amp;query_place_id=ChIJP11McIk3jgcRAKlq1A0rMXY</t>
  </si>
  <si>
    <t>R. Ten. Antônio Corrêa da Silva, 367</t>
  </si>
  <si>
    <t>Bem Bonita Cabelos &amp; Estetica</t>
  </si>
  <si>
    <t>+55 86 98833-6351</t>
  </si>
  <si>
    <t>+5586988336351</t>
  </si>
  <si>
    <t>Av. Luís Firmino de Sousa, 2780 - São Benedito, Timon - MA, 65636-340, Brasil</t>
  </si>
  <si>
    <t>-5.1064151</t>
  </si>
  <si>
    <t>-42.844055</t>
  </si>
  <si>
    <t>https://www.google.com/maps/search/?api=1&amp;query=Bem%20Bonita%20Cabelos%20%26%20Estetica&amp;query_place_id=ChIJTaPmgV43jgcRo3tSdID6_SI</t>
  </si>
  <si>
    <t>Av. Luís Firmino de Sousa, 2780</t>
  </si>
  <si>
    <t>Terapia Capilar em Timon - Solange Cabelos</t>
  </si>
  <si>
    <t>+55 86 98841-6449</t>
  </si>
  <si>
    <t>+5586988416449</t>
  </si>
  <si>
    <t>R. Dois - Vila João Reis, Timon - MA, 65635-444, Brasil</t>
  </si>
  <si>
    <t>-5.1068455</t>
  </si>
  <si>
    <t>-42.8513099</t>
  </si>
  <si>
    <t>https://www.google.com/maps/search/?api=1&amp;query=Terapia%20Capilar%20em%20Timon%20-%20Solange%20Cabelos&amp;query_place_id=ChIJdwT4U8Q3jgcRwkACv6LkgJE</t>
  </si>
  <si>
    <t>Studio Lina Assuncao</t>
  </si>
  <si>
    <t>+55 86 98820-1345</t>
  </si>
  <si>
    <t>+5586988201345</t>
  </si>
  <si>
    <t>R. Lourdes Carlos de Oliveira Nunes, 124 - Santo Antonio, Timon - MA, 65630-350, Brasil</t>
  </si>
  <si>
    <t>-5.104445</t>
  </si>
  <si>
    <t>-42.8257609</t>
  </si>
  <si>
    <t>https://www.google.com/maps/search/?api=1&amp;query=Studio%20Lina%20Assuncao&amp;query_place_id=ChIJ0dk9erI3jgcRwvri-elrB3Y</t>
  </si>
  <si>
    <t>R. Lourdes Carlos de Oliveira Nunes, 124</t>
  </si>
  <si>
    <t>Studio Dani Hair</t>
  </si>
  <si>
    <t>+55 86 99945-3676</t>
  </si>
  <si>
    <t>+5586999453676</t>
  </si>
  <si>
    <t>R. Lourdes Carlos de Oliveira Nunes, 967 - Mateuzinho, Timon - MA, 65630-767, Brasil</t>
  </si>
  <si>
    <t>-5.1123025</t>
  </si>
  <si>
    <t>-42.8236165</t>
  </si>
  <si>
    <t>https://www.google.com/maps/search/?api=1&amp;query=Studio%20Dani%20Hair&amp;query_place_id=ChIJD2f7s2c5jgcR5HJxAC--VBM</t>
  </si>
  <si>
    <t>R. Lourdes Carlos de Oliveira Nunes, 967</t>
  </si>
  <si>
    <t>Mara&amp;Cabelos</t>
  </si>
  <si>
    <t>+55 99 98128-2611</t>
  </si>
  <si>
    <t>+5599981282611</t>
  </si>
  <si>
    <t>Q. Quinze Cj Joaquim Pedreira II, 9 - Joaquim Pedreira, Timon - MA, 65636-820, Brasil</t>
  </si>
  <si>
    <t>-5.0850569</t>
  </si>
  <si>
    <t>-42.8531532</t>
  </si>
  <si>
    <t>https://www.google.com/maps/search/?api=1&amp;query=Mara%26Cabelos&amp;query_place_id=ChIJQ57NWB04jgcRcsJ9zdhi6N0</t>
  </si>
  <si>
    <t>Q. Quinze Cj Joaquim Pedreira II, 9 - Joaquim Pedreira</t>
  </si>
  <si>
    <t>Joyce K´Belos</t>
  </si>
  <si>
    <t>+55 86 98851-1224</t>
  </si>
  <si>
    <t>+5586988511224</t>
  </si>
  <si>
    <t>Rua Treze, 692 - Parque Piauí II, Timon - MA, 65636-350, Brasil</t>
  </si>
  <si>
    <t>-5.0939747</t>
  </si>
  <si>
    <t>-42.8417435</t>
  </si>
  <si>
    <t>https://www.google.com/maps/search/?api=1&amp;query=Joyce%20K%C2%B4Belos&amp;query_place_id=ChIJWRQdP143jgcR8bfbjcbkPqU</t>
  </si>
  <si>
    <t>Rua Treze, 692</t>
  </si>
  <si>
    <t>Salão Social</t>
  </si>
  <si>
    <t>+55 86 98889-9284</t>
  </si>
  <si>
    <t>+5586988899284</t>
  </si>
  <si>
    <t>Av. Tiúba, 928 A - Pedro Patrício, Timon - MA, 65634-400, Brasil</t>
  </si>
  <si>
    <t>-5.1109402</t>
  </si>
  <si>
    <t>-42.8435548</t>
  </si>
  <si>
    <t>https://www.google.com/maps/search/?api=1&amp;query=Sal%C3%A3o%20Social&amp;query_place_id=ChIJGaqCxLc3jgcRAWM10ZpgQyA</t>
  </si>
  <si>
    <t>Av. Tiúba, 928 A</t>
  </si>
  <si>
    <t>Espaço Raynara Carvalho</t>
  </si>
  <si>
    <t>+55 86 99558-7484</t>
  </si>
  <si>
    <t>+5586995587484</t>
  </si>
  <si>
    <t>Av. Perimetral, 423 C - Vila Osmar, Timon - MA, 65634-400, Brasil</t>
  </si>
  <si>
    <t>-5.1110671</t>
  </si>
  <si>
    <t>-42.847682</t>
  </si>
  <si>
    <t>https://www.google.com/maps/search/?api=1&amp;query=Espa%C3%A7o%20Raynara%20Carvalho&amp;query_place_id=ChIJvbBE3mo3jgcRfRIKxo-rZDA</t>
  </si>
  <si>
    <t>Av. Perimetral, 423 C</t>
  </si>
  <si>
    <t>Rafas cabelos</t>
  </si>
  <si>
    <t>+55 86 98841-7964</t>
  </si>
  <si>
    <t>+5586988417964</t>
  </si>
  <si>
    <t>R. Luís Píres de Sá, 616 - Parque Piaui, Timon - MA, 65636-580, Brasil</t>
  </si>
  <si>
    <t>-5.0913337</t>
  </si>
  <si>
    <t>-42.838781</t>
  </si>
  <si>
    <t>https://www.google.com/maps/search/?api=1&amp;query=Rafas%20cabelos&amp;query_place_id=ChIJtT1V64E3jgcRuSbVA0HOvLI</t>
  </si>
  <si>
    <t>R. Luís Píres de Sá, 616</t>
  </si>
  <si>
    <t>RM Cabelos e Estética</t>
  </si>
  <si>
    <t>+55 86 3212-5316</t>
  </si>
  <si>
    <t>+558632125316</t>
  </si>
  <si>
    <t>R. Filomena Martins Nazareno Bringel - Parque Piaui, Timon - MA, 65631-280, Brasil</t>
  </si>
  <si>
    <t>-5.0913589</t>
  </si>
  <si>
    <t>-42.8362231</t>
  </si>
  <si>
    <t>https://www.google.com/maps/search/?api=1&amp;query=RM%20Cabelos%20e%20Est%C3%A9tica&amp;query_place_id=ChIJFzUBG483jgcRRIJiQPCPF0c</t>
  </si>
  <si>
    <t>R. Filomena Martins Nazareno Bringel</t>
  </si>
  <si>
    <t>Espaço da beleza</t>
  </si>
  <si>
    <t>Beco de Acesso - Timon, MA, 65630-200, Brasil</t>
  </si>
  <si>
    <t>-5.1095306</t>
  </si>
  <si>
    <t>-42.853589</t>
  </si>
  <si>
    <t>https://www.google.com/maps/search/?api=1&amp;query=Espa%C3%A7o%20da%20beleza&amp;query_place_id=ChIJSYDWURY3jgcRWjv_LOrbMEY</t>
  </si>
  <si>
    <t>Beco de Acesso</t>
  </si>
  <si>
    <t>Espaço das unhas</t>
  </si>
  <si>
    <t>+55 86 99834-0433</t>
  </si>
  <si>
    <t>+5586998340433</t>
  </si>
  <si>
    <t>R. AXIXÁ - Lourival Almeida, Timon - MA, 65636-720, Brasil</t>
  </si>
  <si>
    <t>-5.0960158</t>
  </si>
  <si>
    <t>-42.8679323</t>
  </si>
  <si>
    <t>https://www.google.com/maps/search/?api=1&amp;query=Espa%C3%A7o%20das%20unhas&amp;query_place_id=ChIJ6wRhdn1JjgcRDJ4gnc_6TMo</t>
  </si>
  <si>
    <t>R. AXIXÁ</t>
  </si>
  <si>
    <t>Salão Espaço Beleza Mais</t>
  </si>
  <si>
    <t>+55 99 98159-5051</t>
  </si>
  <si>
    <t>+5599981595051</t>
  </si>
  <si>
    <t>Av. Raimundo Corrêa da Silva, 460 - Parque Alvorada, Timon - MA, 65633-641, Brasil</t>
  </si>
  <si>
    <t>-5.1318709</t>
  </si>
  <si>
    <t>-42.8290929</t>
  </si>
  <si>
    <t>https://www.google.com/maps/search/?api=1&amp;query=Sal%C3%A3o%20Espa%C3%A7o%20Beleza%20Mais&amp;query_place_id=ChIJyzMsE1E3jgcR6wzkxyMfAnE</t>
  </si>
  <si>
    <t>Av. Raimundo Corrêa da Silva, 460</t>
  </si>
  <si>
    <t>Oficina da Beleza</t>
  </si>
  <si>
    <t>+55 86 3212-4540</t>
  </si>
  <si>
    <t>+558632124540</t>
  </si>
  <si>
    <t>Av. Francisco Vitórino de Assunção, 1637 - Parque Piaui, Timon - MA, 65636-310, Brasil</t>
  </si>
  <si>
    <t>-5.1003109</t>
  </si>
  <si>
    <t>-42.836282</t>
  </si>
  <si>
    <t>https://www.google.com/maps/search/?api=1&amp;query=Oficina%20da%20Beleza&amp;query_place_id=ChIJq65DCJc3jgcRx1Af9tMEQAY</t>
  </si>
  <si>
    <t>Av. Francisco Vitórino de Assunção, 1637</t>
  </si>
  <si>
    <t>Salão de Beleza Kaprich &amp; Cia</t>
  </si>
  <si>
    <t>+55 86 98862-9723</t>
  </si>
  <si>
    <t>+5586988629723</t>
  </si>
  <si>
    <t>Av. Pres. Médici, 1012 - Parque Piaui, Timon - MA, 65631-390, Brasil</t>
  </si>
  <si>
    <t>-5.0969593</t>
  </si>
  <si>
    <t>-42.8313637</t>
  </si>
  <si>
    <t>https://www.google.com/maps/search/?api=1&amp;query=Sal%C3%A3o%20de%20Beleza%20Kaprich%20%26%20Cia&amp;query_place_id=ChIJjelIpps3jgcR2OFy6r3VW-0</t>
  </si>
  <si>
    <t>Av. Pres. Médici, 1012</t>
  </si>
  <si>
    <t>Vanessa colares</t>
  </si>
  <si>
    <t>+55 99 98127-4601</t>
  </si>
  <si>
    <t>+5599981274601</t>
  </si>
  <si>
    <t>Rua Luís Pires de Sá (rua 80 ) nº 1372, | - Parque Piauí II, Timon - MA, Brasil</t>
  </si>
  <si>
    <t>-5.0947692</t>
  </si>
  <si>
    <t>-42.8455539</t>
  </si>
  <si>
    <t>https://www.google.com/maps/search/?api=1&amp;query=Vanessa%20colares&amp;query_place_id=ChIJx2bcUrQ3jgcR2AXfopsNQs4</t>
  </si>
  <si>
    <t>Rua Luís Pires de Sá (rua 80 ) nº 1372, |</t>
  </si>
  <si>
    <t>Studio Fabiana Rocha</t>
  </si>
  <si>
    <t>+55 86 3212-7960</t>
  </si>
  <si>
    <t>+558632127960</t>
  </si>
  <si>
    <t>Av. Jaime Rios, 160 - Parque Piaui, Timon - MA, 65631-190, Brasil</t>
  </si>
  <si>
    <t>-5.0923985</t>
  </si>
  <si>
    <t>-42.8287273</t>
  </si>
  <si>
    <t>https://www.google.com/maps/search/?api=1&amp;query=Studio%20Fabiana%20Rocha&amp;query_place_id=ChIJqa3aloM3jgcRfNkqXNu5Azc</t>
  </si>
  <si>
    <t>Av. Jaime Rios, 160</t>
  </si>
  <si>
    <t>Beauty Concept Timon - Centro de Beleza</t>
  </si>
  <si>
    <t>+55 86 99414-9210</t>
  </si>
  <si>
    <t>+5586994149210</t>
  </si>
  <si>
    <t>Av. Piauí, 700 - Centro, Timon - MA, 65630-030, Brasil</t>
  </si>
  <si>
    <t>-5.0916492</t>
  </si>
  <si>
    <t>-42.8244361</t>
  </si>
  <si>
    <t>https://www.google.com/maps/search/?api=1&amp;query=Beauty%20Concept%20Timon%20-%20Centro%20de%20Beleza&amp;query_place_id=ChIJ9SJMB443jgcRdEetXpBPDzc</t>
  </si>
  <si>
    <t>Av. Piauí, 700</t>
  </si>
  <si>
    <t>Joice Marques Estética</t>
  </si>
  <si>
    <t>+55 86 99970-9714</t>
  </si>
  <si>
    <t>+5586999709714</t>
  </si>
  <si>
    <t>R. Um, Quadra J - casa 108 - Jóia, Timon - MA, 65632-376, Brasil</t>
  </si>
  <si>
    <t>-5.1381379</t>
  </si>
  <si>
    <t>-42.8391465</t>
  </si>
  <si>
    <t>https://www.google.com/maps/search/?api=1&amp;query=Joice%20Marques%20Est%C3%A9tica&amp;query_place_id=ChIJG-q6T9k3jgcRRNyvWslDd0c</t>
  </si>
  <si>
    <t>R. Um, Quadra J - casa 108</t>
  </si>
  <si>
    <t>Salão Essência da Beleza</t>
  </si>
  <si>
    <t>Av. Francisco Carlos Jansen, 1949 - Parque Piaui, Timon - MA, 65631-240, Brasil</t>
  </si>
  <si>
    <t>-5.0839302</t>
  </si>
  <si>
    <t>-42.8395869</t>
  </si>
  <si>
    <t>https://www.google.com/maps/search/?api=1&amp;query=Sal%C3%A3o%20Ess%C3%AAncia%20da%20Beleza&amp;query_place_id=ChIJd2_rLCE4jgcRvQ9q1hygZn0</t>
  </si>
  <si>
    <t>Av. Francisco Carlos Jansen, 1949</t>
  </si>
  <si>
    <t>Diego Inácio hair style</t>
  </si>
  <si>
    <t>+55 87 98142-3498</t>
  </si>
  <si>
    <t>+5587981423498</t>
  </si>
  <si>
    <t>Rua 18, 2742 - Vila Angélica, Timon - MA, 65634-356, Brasil</t>
  </si>
  <si>
    <t>-5.1087419</t>
  </si>
  <si>
    <t>-42.8407774</t>
  </si>
  <si>
    <t>https://www.google.com/maps/search/?api=1&amp;query=Diego%20In%C3%A1cio%20hair%20style&amp;query_place_id=ChIJPYQXmcM3jgcRHmKNeFAK3dE</t>
  </si>
  <si>
    <t>Rua 18, 2742</t>
  </si>
  <si>
    <t>Darllene Kbelos</t>
  </si>
  <si>
    <t>+55 86 98815-3856</t>
  </si>
  <si>
    <t>+5586988153856</t>
  </si>
  <si>
    <t>Av. Raimundo Corrêa da Silva, 495 - Parque Alvorada, Timon - MA, 65633-010, Brasil</t>
  </si>
  <si>
    <t>-5.1315141</t>
  </si>
  <si>
    <t>-42.8295561</t>
  </si>
  <si>
    <t>https://www.google.com/maps/search/?api=1&amp;query=Darllene%20Kbelos&amp;query_place_id=ChIJg-WNl1I2jgcRg8cnlkcZG9Y</t>
  </si>
  <si>
    <t>Av. Raimundo Corrêa da Silva, 495</t>
  </si>
  <si>
    <t>OFICINA DO CABELO</t>
  </si>
  <si>
    <t>+55 86 98185-0392</t>
  </si>
  <si>
    <t>+5586981850392</t>
  </si>
  <si>
    <t>R. Ten. Antônio Corrêa da Silva, 610A - Parque Uniao, Timon - MA, 65636-640, Brasil</t>
  </si>
  <si>
    <t>-5.0899629</t>
  </si>
  <si>
    <t>-42.8412678</t>
  </si>
  <si>
    <t>https://www.google.com/maps/search/?api=1&amp;query=OFICINA%20DO%20CABELO&amp;query_place_id=ChIJSddVsfA3jgcR894VYt-fgCg</t>
  </si>
  <si>
    <t>R. Ten. Antônio Corrêa da Silva, 610A</t>
  </si>
  <si>
    <t>Ellen Cabelos</t>
  </si>
  <si>
    <t>+55 86 99832-0476</t>
  </si>
  <si>
    <t>+5586998320476</t>
  </si>
  <si>
    <t>Av. Benedito Ferreira Campos, 14185 - Parque Alvorada, Timon - MA, 65633-280, Brasil</t>
  </si>
  <si>
    <t>-5.1319801</t>
  </si>
  <si>
    <t>-42.8346258</t>
  </si>
  <si>
    <t>https://www.google.com/maps/search/?api=1&amp;query=Ellen%20Cabelos&amp;query_place_id=ChIJ70LXLEM2jgcR-I_B0xzM0so</t>
  </si>
  <si>
    <t>Av. Benedito Ferreira Campos, 14185</t>
  </si>
  <si>
    <t>Salão Status</t>
  </si>
  <si>
    <t>Av. Pres. Médici, 1350 - Parque Piaui, Timon - MA, 65630-780, Brasil</t>
  </si>
  <si>
    <t>-5.1000414</t>
  </si>
  <si>
    <t>-42.8298031</t>
  </si>
  <si>
    <t>https://www.google.com/maps/search/?api=1&amp;query=Sal%C3%A3o%20Status&amp;query_place_id=ChIJK8EGNZk3jgcREwS58GXV55o</t>
  </si>
  <si>
    <t>Av. Pres. Médici, 1350</t>
  </si>
  <si>
    <t>Fazenda Nova</t>
  </si>
  <si>
    <t>Timon, MA, Brasil</t>
  </si>
  <si>
    <t>-5.333407</t>
  </si>
  <si>
    <t>-42.9828886</t>
  </si>
  <si>
    <t>https://www.google.com/maps/search/?api=1&amp;query=Fazenda%20Nova&amp;query_place_id=ChIJf_9XTgC7jwcR53AXFoZKC6g</t>
  </si>
  <si>
    <t>Studio S - Shirlaine Cabelos</t>
  </si>
  <si>
    <t>+55 86 98874-1305</t>
  </si>
  <si>
    <t>+5586988741305</t>
  </si>
  <si>
    <t>Av. Benedito Ferreira Campos, 449 - Parque Alvorada, Timon - MA, 65633-280, Brasil</t>
  </si>
  <si>
    <t>-5.1288919</t>
  </si>
  <si>
    <t>-42.8258969</t>
  </si>
  <si>
    <t>https://www.google.com/maps/search/?api=1&amp;query=Studio%20S%20-%20Shirlaine%20Cabelos&amp;query_place_id=ChIJ22ZlZlg2jgcR5HYvVnm6Wdg</t>
  </si>
  <si>
    <t>Av. Benedito Ferreira Campos, 449</t>
  </si>
  <si>
    <t>Ds studio</t>
  </si>
  <si>
    <t>+55 86 98854-3713</t>
  </si>
  <si>
    <t>+5586988543713</t>
  </si>
  <si>
    <t>R. Carlos Alberto de Morais, 1210 - Parque Alvorada, Timon - MA, 65633-150, Brasil</t>
  </si>
  <si>
    <t>-5.1264289</t>
  </si>
  <si>
    <t>-42.8291181</t>
  </si>
  <si>
    <t>https://www.google.com/maps/search/?api=1&amp;query=Ds%20studio&amp;query_place_id=ChIJ2QaLeTE3jgcRABz7Xj6ARxs</t>
  </si>
  <si>
    <t>R. Carlos Alberto de Morais, 1210</t>
  </si>
  <si>
    <t>Liso Exclusivo S.C e Simone Cabelos</t>
  </si>
  <si>
    <t>+55 86 98818-2310</t>
  </si>
  <si>
    <t>+5586988182310</t>
  </si>
  <si>
    <t>R. Poe. Castro Alves - Parque Alvorada, Timon - MA, 65634-590, Brasil</t>
  </si>
  <si>
    <t>-5.1310552</t>
  </si>
  <si>
    <t>-42.8338345</t>
  </si>
  <si>
    <t>https://www.google.com/maps/search/?api=1&amp;query=Liso%20Exclusivo%20S.C%20e%20Simone%20Cabelos&amp;query_place_id=ChIJD0XPqUU3jgcRxOzC72-H7Qs</t>
  </si>
  <si>
    <t>R. Poe. Castro Alves</t>
  </si>
  <si>
    <t>Beleza Mais Brasil</t>
  </si>
  <si>
    <t>+55 86 98809-9193</t>
  </si>
  <si>
    <t>+5586988099193</t>
  </si>
  <si>
    <t>R. Constância Gomes da Silva, 367 - Parque Alvorada, Timon - MA, 65633-290, Brasil</t>
  </si>
  <si>
    <t>-5.1335442</t>
  </si>
  <si>
    <t>-42.8296733</t>
  </si>
  <si>
    <t>https://www.google.com/maps/search/?api=1&amp;query=Beleza%20Mais%20Brasil&amp;query_place_id=ChIJ381k8uY3jgcRJW0lupuvVEU</t>
  </si>
  <si>
    <t>R. Constância Gomes da Silva, 367</t>
  </si>
  <si>
    <t>Raquel Guimarães</t>
  </si>
  <si>
    <t>+55 86 98846-0035</t>
  </si>
  <si>
    <t>+5586988460035</t>
  </si>
  <si>
    <t>R. Neusa Assunção, 727 - Parque Alvorada, Timon - MA, 65633-130, Brasil</t>
  </si>
  <si>
    <t>-5.130251</t>
  </si>
  <si>
    <t>-42.8271309</t>
  </si>
  <si>
    <t>https://www.google.com/maps/search/?api=1&amp;query=Raquel%20Guimar%C3%A3es&amp;query_place_id=ChIJvf5fk7Y3jgcREEfEtRS8gjM</t>
  </si>
  <si>
    <t>R. Neusa Assunção, 727</t>
  </si>
  <si>
    <t>Espaço Super Bonita</t>
  </si>
  <si>
    <t>+55 99 98504-4837</t>
  </si>
  <si>
    <t>+5599985044837</t>
  </si>
  <si>
    <t>Av. Regimento, 2494 - Jóia, Timon - MA, Brasil</t>
  </si>
  <si>
    <t>-5.141429</t>
  </si>
  <si>
    <t>-42.8361153</t>
  </si>
  <si>
    <t>https://www.google.com/maps/search/?api=1&amp;query=Espa%C3%A7o%20Super%20Bonita&amp;query_place_id=ChIJ6U2bcAA3jgcRttAhftn-bII</t>
  </si>
  <si>
    <t>Av. Regimento, 2494</t>
  </si>
  <si>
    <t>Ericka Sousa - Espaço de Beleza</t>
  </si>
  <si>
    <t>+55 99 98831-6701</t>
  </si>
  <si>
    <t>+5599988316701</t>
  </si>
  <si>
    <t>Povoado Castelo - Timon, MA, 65600-000, Brasil</t>
  </si>
  <si>
    <t>-5.2032137</t>
  </si>
  <si>
    <t>-42.9436008</t>
  </si>
  <si>
    <t>https://www.google.com/maps/search/?api=1&amp;query=Ericka%20Sousa%20-%20Espa%C3%A7o%20de%20Beleza&amp;query_place_id=ChIJOeiT9yZNjgcRqhngiZKXRY4</t>
  </si>
  <si>
    <t>Povoado Castelo</t>
  </si>
  <si>
    <t>Leidiane nails Desagner</t>
  </si>
  <si>
    <t>-5.2141</t>
  </si>
  <si>
    <t>-42.9206711</t>
  </si>
  <si>
    <t>https://www.google.com/maps/search/?api=1&amp;query=Leidiane%20nails%20Desagner&amp;query_place_id=ChIJeQfENQC1jwcRSbRWx5sKmt0</t>
  </si>
  <si>
    <t>Salão Flex Santos</t>
  </si>
  <si>
    <t>+55 86 98858-0386</t>
  </si>
  <si>
    <t>+5586988580386</t>
  </si>
  <si>
    <t>Av. Luís Firmino de Sousa, 3370 - Vila Osmar, Timon - MA, 65636-340, Brasil</t>
  </si>
  <si>
    <t>-5.1080587</t>
  </si>
  <si>
    <t>-42.8479374</t>
  </si>
  <si>
    <t>https://www.google.com/maps/search/?api=1&amp;query=Sal%C3%A3o%20Flex%20Santos&amp;query_place_id=ChIJxRkJQsY3jgcREAlFBTKnnLY</t>
  </si>
  <si>
    <t>Av. Luís Firmino de Sousa, 3370</t>
  </si>
  <si>
    <t>Studio Maryze K'BELOS</t>
  </si>
  <si>
    <t>+55 86 99574-9977</t>
  </si>
  <si>
    <t>+5586995749977</t>
  </si>
  <si>
    <t>R. Particular, 673 A - Flores II, Timon - MA, 65636-510, Brasil</t>
  </si>
  <si>
    <t>-5.1060246</t>
  </si>
  <si>
    <t>-42.8467185</t>
  </si>
  <si>
    <t>https://www.google.com/maps/search/?api=1&amp;query=Studio%20Maryze%20K'BELOS&amp;query_place_id=ChIJc9oHXTk3jgcRIbWWwZKmHwA</t>
  </si>
  <si>
    <t>R. Particular, 673 A</t>
  </si>
  <si>
    <t>Espaço Raimunda Dias</t>
  </si>
  <si>
    <t>+55 86 98838-4100</t>
  </si>
  <si>
    <t>+5586988384100</t>
  </si>
  <si>
    <t>Av. Jaime Rios, 815B - Centro, Timon - MA, 65630-370, Brasil</t>
  </si>
  <si>
    <t>-5.0975744</t>
  </si>
  <si>
    <t>-42.8257213</t>
  </si>
  <si>
    <t>https://www.google.com/maps/search/?api=1&amp;query=Espa%C3%A7o%20Raimunda%20Dias&amp;query_place_id=ChIJZ8ThAT83jgcRQKxeRj8TNv0</t>
  </si>
  <si>
    <t>Av. Jaime Rios, 815B</t>
  </si>
  <si>
    <t>Marluce Hair</t>
  </si>
  <si>
    <t>+55 99 3212-3596</t>
  </si>
  <si>
    <t>+559932123596</t>
  </si>
  <si>
    <t>Av. Jaime Rios, 547 - Parque Piaui, Timon - MA, 65630-370, Brasil</t>
  </si>
  <si>
    <t>-5.0954328</t>
  </si>
  <si>
    <t>-42.8268522</t>
  </si>
  <si>
    <t>https://www.google.com/maps/search/?api=1&amp;query=Marluce%20Hair&amp;query_place_id=ChIJv2hSKJ03jgcRv-lf-8P81j8</t>
  </si>
  <si>
    <t>Av. Jaime Rios, 547</t>
  </si>
  <si>
    <t>Espaço Mulher</t>
  </si>
  <si>
    <t>R. Ten. Antônio Corrêa da Silva, 405 - Parque Piaui, Timon - MA, 65636-487, Brasil</t>
  </si>
  <si>
    <t>-5.088869</t>
  </si>
  <si>
    <t>-42.8389619</t>
  </si>
  <si>
    <t>https://www.google.com/maps/search/?api=1&amp;query=Espa%C3%A7o%20Mulher&amp;query_place_id=ChIJsY_iZIk3jgcRqnmv-ob4I14</t>
  </si>
  <si>
    <t>R. Ten. Antônio Corrêa da Silva, 405</t>
  </si>
  <si>
    <t>Espaço Fernanda Fernandes</t>
  </si>
  <si>
    <t>+55 86 98893-2536</t>
  </si>
  <si>
    <t>+5586988932536</t>
  </si>
  <si>
    <t>R. Dezesseis, 779 - São Francisco, Timon - MA, 65630-000, Brasil</t>
  </si>
  <si>
    <t>-5.0807493</t>
  </si>
  <si>
    <t>-42.8499053</t>
  </si>
  <si>
    <t>https://www.google.com/maps/search/?api=1&amp;query=Espa%C3%A7o%20Fernanda%20Fernandes&amp;query_place_id=ChIJ_wGz6Bs4jgcRRqyb4U0xTZ0</t>
  </si>
  <si>
    <t>R. Dezesseis, 779</t>
  </si>
  <si>
    <t>Studio Flavinha Cabelos</t>
  </si>
  <si>
    <t>+55 99 98130-5689</t>
  </si>
  <si>
    <t>+5599981305689</t>
  </si>
  <si>
    <t>R. José Inácio da Silva Filho - Parque Piaui, Timon - MA, 65636-190, Brasil</t>
  </si>
  <si>
    <t>-5.0998468</t>
  </si>
  <si>
    <t>-42.8318073</t>
  </si>
  <si>
    <t>https://www.google.com/maps/search/?api=1&amp;query=Studio%20Flavinha%20Cabelos&amp;query_place_id=ChIJ2futrAQ3jgcRA9ekI9Cal_4</t>
  </si>
  <si>
    <t>ESPAÇO GEH</t>
  </si>
  <si>
    <t>R. Marcos Batista da Silva, 3 - Flores II, Timon - MA, 65631-340, Brasil</t>
  </si>
  <si>
    <t>-5.1007579</t>
  </si>
  <si>
    <t>-42.8588546</t>
  </si>
  <si>
    <t>https://www.google.com/maps/search/?api=1&amp;query=ESPA%C3%87O%20GEH&amp;query_place_id=ChIJhegL_t03jgcRhP60S5OjVRs</t>
  </si>
  <si>
    <t>R. Marcos Batista da Silva, 3</t>
  </si>
  <si>
    <t>Terraço da Beleza</t>
  </si>
  <si>
    <t>+55 86 99587-2317</t>
  </si>
  <si>
    <t>+5586995872317</t>
  </si>
  <si>
    <t>R. Jorge Luiz Alves Junior - Flores II, Timon - MA, 65636-556, Brasil</t>
  </si>
  <si>
    <t>-5.1030613</t>
  </si>
  <si>
    <t>-42.8620945</t>
  </si>
  <si>
    <t>https://www.google.com/maps/search/?api=1&amp;query=Terra%C3%A7o%20da%20Beleza&amp;query_place_id=ChIJFRLidRA3jgcRaStMgrTxPD4</t>
  </si>
  <si>
    <t>R. Jorge Luiz Alves Junior</t>
  </si>
  <si>
    <t>Allure Espaço de Beleza e Bronze</t>
  </si>
  <si>
    <t>+55 99 98456-7900</t>
  </si>
  <si>
    <t>+5599984567900</t>
  </si>
  <si>
    <t>R. Cinco, 17 - São Francisco II, Timon - MA, Brasil</t>
  </si>
  <si>
    <t>-5.0870499</t>
  </si>
  <si>
    <t>-42.8480087</t>
  </si>
  <si>
    <t>https://www.google.com/maps/search/?api=1&amp;query=Allure%20Espa%C3%A7o%20de%20Beleza%20e%20Bronze&amp;query_place_id=ChIJ5WCqQLk3jgcRrEyK1HyOoFI</t>
  </si>
  <si>
    <t>R. Cinco, 17</t>
  </si>
  <si>
    <t>Espaço Gospel</t>
  </si>
  <si>
    <t>+55 99 98488-8311</t>
  </si>
  <si>
    <t>+5599984888311</t>
  </si>
  <si>
    <t>R. Nove, 831-729 - São Francisco II, Timon - MA, 65636-754, Brasil</t>
  </si>
  <si>
    <t>-5.0853354</t>
  </si>
  <si>
    <t>-42.8544782</t>
  </si>
  <si>
    <t>https://www.google.com/maps/search/?api=1&amp;query=Espa%C3%A7o%20Gospel&amp;query_place_id=ChIJD_IQRgA3jgcRgGaOl8tTOKI</t>
  </si>
  <si>
    <t>R. Nove, 831-729</t>
  </si>
  <si>
    <t>Studio de beleza garothynha</t>
  </si>
  <si>
    <t>+55 86 99491-5604</t>
  </si>
  <si>
    <t>+5586994915604</t>
  </si>
  <si>
    <t>Av. Paulo Ramos, 501 - Centro, Timon - MA, 65630-140, Brasil</t>
  </si>
  <si>
    <t>-5.098536</t>
  </si>
  <si>
    <t>-42.8305678</t>
  </si>
  <si>
    <t>https://www.google.com/maps/search/?api=1&amp;query=Studio%20de%20beleza%20garothynha&amp;query_place_id=ChIJDS_uvuk3jgcRzI625O7JnLA</t>
  </si>
  <si>
    <t>Av. Paulo Ramos, 501</t>
  </si>
  <si>
    <t>Espaço de Beleza Carmem Leal</t>
  </si>
  <si>
    <t>+55 86 98837-0658</t>
  </si>
  <si>
    <t>+5586988370658</t>
  </si>
  <si>
    <t>R. Antônio Marques, 228 - Parque Piaui, Timon - MA, 65636-202, Brasil</t>
  </si>
  <si>
    <t>-5.0904371</t>
  </si>
  <si>
    <t>-42.8356905</t>
  </si>
  <si>
    <t>https://www.google.com/maps/search/?api=1&amp;query=Espa%C3%A7o%20de%20Beleza%20Carmem%20Leal&amp;query_place_id=ChIJEY8zWjQ3jgcRJPAlaRvPT2I</t>
  </si>
  <si>
    <t>R. Antônio Marques, 228</t>
  </si>
  <si>
    <t>Espaço Aline Cabelos</t>
  </si>
  <si>
    <t>Beco 01, 351 - Flores, Timon - MA, 65631-440, Brasil</t>
  </si>
  <si>
    <t>-5.0921196</t>
  </si>
  <si>
    <t>-42.8547121</t>
  </si>
  <si>
    <t>https://www.google.com/maps/search/?api=1&amp;query=Espa%C3%A7o%20Aline%20Cabelos&amp;query_place_id=ChIJISA9MwA3jgcRqmBL91OlC2w</t>
  </si>
  <si>
    <t>Beco 01, 351</t>
  </si>
  <si>
    <t>Estúdio KÁTIA HAIR</t>
  </si>
  <si>
    <t>+55 86 99949-6986</t>
  </si>
  <si>
    <t>+5586999496986</t>
  </si>
  <si>
    <t>R. José Simões Pedreira, 651 - Centro, Timon - MA, 65630-110, Brasil</t>
  </si>
  <si>
    <t>-5.1033874</t>
  </si>
  <si>
    <t>-42.8258335</t>
  </si>
  <si>
    <t>https://www.google.com/maps/search/?api=1&amp;query=Est%C3%BAdio%20K%C3%81TIA%20HAIR&amp;query_place_id=ChIJ7bo6jPI3jgcRx2MuilrZx70</t>
  </si>
  <si>
    <t>R. José Simões Pedreira, 651</t>
  </si>
  <si>
    <t>Espaço Taty cabelos</t>
  </si>
  <si>
    <t>+55 99 98832-6935</t>
  </si>
  <si>
    <t>+5599988326935</t>
  </si>
  <si>
    <t>R. Firmino Gonçalves Pedreira - Parque Piaui, Timon - MA, 65636-400, Brasil</t>
  </si>
  <si>
    <t>-5.1006273</t>
  </si>
  <si>
    <t>-42.8349067</t>
  </si>
  <si>
    <t>https://www.google.com/maps/search/?api=1&amp;query=Espa%C3%A7o%20Taty%20cabelos&amp;query_place_id=ChIJ0zj1vQI3jgcR10DDXgeUm40</t>
  </si>
  <si>
    <t>R. Firmino Gonçalves Pedreira</t>
  </si>
  <si>
    <t>Salão Edna Cavalcante Hair</t>
  </si>
  <si>
    <t>Rua Adão Belarmino, 416 - Parque Piaui I, Timon - MA, 65636-540, Brasil</t>
  </si>
  <si>
    <t>-5.0926241</t>
  </si>
  <si>
    <t>-42.8359291</t>
  </si>
  <si>
    <t>https://www.google.com/maps/search/?api=1&amp;query=Sal%C3%A3o%20Edna%20Cavalcante%20Hair&amp;query_place_id=ChIJ-90AVAA3jgcRacttWHR2F4E</t>
  </si>
  <si>
    <t>Rua Adão Belarmino, 416</t>
  </si>
  <si>
    <t>ESPAÇO ADRIANA</t>
  </si>
  <si>
    <t>R. José Simões Pedreira, 948 - Centro, Timon - MA, 65630-360, Brasil</t>
  </si>
  <si>
    <t>-5.104451</t>
  </si>
  <si>
    <t>-42.8285657</t>
  </si>
  <si>
    <t>https://www.google.com/maps/search/?api=1&amp;query=ESPA%C3%87O%20ADRIANA&amp;query_place_id=ChIJIyeal6E3jgcRq9HN95YM5jA</t>
  </si>
  <si>
    <t>R. José Simões Pedreira, 948</t>
  </si>
  <si>
    <t>Espaço kinhadocarmo</t>
  </si>
  <si>
    <t>+55 86 98873-5405</t>
  </si>
  <si>
    <t>+5586988735405</t>
  </si>
  <si>
    <t>Rua Morros qm casa2 - Bela Vista, Timon - MA, 65637-658, Brasil</t>
  </si>
  <si>
    <t>-5.0931895</t>
  </si>
  <si>
    <t>-42.8686908</t>
  </si>
  <si>
    <t>https://www.google.com/maps/search/?api=1&amp;query=Espa%C3%A7o%20kinhadocarmo&amp;query_place_id=ChIJJ4X-MgBJjgcRSAXftj8ifhI</t>
  </si>
  <si>
    <t>Rua Morros qm casa2</t>
  </si>
  <si>
    <t>Salão Popular</t>
  </si>
  <si>
    <t>+55 86 99937-0651</t>
  </si>
  <si>
    <t>+5586999370651</t>
  </si>
  <si>
    <t>n - R. Ten. Antônio Corrêa da Silva, 1693 - Parque Piaui, Timon - MA, 65636-640, Brasil</t>
  </si>
  <si>
    <t>-5.0941943</t>
  </si>
  <si>
    <t>-42.8493054</t>
  </si>
  <si>
    <t>https://www.google.com/maps/search/?api=1&amp;query=Sal%C3%A3o%20Popular&amp;query_place_id=ChIJh0xKCu43jgcRhrHNWNOKphM</t>
  </si>
  <si>
    <t>n - R. Ten. Antônio Corrêa da Silva, 1693</t>
  </si>
  <si>
    <t>Femme Fashion Hair - Timon</t>
  </si>
  <si>
    <t>+55 86 99932-1494</t>
  </si>
  <si>
    <t>+5586999321494</t>
  </si>
  <si>
    <t>Cocais Shopping, Av. Piauí, 700 - 129 - Centro, Timon - MA, 65631-030, Brasil</t>
  </si>
  <si>
    <t>-5.0917841</t>
  </si>
  <si>
    <t>-42.8242742</t>
  </si>
  <si>
    <t>https://www.google.com/maps/search/?api=1&amp;query=Femme%20Fashion%20Hair%20-%20Timon&amp;query_place_id=ChIJeZAyeus3jgcRMQxkhsbrVBk</t>
  </si>
  <si>
    <t>Cocais Shopping, Av. Piauí, 700 - 129</t>
  </si>
  <si>
    <t>Studio Samanta Valéria</t>
  </si>
  <si>
    <t>+55 86 99814-7610</t>
  </si>
  <si>
    <t>+5586998147610</t>
  </si>
  <si>
    <t>Av. Francisco Vitórino de Assunção, 2184 - Parque Piaui, Timon - MA, 65636-310, Brasil</t>
  </si>
  <si>
    <t>-5.1050634</t>
  </si>
  <si>
    <t>-42.8341871</t>
  </si>
  <si>
    <t>https://www.google.com/maps/search/?api=1&amp;query=Studio%20Samanta%20Val%C3%A9ria&amp;query_place_id=ChIJk71ZHDk3jgcR62rECQGXd1E</t>
  </si>
  <si>
    <t>Av. Francisco Vitórino de Assunção, 2184</t>
  </si>
  <si>
    <t>Studio Naytalla Cristina</t>
  </si>
  <si>
    <t>+55 86 98126-6061</t>
  </si>
  <si>
    <t>+5586981266061</t>
  </si>
  <si>
    <t>Av. Brasil, 287 - Santo Antonio, Timon - MA, 65630-330, Brasil</t>
  </si>
  <si>
    <t>-5.105662</t>
  </si>
  <si>
    <t>-42.824384</t>
  </si>
  <si>
    <t>https://www.google.com/maps/search/?api=1&amp;query=Studio%20Naytalla%20Cristina&amp;query_place_id=ChIJUYVBWmk3jgcRkEPpVDGJdu8</t>
  </si>
  <si>
    <t>Av. Brasil, 287</t>
  </si>
  <si>
    <t>DAYANE LIMA Nails designer</t>
  </si>
  <si>
    <t>Marimar, Timon - MA, Brasil</t>
  </si>
  <si>
    <t>-5.0701922</t>
  </si>
  <si>
    <t>-42.8791947</t>
  </si>
  <si>
    <t>https://www.google.com/maps/search/?api=1&amp;query=DAYANE%20LIMA%20Nails%20designer&amp;query_place_id=ChIJ84fc7OtHjgcR1nOH6OzDa-c</t>
  </si>
  <si>
    <t>Susu_tranças</t>
  </si>
  <si>
    <t>R. 7 - Marimar, Timon - MA, Brasil</t>
  </si>
  <si>
    <t>-5.074398</t>
  </si>
  <si>
    <t>-42.8800479</t>
  </si>
  <si>
    <t>https://www.google.com/maps/search/?api=1&amp;query=Susu_tran%C3%A7as&amp;query_place_id=ChIJ9wuzVwBHjgcRs43swNvD1fY</t>
  </si>
  <si>
    <t>R. 7</t>
  </si>
  <si>
    <t>Enny Ferreira Designer</t>
  </si>
  <si>
    <t>+55 86 99550-3780</t>
  </si>
  <si>
    <t>+5586995503780</t>
  </si>
  <si>
    <t>casa 71 - Rua 11, quadra AA, R. 11, quadra AA casa 71 - Boa esperança, Timon - MA, 65636-885, Brasil</t>
  </si>
  <si>
    <t>-5.0745418</t>
  </si>
  <si>
    <t>-42.8781348</t>
  </si>
  <si>
    <t>https://www.google.com/maps/search/?api=1&amp;query=Enny%20Ferreira%20Designer&amp;query_place_id=ChIJxVzeUp5HjgcRsQIh0I59Gkg</t>
  </si>
  <si>
    <t>casa 71 - Rua 11, quadra AA, R. 11, quadra AA casa 71</t>
  </si>
  <si>
    <t>Studio Larissa Raquel</t>
  </si>
  <si>
    <t>+55 86 98854-2254</t>
  </si>
  <si>
    <t>+5586988542254</t>
  </si>
  <si>
    <t>R. Peritoró, Q E - N° 43 - Residencial Cocais, Timon - MA, 65636-585, Brasil</t>
  </si>
  <si>
    <t>-5.1006544</t>
  </si>
  <si>
    <t>-42.8695582</t>
  </si>
  <si>
    <t>https://www.google.com/maps/search/?api=1&amp;query=Studio%20Larissa%20Raquel&amp;query_place_id=ChIJUZrEEetJjgcRC267FKAHGY4</t>
  </si>
  <si>
    <t>R. Peritoró, Q E - N° 43</t>
  </si>
  <si>
    <t>Salão LR Beleza renovada</t>
  </si>
  <si>
    <t>R. Alagoas, casa 98 - residencial Lírios, Timon - MA, 65635-478, Brasil</t>
  </si>
  <si>
    <t>-5.1150584</t>
  </si>
  <si>
    <t>-42.8693204</t>
  </si>
  <si>
    <t>https://www.google.com/maps/search/?api=1&amp;query=Sal%C3%A3o%20LR%20Beleza%20renovada&amp;query_place_id=ChIJIeuIvPBJjgcRG6ZQjHh1uRo</t>
  </si>
  <si>
    <t>R. Alagoas, casa 98</t>
  </si>
  <si>
    <t>Rainha Das Tranças</t>
  </si>
  <si>
    <t>+55 99 98826-3472</t>
  </si>
  <si>
    <t>+5599988263472</t>
  </si>
  <si>
    <t>Residêncial cocais - Rua matoes quadra-O, casa-28 - Bela Vista, Timon - MA, 65636-585, Brasil</t>
  </si>
  <si>
    <t>-5.0992382</t>
  </si>
  <si>
    <t>-42.8683998</t>
  </si>
  <si>
    <t>https://www.google.com/maps/search/?api=1&amp;query=Rainha%20Das%20Tran%C3%A7as&amp;query_place_id=ChIJ37H_BypJjgcRFXHXdWHWtTQ</t>
  </si>
  <si>
    <t>Residêncial cocais - Rua matoes quadra-O, casa-28</t>
  </si>
  <si>
    <t>Lais Hair</t>
  </si>
  <si>
    <t>+55 99 98457-3279</t>
  </si>
  <si>
    <t>+5599984573279</t>
  </si>
  <si>
    <t>R. Paraná, 10 - Julia Almeida, Timon - MA, 65635-469, Brasil</t>
  </si>
  <si>
    <t>-5.1128775</t>
  </si>
  <si>
    <t>-42.8677935</t>
  </si>
  <si>
    <t>https://www.google.com/maps/search/?api=1&amp;query=Lais%20Hair&amp;query_place_id=ChIJJTn-oGtJjgcRRgGcSHiR5wM</t>
  </si>
  <si>
    <t>R. Paraná, 10</t>
  </si>
  <si>
    <t>Amanda Silva Studio Beauty</t>
  </si>
  <si>
    <t>+55 99 98409-8612</t>
  </si>
  <si>
    <t>+5599984098612</t>
  </si>
  <si>
    <t>R. Filomena Martins Nazareno Bringel, 472 - Parque Piaui, Timon - MA, 65631-280, Brasil</t>
  </si>
  <si>
    <t>-5.0913683</t>
  </si>
  <si>
    <t>-42.8361983</t>
  </si>
  <si>
    <t>https://www.google.com/maps/search/?api=1&amp;query=Amanda%20Silva%20Studio%20Beauty&amp;query_place_id=ChIJ75RlY2NHjgcRkUhHLvs0T1o</t>
  </si>
  <si>
    <t>R. Filomena Martins Nazareno Bringel, 472</t>
  </si>
  <si>
    <t>Espaço Unhas e Sobrancelhas</t>
  </si>
  <si>
    <t>R. 17, 225 - Parque Piaui, Timon - MA, 65638-005, Brasil</t>
  </si>
  <si>
    <t>-5.0945277</t>
  </si>
  <si>
    <t>-42.8458373</t>
  </si>
  <si>
    <t>https://www.google.com/maps/search/?api=1&amp;query=Espa%C3%A7o%20Unhas%20e%20Sobrancelhas&amp;query_place_id=ChIJ_dPsb-03jgcR0hib0RLMpmg</t>
  </si>
  <si>
    <t>R. 17, 225</t>
  </si>
  <si>
    <t>Espaço Brenda Guedes</t>
  </si>
  <si>
    <t>+55 86 99844-3431</t>
  </si>
  <si>
    <t>+5586998443431</t>
  </si>
  <si>
    <t>Av. Teresina, 813B - Parque Piaui, Timon - MA, 65636-500, Brasil</t>
  </si>
  <si>
    <t>-5.0944995</t>
  </si>
  <si>
    <t>-42.8363109</t>
  </si>
  <si>
    <t>https://www.google.com/maps/search/?api=1&amp;query=Espa%C3%A7o%20Brenda%20Guedes&amp;query_place_id=ChIJaR0jows3jgcRjB5GvpiB8tE</t>
  </si>
  <si>
    <t>Av. Teresina, 813B</t>
  </si>
  <si>
    <t>Studio Laiza Minelle</t>
  </si>
  <si>
    <t>+55 99 98827-0277</t>
  </si>
  <si>
    <t>+5599988270277</t>
  </si>
  <si>
    <t>R. Marcos Batista da Silva - Timon, MA, 65631-085, Brasil</t>
  </si>
  <si>
    <t>-5.0916666</t>
  </si>
  <si>
    <t>-42.8416215</t>
  </si>
  <si>
    <t>https://www.google.com/maps/search/?api=1&amp;query=Studio%20Laiza%20Minelle&amp;query_place_id=ChIJ8wcKAoY3jgcRF3iGG29EGHM</t>
  </si>
  <si>
    <t>R. Marcos Batista da Silva</t>
  </si>
  <si>
    <t>Camila Sousa Micropigmentação</t>
  </si>
  <si>
    <t>+55 86 99418-9449</t>
  </si>
  <si>
    <t>+5586994189449</t>
  </si>
  <si>
    <t>Tv. Napoleão Guimarães, 3153 - Flores II, Timon - MA, 65636-480, Brasil</t>
  </si>
  <si>
    <t>-5.1048944</t>
  </si>
  <si>
    <t>-42.8523829</t>
  </si>
  <si>
    <t>https://www.google.com/maps/search/?api=1&amp;query=Camila%20Sousa%20Micropigmenta%C3%A7%C3%A3o&amp;query_place_id=ChIJib2kTQA3jgcRzU_WZlg_4Ew</t>
  </si>
  <si>
    <t>Tv. Napoleão Guimarães, 3153</t>
  </si>
  <si>
    <t>Studio Gabriela Rocha</t>
  </si>
  <si>
    <t>+55 86 99405-1260</t>
  </si>
  <si>
    <t>+5586994051260</t>
  </si>
  <si>
    <t>Av. Teresina - Parque Piauí II, Timon - MA, 65636-500, Brasil</t>
  </si>
  <si>
    <t>-5.0979427</t>
  </si>
  <si>
    <t>-42.8435817</t>
  </si>
  <si>
    <t>https://www.google.com/maps/search/?api=1&amp;query=Studio%20Gabriela%20Rocha&amp;query_place_id=ChIJQeCMymw3jgcRpSHhfOjGg6w</t>
  </si>
  <si>
    <t>Av. Teresina</t>
  </si>
  <si>
    <t>Mistura de cores esmaltearia 🏼</t>
  </si>
  <si>
    <t>Parque Piaui, Timon - MA, 65636-696, Brasil</t>
  </si>
  <si>
    <t>-5.0908956</t>
  </si>
  <si>
    <t>-42.8330075</t>
  </si>
  <si>
    <t>https://www.google.com/maps/search/?api=1&amp;query=Mistura%20de%20cores%20esmaltearia%20%F0%9F%8F%BC&amp;query_place_id=ChIJj7HHHSA3jgcRtGlQeeXHJyM</t>
  </si>
  <si>
    <t>Espaço do Revendedor Grupo Boticário</t>
  </si>
  <si>
    <t>Av. Pres. Médici, 643 - Parque Piaui, Timon - MA, 65631-390, Brasil</t>
  </si>
  <si>
    <t>-5.0932942</t>
  </si>
  <si>
    <t>-42.8328796</t>
  </si>
  <si>
    <t>https://www.google.com/maps/search/?api=1&amp;query=Espa%C3%A7o%20do%20Revendedor%20Grupo%20Botic%C3%A1rio&amp;query_place_id=ChIJtUJAmH43jgcRsK_1SHwkk4s</t>
  </si>
  <si>
    <t>Av. Pres. Médici, 643</t>
  </si>
  <si>
    <t>Espaço Drª. Christiane Lacerda</t>
  </si>
  <si>
    <t>+55 86 99969-3946</t>
  </si>
  <si>
    <t>+5586999693946</t>
  </si>
  <si>
    <t>-5.096802</t>
  </si>
  <si>
    <t>-42.8209059</t>
  </si>
  <si>
    <t>https://www.google.com/maps/search/?api=1&amp;query=Espa%C3%A7o%20Dr%C2%AA.%20Christiane%20Lacerda&amp;query_place_id=ChIJZdkTxQw3jgcRt4rPfjS_xSU</t>
  </si>
  <si>
    <t>Letícia Hashiguchi Nail Designer</t>
  </si>
  <si>
    <t>+55 86 98865-0849</t>
  </si>
  <si>
    <t>+5586988650849</t>
  </si>
  <si>
    <t>R. Luís Domingues, 414 - Centro, Timon - MA, 65630-110, Brasil</t>
  </si>
  <si>
    <t>-5.0999426</t>
  </si>
  <si>
    <t>-42.8219873</t>
  </si>
  <si>
    <t>https://www.google.com/maps/search/?api=1&amp;query=Let%C3%ADcia%20Hashiguchi%20Nail%20Designer&amp;query_place_id=ChIJH8394dY3jgcRWHAi5ib2ZiQ</t>
  </si>
  <si>
    <t>R. Luís Domingues, 414</t>
  </si>
  <si>
    <t>Studio GABRIELE TRINDADE</t>
  </si>
  <si>
    <t>+55 86 99471-4113</t>
  </si>
  <si>
    <t>+5586994714113</t>
  </si>
  <si>
    <t>R. Duque de Caxias, 719 - Centro, Timon - MA, 65630-526, Brasil</t>
  </si>
  <si>
    <t>-5.1026041</t>
  </si>
  <si>
    <t>-42.8231872</t>
  </si>
  <si>
    <t>https://www.google.com/maps/search/?api=1&amp;query=Studio%20GABRIELE%20TRINDADE&amp;query_place_id=ChIJH8KEPyA3jgcRcfHcj1KypKY</t>
  </si>
  <si>
    <t>R. Duque de Caxias, 719</t>
  </si>
  <si>
    <t>Ana Cabelos</t>
  </si>
  <si>
    <t>+55 86 98861-3088</t>
  </si>
  <si>
    <t>+5586988613088</t>
  </si>
  <si>
    <t>Av. Tiúba, 509 - Pedro Patrício, Timon - MA, 65630-380, Brasil</t>
  </si>
  <si>
    <t>-5.1102251</t>
  </si>
  <si>
    <t>-42.8413566</t>
  </si>
  <si>
    <t>https://www.google.com/maps/search/?api=1&amp;query=Ana%20Cabelos&amp;query_place_id=ChIJpSJaxYc3jgcRH29sBLaUayg</t>
  </si>
  <si>
    <t>Av. Tiúba, 509</t>
  </si>
  <si>
    <t>Studio Modelo</t>
  </si>
  <si>
    <t>+55 86 98867-0151</t>
  </si>
  <si>
    <t>+5586988670151</t>
  </si>
  <si>
    <t>Av Presidente medici, Tv. Um Pq Piaui, 1034A, Timon - MA, 65631-391, Brasil</t>
  </si>
  <si>
    <t>-5.0972023</t>
  </si>
  <si>
    <t>-42.8312564</t>
  </si>
  <si>
    <t>https://www.google.com/maps/search/?api=1&amp;query=Studio%20Modelo&amp;query_place_id=ChIJ1XACNks3jgcRoQM7hqIvUi4</t>
  </si>
  <si>
    <t>Av Presidente medici, Tv. Um Pq Piaui, 1034A</t>
  </si>
  <si>
    <t>AC Studio</t>
  </si>
  <si>
    <t>+55 86 99957-1748</t>
  </si>
  <si>
    <t>+5586999571748</t>
  </si>
  <si>
    <t>R. Luís Píres de Sá - Parque Piaui, Timon - MA, 65631-290, Brasil</t>
  </si>
  <si>
    <t>-5.0901993</t>
  </si>
  <si>
    <t>-42.8366499</t>
  </si>
  <si>
    <t>https://www.google.com/maps/search/?api=1&amp;query=AC%20Studio&amp;query_place_id=ChIJH9Hp04g3jgcRt-N_SxY0n6U</t>
  </si>
  <si>
    <t>R. Luís Píres de Sá</t>
  </si>
  <si>
    <t>Salão vip</t>
  </si>
  <si>
    <t>Av. Francisco Carlos Jansen, 1600 - Parque Piaui, Timon - MA, 64002-150, Brasil</t>
  </si>
  <si>
    <t>-5.0863712</t>
  </si>
  <si>
    <t>-42.8372766</t>
  </si>
  <si>
    <t>https://www.google.com/maps/search/?api=1&amp;query=Sal%C3%A3o%20vip&amp;query_place_id=ChIJKbAFO3c5jgcRnlh--maiYT4</t>
  </si>
  <si>
    <t>Av. Francisco Carlos Jansen, 1600</t>
  </si>
  <si>
    <t>Mermã Barbearia e Salão</t>
  </si>
  <si>
    <t>+55 99 98836-8586</t>
  </si>
  <si>
    <t>+5599988368586</t>
  </si>
  <si>
    <t>Av. Teresina, 1625 - Parque Piaui, Timon - MA, 65636-430, Brasil</t>
  </si>
  <si>
    <t>-5.0982963</t>
  </si>
  <si>
    <t>-42.8435626</t>
  </si>
  <si>
    <t>https://www.google.com/maps/search/?api=1&amp;query=Merm%C3%A3%20Barbearia%20e%20Sal%C3%A3o&amp;query_place_id=ChIJZZyIuZQ3jgcRFUTFCIA9Ixc</t>
  </si>
  <si>
    <t>Av. Teresina, 1625</t>
  </si>
  <si>
    <t>Studio Viana Cabelos</t>
  </si>
  <si>
    <t>+55 99 98161-9885</t>
  </si>
  <si>
    <t>+5599981619885</t>
  </si>
  <si>
    <t>R. Dr. João Lula, 2524 - Parque Piauí II, Timon - MA, 65636-420, Brasil</t>
  </si>
  <si>
    <t>-5.1032589</t>
  </si>
  <si>
    <t>-42.8430307</t>
  </si>
  <si>
    <t>https://www.google.com/maps/search/?api=1&amp;query=Studio%20Viana%20Cabelos&amp;query_place_id=ChIJOVOOlqA3jgcRTD2g4FYu_lQ</t>
  </si>
  <si>
    <t>R. Dr. João Lula, 2524</t>
  </si>
  <si>
    <t>Bronze Della's -Bronzeamento &amp; estética</t>
  </si>
  <si>
    <t>R. José Constâncio, 1288 - Parque Piauí II, Timon - MA, 65636-207, Brasil</t>
  </si>
  <si>
    <t>-5.0989273</t>
  </si>
  <si>
    <t>-42.8380185</t>
  </si>
  <si>
    <t>https://www.google.com/maps/search/?api=1&amp;query=Bronze%20Della's%20-Bronzeamento%20%26%20est%C3%A9tica&amp;query_place_id=ChIJ4XKKSs83jgcRgxwYi_VXqDI</t>
  </si>
  <si>
    <t>R. José Constâncio, 1288</t>
  </si>
  <si>
    <t>Studio Carla Hair</t>
  </si>
  <si>
    <t>+55 86 98874-0738</t>
  </si>
  <si>
    <t>+5586988740738</t>
  </si>
  <si>
    <t>R. 103, 1530 - Parque Uniao, Timon - MA, 65631-370, Brasil</t>
  </si>
  <si>
    <t>-5.086857</t>
  </si>
  <si>
    <t>-42.8440443</t>
  </si>
  <si>
    <t>https://www.google.com/maps/search/?api=1&amp;query=Studio%20Carla%20Hair&amp;query_place_id=ChIJeXDqqRA4jgcRgWI8r2qu3gE</t>
  </si>
  <si>
    <t>R. 103, 1530</t>
  </si>
  <si>
    <t>Espaço Magnifica</t>
  </si>
  <si>
    <t>+55 86 98842-8424</t>
  </si>
  <si>
    <t>+5586988428424</t>
  </si>
  <si>
    <t>Rua Adão Belarmino - Parque Piauí I, Timon - MA, 65636-540, Brasil</t>
  </si>
  <si>
    <t>-5.093725</t>
  </si>
  <si>
    <t>-42.8376405</t>
  </si>
  <si>
    <t>https://www.google.com/maps/search/?api=1&amp;query=Espa%C3%A7o%20Magnifica&amp;query_place_id=ChIJSZaJOo43jgcRhsFQDFZu7h4</t>
  </si>
  <si>
    <t>Rua Adão Belarmino</t>
  </si>
  <si>
    <t>STÚDIO AYLLA ASSUNÇÃO</t>
  </si>
  <si>
    <t>+55 86 98125-5118</t>
  </si>
  <si>
    <t>+5586981255118</t>
  </si>
  <si>
    <t>Rua seis, R. Maria Corrêa, 1325, Timon - MA, 65634-320, Brasil</t>
  </si>
  <si>
    <t>-5.1125163</t>
  </si>
  <si>
    <t>-42.8357114</t>
  </si>
  <si>
    <t>https://www.google.com/maps/search/?api=1&amp;query=ST%C3%9ADIO%20AYLLA%20ASSUN%C3%87%C3%83O&amp;query_place_id=ChIJLwk_N4I3jgcRyBJPGiBmmFg</t>
  </si>
  <si>
    <t>Rua seis, R. Maria Corrêa, 1325</t>
  </si>
  <si>
    <t>Ângela Sousa Beauty Studio</t>
  </si>
  <si>
    <t>+55 86 98885-8771</t>
  </si>
  <si>
    <t>+5586988858771</t>
  </si>
  <si>
    <t>R. Manoel Marinho de Menezes, 448 - Santo Antonio, Timon - MA, 65630-230, Brasil</t>
  </si>
  <si>
    <t>-5.1066975</t>
  </si>
  <si>
    <t>-42.8229373</t>
  </si>
  <si>
    <t>https://www.google.com/maps/search/?api=1&amp;query=%C3%82ngela%20Sousa%20Beauty%20Studio&amp;query_place_id=ChIJG6pBNHU3jgcR0IredBAT4Io</t>
  </si>
  <si>
    <t>R. Manoel Marinho de Menezes, 448</t>
  </si>
  <si>
    <t>Salao Cabelos e Beleza</t>
  </si>
  <si>
    <t>+55 86 98872-5213</t>
  </si>
  <si>
    <t>+5586988725213</t>
  </si>
  <si>
    <t>R. São José, 876 - São Benedito, Timon - MA, 65636-320, Brasil</t>
  </si>
  <si>
    <t>-5.1042895</t>
  </si>
  <si>
    <t>-42.8359849</t>
  </si>
  <si>
    <t>https://www.google.com/maps/search/?api=1&amp;query=Salao%20Cabelos%20e%20Beleza&amp;query_place_id=ChIJ30Y3jzg3jgcReK8OIRnI0vU</t>
  </si>
  <si>
    <t>R. São José, 876</t>
  </si>
  <si>
    <t>Studio Luana Vanessa</t>
  </si>
  <si>
    <t>+55 86 99498-6355</t>
  </si>
  <si>
    <t>+5586994986355</t>
  </si>
  <si>
    <t>R. Dezessete, Casa 21 QD 124 LT 05 - Cidade Nova, Timon - MA, 65630-020, Brasil</t>
  </si>
  <si>
    <t>-5.1244015</t>
  </si>
  <si>
    <t>-42.8315332</t>
  </si>
  <si>
    <t>https://www.google.com/maps/search/?api=1&amp;query=Studio%20Luana%20Vanessa&amp;query_place_id=ChIJH48OL083jgcR4L9JN3f5-IA</t>
  </si>
  <si>
    <t>R. Dezessete, Casa 21 QD 124 LT 05</t>
  </si>
  <si>
    <t>Celysandra Rodrigues Studio Hair</t>
  </si>
  <si>
    <t>+55 86 98803-5519</t>
  </si>
  <si>
    <t>+5586988035519</t>
  </si>
  <si>
    <t>R. Vinte e Dois, 1069 - Vila Angélica, Timon - MA, 65634-392, Brasil</t>
  </si>
  <si>
    <t>-5.1119267</t>
  </si>
  <si>
    <t>-42.8473233</t>
  </si>
  <si>
    <t>https://www.google.com/maps/search/?api=1&amp;query=Celysandra%20Rodrigues%20Studio%20Hair&amp;query_place_id=ChIJWUXclKI3jgcRpDaUsDAqEg4</t>
  </si>
  <si>
    <t>R. Vinte e Dois, 1069</t>
  </si>
  <si>
    <t>Maria Bonita Beauty</t>
  </si>
  <si>
    <t>+55 86 98824-3192</t>
  </si>
  <si>
    <t>+5586988243192</t>
  </si>
  <si>
    <t>Shopping Cocais, Av. Piauí, 700 - Centro, Timon - MA, 65630-030, Brasil</t>
  </si>
  <si>
    <t>-5.0918385</t>
  </si>
  <si>
    <t>-42.8243305</t>
  </si>
  <si>
    <t>https://www.google.com/maps/search/?api=1&amp;query=Maria%20Bonita%20Beauty&amp;query_place_id=ChIJM-ksOgU3jgcRLtow96ZFXlE</t>
  </si>
  <si>
    <t>Shopping Cocais, Av. Piauí, 700</t>
  </si>
  <si>
    <t>Salão Jeito De Mulher</t>
  </si>
  <si>
    <t>-5.1043936</t>
  </si>
  <si>
    <t>-42.8256416</t>
  </si>
  <si>
    <t>https://www.google.com/maps/search/?api=1&amp;query=Sal%C3%A3o%20Jeito%20De%20Mulher&amp;query_place_id=ChIJC7lrbKA3jgcRXiKRVeMXGGU</t>
  </si>
  <si>
    <t>Studio Elenir Oliveira</t>
  </si>
  <si>
    <t>+55 86 98881-6282</t>
  </si>
  <si>
    <t>+5586988816282</t>
  </si>
  <si>
    <t>R. Antônio Marques, N° 220 - Parque Piaui, Timon - MA, 65636-202, Brasil</t>
  </si>
  <si>
    <t>-5.0903824</t>
  </si>
  <si>
    <t>-42.8357158</t>
  </si>
  <si>
    <t>https://www.google.com/maps/search/?api=1&amp;query=Studio%20Elenir%20Oliveira&amp;query_place_id=ChIJCbLe9ow3jgcRi0K8IC4dQ0Y</t>
  </si>
  <si>
    <t>R. Antônio Marques, N° 220</t>
  </si>
  <si>
    <t>Studio Ewerton Gomes</t>
  </si>
  <si>
    <t>+55 86 99956-4380</t>
  </si>
  <si>
    <t>+5586999564380</t>
  </si>
  <si>
    <t>Av. Teresina, 832 - Parque Piaui, Timon - MA, 65636-500, Brasil</t>
  </si>
  <si>
    <t>-5.0944476</t>
  </si>
  <si>
    <t>-42.8368055</t>
  </si>
  <si>
    <t>https://www.google.com/maps/search/?api=1&amp;query=Studio%20Ewerton%20Gomes&amp;query_place_id=ChIJA__HftA3jgcRSrbHc4NDLz0</t>
  </si>
  <si>
    <t>Av. Teresina, 832</t>
  </si>
  <si>
    <t>Studio Mary Araujo</t>
  </si>
  <si>
    <t>+55 99 98152-6329</t>
  </si>
  <si>
    <t>+5599981526329</t>
  </si>
  <si>
    <t>Tv. Treze de Maio, 306 - Centro, Timon - MA, 65630-310, Brasil</t>
  </si>
  <si>
    <t>-5.1042785</t>
  </si>
  <si>
    <t>-42.8244725</t>
  </si>
  <si>
    <t>https://www.google.com/maps/search/?api=1&amp;query=Studio%20Mary%20Araujo&amp;query_place_id=ChIJ4T86OgA3jgcR8IMqVmsq8HA</t>
  </si>
  <si>
    <t>Tv. Treze de Maio, 306</t>
  </si>
  <si>
    <t>Linda Cosméticos e Salão de beleza</t>
  </si>
  <si>
    <t>+55 86 99997-7696</t>
  </si>
  <si>
    <t>+5586999977696</t>
  </si>
  <si>
    <t>Av. Francisco Carlos Jansen, 1600 - Parque Piaui, Timon - MA, 65631-240, Brasil</t>
  </si>
  <si>
    <t>-5.0863437</t>
  </si>
  <si>
    <t>-42.8372712</t>
  </si>
  <si>
    <t>https://www.google.com/maps/search/?api=1&amp;query=Linda%20Cosm%C3%A9ticos%20e%20Sal%C3%A3o%20de%20beleza&amp;query_place_id=ChIJqYjSC603jgcR5UsWfdn3TBU</t>
  </si>
  <si>
    <t>R. Filomena Martins Nazareno Bringel, 430 - Parque Piaui, Timon - MA, 65636-560, Brasil</t>
  </si>
  <si>
    <t>-5.0913985</t>
  </si>
  <si>
    <t>-42.8363118</t>
  </si>
  <si>
    <t>https://www.google.com/maps/search/?api=1&amp;query=Amanda%20Silva%20Studio%20Beauty&amp;query_place_id=ChIJFXGrfAA3jgcRe58CcaU0Yc4</t>
  </si>
  <si>
    <t>R. Filomena Martins Nazareno Bringel, 430</t>
  </si>
  <si>
    <t>Rosângela Cabelos</t>
  </si>
  <si>
    <t>+55 86 98808-0482</t>
  </si>
  <si>
    <t>+5586988080482</t>
  </si>
  <si>
    <t>Rua Pernambuco, 526 - São Francisco, Timon - MA, 65638-385, Brasil</t>
  </si>
  <si>
    <t>-5.0844585</t>
  </si>
  <si>
    <t>-42.8394808</t>
  </si>
  <si>
    <t>https://www.google.com/maps/search/?api=1&amp;query=Ros%C3%A2ngela%20Cabelos&amp;query_place_id=ChIJiUdBKyc4jgcRcTSW0Mjblzk</t>
  </si>
  <si>
    <t>Rua Pernambuco, 526</t>
  </si>
  <si>
    <t>Katriely Studio 2</t>
  </si>
  <si>
    <t>Rua 18, 335 - Flores, Timon - MA, 65636-580, Brasil</t>
  </si>
  <si>
    <t>-5.096017</t>
  </si>
  <si>
    <t>-42.847024</t>
  </si>
  <si>
    <t>https://www.google.com/maps/search/?api=1&amp;query=Katriely%20Studio%202&amp;query_place_id=ChIJ6QNxQwA3jgcRpW5zZEbo3Lo</t>
  </si>
  <si>
    <t>Rua 18, 335</t>
  </si>
  <si>
    <t>Studio Via Bella</t>
  </si>
  <si>
    <t>+55 99 99935-5166</t>
  </si>
  <si>
    <t>+5599999355166</t>
  </si>
  <si>
    <t>Rua 107 n° 270 Bairro - São Francisco, Timon - MA, Brasil</t>
  </si>
  <si>
    <t>-5.0831875</t>
  </si>
  <si>
    <t>-42.842238</t>
  </si>
  <si>
    <t>https://www.google.com/maps/search/?api=1&amp;query=Studio%20Via%20Bella&amp;query_place_id=ChIJQ0QT55s5jgcRkAekoaEuF8k</t>
  </si>
  <si>
    <t>Rua 107 n° 270 Bairro</t>
  </si>
  <si>
    <t>Marlene Cabelos Salão De Beleza</t>
  </si>
  <si>
    <t>+55 86 98821-6916</t>
  </si>
  <si>
    <t>+5586988216916</t>
  </si>
  <si>
    <t>R. Elizete de Oliveira Farias, 204 - Parque Piaui, Timon - MA, 65631-230, Brasil</t>
  </si>
  <si>
    <t>-5.0928448</t>
  </si>
  <si>
    <t>-42.8295906</t>
  </si>
  <si>
    <t>https://www.google.com/maps/search/?api=1&amp;query=Marlene%20Cabelos%20Sal%C3%A3o%20De%20Beleza&amp;query_place_id=ChIJSaL5NYM3jgcRJ6UhAHrrr68</t>
  </si>
  <si>
    <t>R. Elizete de Oliveira Farias, 204</t>
  </si>
  <si>
    <t>Adriana Cabelos</t>
  </si>
  <si>
    <t>Beco 0, R. Vinte e Um - Flores, Timon - MA, 65636-385, Brasil</t>
  </si>
  <si>
    <t>-5.0985338</t>
  </si>
  <si>
    <t>-42.8517041</t>
  </si>
  <si>
    <t>https://www.google.com/maps/search/?api=1&amp;query=Adriana%20Cabelos&amp;query_place_id=ChIJ-2m3nIM3jgcR65OKqGTPo5M</t>
  </si>
  <si>
    <t>Beco 0, R. Vinte e Um</t>
  </si>
  <si>
    <t>Jordania Soares Studio de Beleza</t>
  </si>
  <si>
    <t>+55 86 99443-6473</t>
  </si>
  <si>
    <t>+5586994436473</t>
  </si>
  <si>
    <t>Avenida Melvin Jones, 623 - Pedro Patrício, Timon - MA, 65634-400, Brasil</t>
  </si>
  <si>
    <t>-5.1104649</t>
  </si>
  <si>
    <t>-42.8419293</t>
  </si>
  <si>
    <t>https://www.google.com/maps/search/?api=1&amp;query=Jordania%20Soares%20Studio%20de%20Beleza&amp;query_place_id=ChIJv3UcrSA3jgcRZe088DChxmA</t>
  </si>
  <si>
    <t>Avenida Melvin Jones, 623</t>
  </si>
  <si>
    <t>Spaço Bellita Estética Cosméticos e cabelo</t>
  </si>
  <si>
    <t>R. José Inácio da Silva Filho, 692 - Parque Piaui, Timon - MA, 65636-245, Brasil</t>
  </si>
  <si>
    <t>-5.0933179</t>
  </si>
  <si>
    <t>-42.8352738</t>
  </si>
  <si>
    <t>https://www.google.com/maps/search/?api=1&amp;query=Spa%C3%A7o%20Bellita%20Est%C3%A9tica%20Cosm%C3%A9ticos%20e%20cabelo&amp;query_place_id=ChIJxWdRXAk3jgcRSuGteNJoAQs</t>
  </si>
  <si>
    <t>R. José Inácio da Silva Filho, 692</t>
  </si>
  <si>
    <t>Aline Carvalho Beauty</t>
  </si>
  <si>
    <t>+55 99 99903-4360</t>
  </si>
  <si>
    <t>+5599999034360</t>
  </si>
  <si>
    <t>Av. Jaime Rios, 800A - Centro, Timon - MA, 65630-370, Brasil</t>
  </si>
  <si>
    <t>-5.0974979</t>
  </si>
  <si>
    <t>-42.8261077</t>
  </si>
  <si>
    <t>https://www.google.com/maps/search/?api=1&amp;query=Aline%20Carvalho%20Beauty&amp;query_place_id=ChIJO1kkcdk3jgcR8_kMiDOFLsM</t>
  </si>
  <si>
    <t>Av. Jaime Rios, 800A</t>
  </si>
  <si>
    <t>Erika Rayane Beauty Studio</t>
  </si>
  <si>
    <t>+55 86 99471-8980</t>
  </si>
  <si>
    <t>+5586994718980</t>
  </si>
  <si>
    <t>R. Pedro José Gomes, 497 - Parque Alvorada, Timon - MA, 65633-020, Brasil</t>
  </si>
  <si>
    <t>-5.1293259</t>
  </si>
  <si>
    <t>-42.8233209</t>
  </si>
  <si>
    <t>https://www.google.com/maps/search/?api=1&amp;query=Erika%20Rayane%20Beauty%20Studio&amp;query_place_id=ChIJUSil6443jgcRwfTNY-3ptJs</t>
  </si>
  <si>
    <t>R. Pedro José Gomes, 497</t>
  </si>
  <si>
    <t>Studio Lenna Carvalho</t>
  </si>
  <si>
    <t>+55 86 98864-1110</t>
  </si>
  <si>
    <t>+5586988641110</t>
  </si>
  <si>
    <t>Av. Raimundo Corrêa da Silva, 55 - Parque Alvorada, Timon - MA, 65633-641, Brasil</t>
  </si>
  <si>
    <t>-5.1310948</t>
  </si>
  <si>
    <t>-42.8297463</t>
  </si>
  <si>
    <t>https://www.google.com/maps/search/?api=1&amp;query=Studio%20Lenna%20Carvalho&amp;query_place_id=ChIJkxnrAlw2jgcR2cM1RghDHM0</t>
  </si>
  <si>
    <t>Av. Raimundo Corrêa da Silva, 55</t>
  </si>
  <si>
    <t>Girlene beauty Studio</t>
  </si>
  <si>
    <t>+55 86 99596-0355</t>
  </si>
  <si>
    <t>+5586995960355</t>
  </si>
  <si>
    <t>R. Emanuel Veloso, 2550 - São Pedro, Teresina - PI, 64018-041, Brasil</t>
  </si>
  <si>
    <t>-5.1172663</t>
  </si>
  <si>
    <t>-42.8141315</t>
  </si>
  <si>
    <t>https://www.google.com/maps/search/?api=1&amp;query=Girlene%20beauty%20Studio&amp;query_place_id=ChIJ0dMu6H83jgcRFfJJcFrO_ME</t>
  </si>
  <si>
    <t>R. Emanuel Veloso, 2550</t>
  </si>
  <si>
    <t>SALÃO TOP! (Joyce Alves )</t>
  </si>
  <si>
    <t>R. Constância Gomes da Silva, 84-126 - Parque Alvorada, Timon - MA, 65633-290, Brasil</t>
  </si>
  <si>
    <t>-5.1316227</t>
  </si>
  <si>
    <t>-42.830095</t>
  </si>
  <si>
    <t>https://www.google.com/maps/search/?api=1&amp;query=SAL%C3%83O%20TOP!%20(Joyce%20Alves%20)&amp;query_place_id=ChIJwel-Ilw2jgcRwT8LNHjdmaQ</t>
  </si>
  <si>
    <t>R. Constância Gomes da Silva, 84-126</t>
  </si>
  <si>
    <t>Salão das Estrelas</t>
  </si>
  <si>
    <t>+55 86 98849-9292</t>
  </si>
  <si>
    <t>+5586988499292</t>
  </si>
  <si>
    <t>R. Firmino Gonçalves Pedreira, 942 - Parque Piaui, Timon - MA, 65631-040, Brasil</t>
  </si>
  <si>
    <t>-5.0979639</t>
  </si>
  <si>
    <t>-42.8300593</t>
  </si>
  <si>
    <t>https://www.google.com/maps/search/?api=1&amp;query=Sal%C3%A3o%20das%20Estrelas&amp;query_place_id=ChIJq39DMPA3jgcRblqBoPHmnAo</t>
  </si>
  <si>
    <t>R. Firmino Gonçalves Pedreira, 942</t>
  </si>
  <si>
    <t>Alciane Almeida Studio</t>
  </si>
  <si>
    <t>+55 86 98839-2810</t>
  </si>
  <si>
    <t>+5586988392810</t>
  </si>
  <si>
    <t>Rua 15 390 cidade nova 1 - Cidade Nova, Timon - MA, 65633-635, Brasil</t>
  </si>
  <si>
    <t>-5.0922932</t>
  </si>
  <si>
    <t>-42.844605</t>
  </si>
  <si>
    <t>https://www.google.com/maps/search/?api=1&amp;query=Alciane%20Almeida%20Studio&amp;query_place_id=ChIJBSgYpD43jgcRkl4q5lkK2cQ</t>
  </si>
  <si>
    <t>Rua 15 390 cidade nova 1</t>
  </si>
  <si>
    <t>Constância Salão e Atelier</t>
  </si>
  <si>
    <t>+55 86 98861-4179</t>
  </si>
  <si>
    <t>+5586988614179</t>
  </si>
  <si>
    <t>R. Nove, 13 - N° 20 - São Francisco II, Timon - MA, 65638-305, Brasil</t>
  </si>
  <si>
    <t>-5.0851328</t>
  </si>
  <si>
    <t>-42.8543745</t>
  </si>
  <si>
    <t>https://www.google.com/maps/search/?api=1&amp;query=Const%C3%A2ncia%20Sal%C3%A3o%20e%20Atelier&amp;query_place_id=ChIJfxLb2XY3jgcRheS9oU1KUw4</t>
  </si>
  <si>
    <t>R. Nove, 13 - N° 20</t>
  </si>
  <si>
    <t>Studio Sandra Bastos Estética de Unha</t>
  </si>
  <si>
    <t>R. Filomena Martins Nazareno Bringel, 375 - Parque Piaui, Timon - MA, 65631-280, Brasil</t>
  </si>
  <si>
    <t>-5.091304</t>
  </si>
  <si>
    <t>-42.8357249</t>
  </si>
  <si>
    <t>https://www.google.com/maps/search/?api=1&amp;query=Studio%20Sandra%20Bastos%20Est%C3%A9tica%20de%20Unha&amp;query_place_id=ChIJy2pah583jgcRKJVmaAibP8A</t>
  </si>
  <si>
    <t>R. Filomena Martins Nazareno Bringel, 375</t>
  </si>
  <si>
    <t>Studio Patrícia Moura (Beleza e Estética).</t>
  </si>
  <si>
    <t>+55 86 98869-7745</t>
  </si>
  <si>
    <t>+5586988697745</t>
  </si>
  <si>
    <t>R. Ten. Antonio Correia Da Silva, 25 - Parque Piauí II, Timon - MA, 65631-360, Brasil</t>
  </si>
  <si>
    <t>-5.0957588</t>
  </si>
  <si>
    <t>-42.8526651</t>
  </si>
  <si>
    <t>https://www.google.com/maps/search/?api=1&amp;query=Studio%20Patr%C3%ADcia%20Moura%20(Beleza%20e%20Est%C3%A9tica).&amp;query_place_id=ChIJ0b-hYYU3jgcRccektJkINM4</t>
  </si>
  <si>
    <t>R. Ten. Antonio Correia Da Silva, 25</t>
  </si>
  <si>
    <t>Salao divas</t>
  </si>
  <si>
    <t>+55 86 98844-6939</t>
  </si>
  <si>
    <t>+5586988446939</t>
  </si>
  <si>
    <t>Beco 01, 35 - Bela Vista, Timon - MA, 65636-445, Brasil</t>
  </si>
  <si>
    <t>-5.0958357</t>
  </si>
  <si>
    <t>-42.8531925</t>
  </si>
  <si>
    <t>https://www.google.com/maps/search/?api=1&amp;query=Salao%20divas&amp;query_place_id=ChIJl3slEJc3jgcRMXSNN2Gefv0</t>
  </si>
  <si>
    <t>Beco 01, 35</t>
  </si>
  <si>
    <t>Salão Canaã O Irmão</t>
  </si>
  <si>
    <t>+55 86 98895-1072</t>
  </si>
  <si>
    <t>+5586988951072</t>
  </si>
  <si>
    <t>R. São José, 1963 - São Benedito, Timon - MA, 65636-320, Brasil</t>
  </si>
  <si>
    <t>-5.1081472</t>
  </si>
  <si>
    <t>-42.8431176</t>
  </si>
  <si>
    <t>https://www.google.com/maps/search/?api=1&amp;query=Sal%C3%A3o%20Cana%C3%A3%20O%20Irm%C3%A3o&amp;query_place_id=ChIJmSqDZ7g3jgcRfEEvlK1Ct2c</t>
  </si>
  <si>
    <t>R. São José, 1963</t>
  </si>
  <si>
    <t>Salão Novo Stilos</t>
  </si>
  <si>
    <t>+55 86 98853-1668</t>
  </si>
  <si>
    <t>+5586988531668</t>
  </si>
  <si>
    <t>Av. Benedito Ferreira Campos, 851 - Parque Alvorada, Timon - MA, 65633-280, Brasil</t>
  </si>
  <si>
    <t>-5.1298108</t>
  </si>
  <si>
    <t>-42.8283181</t>
  </si>
  <si>
    <t>https://www.google.com/maps/search/?api=1&amp;query=Sal%C3%A3o%20Novo%20Stilos&amp;query_place_id=ChIJ8bQFQFk2jgcRzZ8SUBzOMZc</t>
  </si>
  <si>
    <t>Av. Benedito Ferreira Campos, 851</t>
  </si>
  <si>
    <t>JN Studio</t>
  </si>
  <si>
    <t>+55 86 98861-9431</t>
  </si>
  <si>
    <t>+5586988619431</t>
  </si>
  <si>
    <t>Sete Estrelas, Timon - MA, 65632-655, Brasil</t>
  </si>
  <si>
    <t>-5.1351859</t>
  </si>
  <si>
    <t>-42.8276238</t>
  </si>
  <si>
    <t>https://www.google.com/maps/search/?api=1&amp;query=JN%20Studio&amp;query_place_id=ChIJ1a-0hWA2jgcR-1VF2N4NLeM</t>
  </si>
  <si>
    <t>Deyse Unhas &amp; Sobrancelhas</t>
  </si>
  <si>
    <t>+55 86 99865-9254</t>
  </si>
  <si>
    <t>+5586998659254</t>
  </si>
  <si>
    <t>Av. Circular, 574 - Formosa, Timon - MA, 65634-190, Brasil</t>
  </si>
  <si>
    <t>-5.109062</t>
  </si>
  <si>
    <t>-42.8314659</t>
  </si>
  <si>
    <t>https://www.google.com/maps/search/?api=1&amp;query=Deyse%20Unhas%20%26%20Sobrancelhas&amp;query_place_id=ChIJ8ZwssKU3jgcR961TcUx5eQA</t>
  </si>
  <si>
    <t>Av. Circular, 574</t>
  </si>
  <si>
    <t>Studio Daniele aguiar</t>
  </si>
  <si>
    <t>+55 86 99567-2381</t>
  </si>
  <si>
    <t>+5586995672381</t>
  </si>
  <si>
    <t>Rua Jamil de Miranda Gedeon, rua, 50 - Parque Piaui, Timon - MA, Brasil</t>
  </si>
  <si>
    <t>-5.0975433</t>
  </si>
  <si>
    <t>-42.8398646</t>
  </si>
  <si>
    <t>https://www.google.com/maps/search/?api=1&amp;query=Studio%20Daniele%20aguiar&amp;query_place_id=ChIJLfd_WwA3jgcRPbRJ7DWuzEc</t>
  </si>
  <si>
    <t>Rua Jamil de Miranda Gedeon, rua, 50</t>
  </si>
  <si>
    <t>Studio Mycaelle Santos</t>
  </si>
  <si>
    <t>+55 99 98836-8099</t>
  </si>
  <si>
    <t>+5599988368099</t>
  </si>
  <si>
    <t>-5.1029223</t>
  </si>
  <si>
    <t>-42.8621114</t>
  </si>
  <si>
    <t>https://www.google.com/maps/search/?api=1&amp;query=Studio%20Mycaelle%20Santos&amp;query_place_id=ChIJDdPiSQA3jgcRSwdDCfF4noU</t>
  </si>
  <si>
    <t>Studio Taynara Silva</t>
  </si>
  <si>
    <t>+55 99 98178-0041</t>
  </si>
  <si>
    <t>+5599981780041</t>
  </si>
  <si>
    <t>R. 103, 19 - número 894 - Bela Vista, Timon - MA, 65637-576, Brasil</t>
  </si>
  <si>
    <t>-5.0915971</t>
  </si>
  <si>
    <t>-42.8523307</t>
  </si>
  <si>
    <t>https://www.google.com/maps/search/?api=1&amp;query=Studio%20Taynara%20Silva&amp;query_place_id=ChIJf8n8xMg3jgcRfCuchQqgRtc</t>
  </si>
  <si>
    <t>R. 103, 19 - número 894</t>
  </si>
  <si>
    <t>Studio Cris Santos</t>
  </si>
  <si>
    <t>+55 99 98829-7168</t>
  </si>
  <si>
    <t>+5599988297168</t>
  </si>
  <si>
    <t>Residencial Palestina - R. Dois, Quadra F - Casa 11 - São Francisco II, Timon - MA, 65638-435, Brasil</t>
  </si>
  <si>
    <t>-5.0866124</t>
  </si>
  <si>
    <t>-42.8468791</t>
  </si>
  <si>
    <t>https://www.google.com/maps/search/?api=1&amp;query=Studio%20Cris%20Santos&amp;query_place_id=ChIJ--GsPJM3jgcRBGI2wp42AEA</t>
  </si>
  <si>
    <t>Residencial Palestina - R. Dois, Quadra F - Casa 11</t>
  </si>
  <si>
    <t>Studio Silvana Marreiros</t>
  </si>
  <si>
    <t>+55 86 98852-0054</t>
  </si>
  <si>
    <t>+5586988520054</t>
  </si>
  <si>
    <t>Av. Francisco Vitorino de Assunção, N 678A Av. 03, N298A - Parque Piaui, Timon - MA, 65636-310, Brasil</t>
  </si>
  <si>
    <t>-5.0935733</t>
  </si>
  <si>
    <t>-42.8399901</t>
  </si>
  <si>
    <t>https://www.google.com/maps/search/?api=1&amp;query=Studio%20Silvana%20Marreiros&amp;query_place_id=ChIJw5WNw0g3jgcR2yAm9C3kwDs</t>
  </si>
  <si>
    <t>Av. Francisco Vitorino de Assunção, N 678A Av. 03, N298A</t>
  </si>
  <si>
    <t>Studio MRodrigues</t>
  </si>
  <si>
    <t>+55 86 99901-6465</t>
  </si>
  <si>
    <t>+5586999016465</t>
  </si>
  <si>
    <t>R. Quatro, 1953 - Parque Aliança, Timon - MA, 65638-135, Brasil</t>
  </si>
  <si>
    <t>-5.0876388</t>
  </si>
  <si>
    <t>-42.8512841</t>
  </si>
  <si>
    <t>https://www.google.com/maps/search/?api=1&amp;query=Studio%20MRodrigues&amp;query_place_id=ChIJlwVzyG03jgcRsqKTxTMNi70</t>
  </si>
  <si>
    <t>R. Quatro, 1953</t>
  </si>
  <si>
    <t>Salão Fio a Perfil Cabelos</t>
  </si>
  <si>
    <t>R. São José, 522 - São Benedito, Timon - MA, 65636-320, Brasil</t>
  </si>
  <si>
    <t>-5.1027899</t>
  </si>
  <si>
    <t>-42.8329691</t>
  </si>
  <si>
    <t>https://www.google.com/maps/search/?api=1&amp;query=Sal%C3%A3o%20Fio%20a%20Perfil%20Cabelos&amp;query_place_id=ChIJbYiHawA3jgcRlDDAFN-sxw0</t>
  </si>
  <si>
    <t>R. São José, 522</t>
  </si>
  <si>
    <t>Studio_afro_hair</t>
  </si>
  <si>
    <t>+55 86 98195-4082</t>
  </si>
  <si>
    <t>+5586981954082</t>
  </si>
  <si>
    <t>V4GW+MC - Timon, MA, Brasil</t>
  </si>
  <si>
    <t>-5.123301</t>
  </si>
  <si>
    <t>-42.853897</t>
  </si>
  <si>
    <t>https://www.google.com/maps/search/?api=1&amp;query=Studio_afro_hair&amp;query_place_id=ChIJ1-LI7dA3jgcRlrHUnQq2PVE</t>
  </si>
  <si>
    <t>V4GW+MC</t>
  </si>
  <si>
    <t>Studio formas &amp; fios</t>
  </si>
  <si>
    <t>+55 61 98569-0517</t>
  </si>
  <si>
    <t>+5561985690517</t>
  </si>
  <si>
    <t>Av. Raimundo Corrêa da Silva - Parque Alvorada, Timon - MA, 72225-202, Brasil</t>
  </si>
  <si>
    <t>-5.1260245</t>
  </si>
  <si>
    <t>-42.8315316</t>
  </si>
  <si>
    <t>https://www.google.com/maps/search/?api=1&amp;query=Studio%20formas%20%26%20fios&amp;query_place_id=ChIJV1TfjQs3jgcRoYwiuOmN3Tc</t>
  </si>
  <si>
    <t>Av. Raimundo Corrêa da Silva</t>
  </si>
  <si>
    <t>Studio Daniele Azevedo Beauty</t>
  </si>
  <si>
    <t>+55 99 98416-9420</t>
  </si>
  <si>
    <t>+5599984169420</t>
  </si>
  <si>
    <t>B 05, Q 5 - C 1 - Timon, MA, 65635-486, Brasil</t>
  </si>
  <si>
    <t>-5.111339</t>
  </si>
  <si>
    <t>-42.8495025</t>
  </si>
  <si>
    <t>https://www.google.com/maps/search/?api=1&amp;query=Studio%20Daniele%20Azevedo%20Beauty&amp;query_place_id=ChIJ0WAsMNU3jgcR0dqt6d-CncE</t>
  </si>
  <si>
    <t>B 05, Q 5 - C 1</t>
  </si>
  <si>
    <t>Creuza SALON</t>
  </si>
  <si>
    <t>+55 86 98824-9070</t>
  </si>
  <si>
    <t>+5586988249070</t>
  </si>
  <si>
    <t>R. Aquiles Lisboa, 110 - Centro, Timon - MA, 65630-300, Brasil</t>
  </si>
  <si>
    <t>-5.1002566</t>
  </si>
  <si>
    <t>-42.8204682</t>
  </si>
  <si>
    <t>https://www.google.com/maps/search/?api=1&amp;query=Creuza%20SALON&amp;query_place_id=ChIJ6Wf5CuU3jgcRBMr8ccla8rY</t>
  </si>
  <si>
    <t>R. Aquiles Lisboa, 110</t>
  </si>
  <si>
    <t>Ms Studio Haiir</t>
  </si>
  <si>
    <t>+55 99 98525-0626</t>
  </si>
  <si>
    <t>+5599985250626</t>
  </si>
  <si>
    <t>R. Um, 85 - Cidade Nova, Timon - MA, 65633-722, Brasil</t>
  </si>
  <si>
    <t>-5.1235087</t>
  </si>
  <si>
    <t>-42.8238487</t>
  </si>
  <si>
    <t>https://www.google.com/maps/search/?api=1&amp;query=Ms%20Studio%20Haiir&amp;query_place_id=ChIJg_3Ug0s3jgcRTRCVdim4sdE</t>
  </si>
  <si>
    <t>R. Um, 85</t>
  </si>
  <si>
    <t>Beleza Vip</t>
  </si>
  <si>
    <t>+55 86 98828-4569</t>
  </si>
  <si>
    <t>+5586988284569</t>
  </si>
  <si>
    <t>Av. Luís Firmino de Sousa, 2824 - São Benedito, Timon - MA, 65636-340, Brasil</t>
  </si>
  <si>
    <t>-5.106405</t>
  </si>
  <si>
    <t>-42.8442602</t>
  </si>
  <si>
    <t>https://www.google.com/maps/search/?api=1&amp;query=Beleza%20Vip&amp;query_place_id=ChIJ-QSBoLg3jgcRtzYxmqooH1U</t>
  </si>
  <si>
    <t>Av. Luís Firmino de Sousa, 2824</t>
  </si>
  <si>
    <t>Salão a poderosa</t>
  </si>
  <si>
    <t>+55 86 98873-9810</t>
  </si>
  <si>
    <t>+5586988739810</t>
  </si>
  <si>
    <t>R. Vinte - Pedro Patrício, Timon - MA, 65636-510, Brasil</t>
  </si>
  <si>
    <t>-5.1135473</t>
  </si>
  <si>
    <t>-42.8429817</t>
  </si>
  <si>
    <t>https://www.google.com/maps/search/?api=1&amp;query=Sal%C3%A3o%20a%20poderosa&amp;query_place_id=ChIJXRljNf83jgcRO3yk82IS8y4</t>
  </si>
  <si>
    <t>R. Vinte</t>
  </si>
  <si>
    <t>Studio Débora Veloso</t>
  </si>
  <si>
    <t>+55 99 99645-2147</t>
  </si>
  <si>
    <t>+5599996452147</t>
  </si>
  <si>
    <t>R. Ten. Antonio Correia Da Silva, 1227 - Timon, MA, 65636-487, Brasil</t>
  </si>
  <si>
    <t>-5.0927818</t>
  </si>
  <si>
    <t>-42.8463181</t>
  </si>
  <si>
    <t>https://www.google.com/maps/search/?api=1&amp;query=Studio%20D%C3%A9bora%20Veloso&amp;query_place_id=ChIJNeBpizA3jgcRFO0DJkdMXT0</t>
  </si>
  <si>
    <t>R. Ten. Antonio Correia Da Silva, 1227</t>
  </si>
  <si>
    <t>Centro de beleza for men</t>
  </si>
  <si>
    <t>+55 86 98876-4238</t>
  </si>
  <si>
    <t>+5586988764238</t>
  </si>
  <si>
    <t>Rua 10 , n 390 - São Francisco, Timon - MA, 65636-754, Brasil</t>
  </si>
  <si>
    <t>-5.0838573</t>
  </si>
  <si>
    <t>-42.8440748</t>
  </si>
  <si>
    <t>https://www.google.com/maps/search/?api=1&amp;query=Centro%20de%20beleza%20for%20men&amp;query_place_id=ChIJ8df88JE5jgcRA7zWqeQPJTM</t>
  </si>
  <si>
    <t>Rua 10 , n 390</t>
  </si>
  <si>
    <t>AG.STUDIO</t>
  </si>
  <si>
    <t>+55 86 98846-9159</t>
  </si>
  <si>
    <t>+5586988469159</t>
  </si>
  <si>
    <t>AG.STUDIO - Tv. Dezesseis, número 705 - Loteamento boa vista, Timon - MA, 65636-720, Brasil</t>
  </si>
  <si>
    <t>-5.0876774</t>
  </si>
  <si>
    <t>-42.8486585</t>
  </si>
  <si>
    <t>https://www.google.com/maps/search/?api=1&amp;query=AG.STUDIO&amp;query_place_id=ChIJsQ3NtQc3jgcRsxJe7JOiCSc</t>
  </si>
  <si>
    <t>AG.STUDIO - Tv. Dezesseis, número 705</t>
  </si>
  <si>
    <t>Studio Maria Ramos</t>
  </si>
  <si>
    <t>+55 86 98853-5289</t>
  </si>
  <si>
    <t>+5586988535289</t>
  </si>
  <si>
    <t>centro operário - R. Marcos Batista da Silva, 3734 - Residencial flores, Timon - MA, 65636-600, Brasil</t>
  </si>
  <si>
    <t>-5.1023328</t>
  </si>
  <si>
    <t>-42.8623064</t>
  </si>
  <si>
    <t>https://www.google.com/maps/search/?api=1&amp;query=Studio%20Maria%20Ramos&amp;query_place_id=ChIJTQ3-1yk3jgcRZEahy7leS-c</t>
  </si>
  <si>
    <t>centro operário - R. Marcos Batista da Silva, 3734</t>
  </si>
  <si>
    <t>Instituti De Beleza Labelle</t>
  </si>
  <si>
    <t>Tv. Firmo Pedreira, 162 - São Benedito, Timon - MA, 65630-260, Brasil</t>
  </si>
  <si>
    <t>-5.1021361</t>
  </si>
  <si>
    <t>-42.8282725</t>
  </si>
  <si>
    <t>https://www.google.com/maps/search/?api=1&amp;query=Instituti%20De%20Beleza%20Labelle&amp;query_place_id=ChIJg-EZa583jgcRymSDJBtTJzI</t>
  </si>
  <si>
    <t>Tv. Firmo Pedreira, 162</t>
  </si>
  <si>
    <t>Dhylvana Brown salão de beleza</t>
  </si>
  <si>
    <t>+55 86 98810-4940</t>
  </si>
  <si>
    <t>+5586988104940</t>
  </si>
  <si>
    <t>R. Cento e Quatro, 56 - Sao Francisco I, Timon - MA, 65631-410 - São Francisco, Timon - MA, 65636-520, Brasil</t>
  </si>
  <si>
    <t>-5.0864081</t>
  </si>
  <si>
    <t>-42.836613</t>
  </si>
  <si>
    <t>https://www.google.com/maps/search/?api=1&amp;query=Dhylvana%20Brown%20sal%C3%A3o%20de%20beleza&amp;query_place_id=ChIJY2-tDYk5jgcR4j1HHE5LQbY</t>
  </si>
  <si>
    <t>R. Cento e Quatro, 56 - Sao Francisco I, Timon - MA, 65631-410</t>
  </si>
  <si>
    <t>Studio Gabrielly Slan</t>
  </si>
  <si>
    <t>+55 86 99906-0527</t>
  </si>
  <si>
    <t>+5586999060527</t>
  </si>
  <si>
    <t>R. 102, 1176 - Parque Uniao, Timon - MA, 65631-370, Brasil</t>
  </si>
  <si>
    <t>-5.0884667</t>
  </si>
  <si>
    <t>-42.8480747</t>
  </si>
  <si>
    <t>https://www.google.com/maps/search/?api=1&amp;query=Studio%20Gabrielly%20Slan&amp;query_place_id=ChIJ3RrBQbI3jgcRyVBCbIGJILc</t>
  </si>
  <si>
    <t>R. 102, 1176</t>
  </si>
  <si>
    <t>Helena Estética</t>
  </si>
  <si>
    <t>+55 86 98816-1595</t>
  </si>
  <si>
    <t>+5586988161595</t>
  </si>
  <si>
    <t>Conj. Joaquim - Rua 03 Quadra 18, Q. Tres Cj Joaquim Pedreira, 2 - Casa 14, Timon - MA, 65638-085, Brasil</t>
  </si>
  <si>
    <t>-5.0848659</t>
  </si>
  <si>
    <t>-42.851793</t>
  </si>
  <si>
    <t>https://www.google.com/maps/search/?api=1&amp;query=Helena%20Est%C3%A9tica&amp;query_place_id=ChIJd8Jq71U3jgcRLf9qIeWKoiE</t>
  </si>
  <si>
    <t>Conj. Joaquim - Rua 03 Quadra 18, Q. Tres Cj Joaquim Pedreira, 2 - Casa 14</t>
  </si>
  <si>
    <t>Studio Andressa Brandão</t>
  </si>
  <si>
    <t>+55 99 98480-3866</t>
  </si>
  <si>
    <t>+5599984803866</t>
  </si>
  <si>
    <t>Tv. Vinte e Nove, 210 - Bela Vista, Timon - MA, 65637-576, Brasil</t>
  </si>
  <si>
    <t>-5.0917167</t>
  </si>
  <si>
    <t>-42.8522385</t>
  </si>
  <si>
    <t>https://www.google.com/maps/search/?api=1&amp;query=Studio%20Andressa%20Brand%C3%A3o&amp;query_place_id=ChIJORrcVjg3jgcRkF35GGe25Ho</t>
  </si>
  <si>
    <t>Tv. Vinte e Nove, 210</t>
  </si>
  <si>
    <t>Studio Luciana Rillena</t>
  </si>
  <si>
    <t>+55 86 99948-4726</t>
  </si>
  <si>
    <t>+5586999484726</t>
  </si>
  <si>
    <t>Av. Luís Firmino de Sousa, 1639 - São Benedito, Timon - MA, 65736-340, Brasil</t>
  </si>
  <si>
    <t>-5.1032843</t>
  </si>
  <si>
    <t>-42.835698</t>
  </si>
  <si>
    <t>https://www.google.com/maps/search/?api=1&amp;query=Studio%20Luciana%20Rillena&amp;query_place_id=ChIJPR9AhiI3jgcRVUtIdWv1hOw</t>
  </si>
  <si>
    <t>Av. Luís Firmino de Sousa, 1639</t>
  </si>
  <si>
    <t>Studio Josania Bezerra</t>
  </si>
  <si>
    <t>R. 17, 1610 - Parque Piaui, Timon - MA, 65636-450, Brasil</t>
  </si>
  <si>
    <t>-5.1024007</t>
  </si>
  <si>
    <t>-42.8420234</t>
  </si>
  <si>
    <t>https://www.google.com/maps/search/?api=1&amp;query=Studio%20Josania%20Bezerra&amp;query_place_id=ChIJD2ea0r83jgcRaNY_lYDq5WE</t>
  </si>
  <si>
    <t>R. 17, 1610</t>
  </si>
  <si>
    <t>Aline Kerly Studio</t>
  </si>
  <si>
    <t>+55 86 99476-3941</t>
  </si>
  <si>
    <t>+5586994763941</t>
  </si>
  <si>
    <t>R. Ananias Carvalho, Chaves, 74 - Timon, MA, 65631-160, Brasil</t>
  </si>
  <si>
    <t>-5.0932538</t>
  </si>
  <si>
    <t>-42.8270743</t>
  </si>
  <si>
    <t>https://www.google.com/maps/search/?api=1&amp;query=Aline%20Kerly%20Studio&amp;query_place_id=ChIJ2bCthRQ3jgcR3srkqSNbR4w</t>
  </si>
  <si>
    <t>R. Ananias Carvalho, Chaves, 74</t>
  </si>
  <si>
    <t>Salão de beleza Nenzinha</t>
  </si>
  <si>
    <t>R. Antonio Lidu, 940 - Santo Antonio, Timon - MA, 65630-458, Brasil</t>
  </si>
  <si>
    <t>-5.1065715</t>
  </si>
  <si>
    <t>-42.826229</t>
  </si>
  <si>
    <t>https://www.google.com/maps/search/?api=1&amp;query=Sal%C3%A3o%20de%20beleza%20Nenzinha&amp;query_place_id=ChIJB8CSOwA3jgcRUL6tE6GLKTE</t>
  </si>
  <si>
    <t>R. Antonio Lidu, 940</t>
  </si>
  <si>
    <t>Depilação Estética Design de Sobrancelhas - Studio Arte do Corpo</t>
  </si>
  <si>
    <t>+55 86 98802-3599</t>
  </si>
  <si>
    <t>+5586988023599</t>
  </si>
  <si>
    <t>R. Lourdes Carlos de Oliveira Nunes, 546 - Santo Antonio, Timon - MA, 65630-350, Brasil</t>
  </si>
  <si>
    <t>-5.108478</t>
  </si>
  <si>
    <t>-42.824572</t>
  </si>
  <si>
    <t>https://www.google.com/maps/search/?api=1&amp;query=Depila%C3%A7%C3%A3o%20Est%C3%A9tica%20Design%20de%20Sobrancelhas%20-%20Studio%20Arte%20do%20Corpo&amp;query_place_id=ChIJcbKVGxw3jgcR5WUE8nVokZc</t>
  </si>
  <si>
    <t>R. Lourdes Carlos de Oliveira Nunes, 546</t>
  </si>
  <si>
    <t>Espaço Rita Costa</t>
  </si>
  <si>
    <t>+55 99 99903-8671</t>
  </si>
  <si>
    <t>+5599999038671</t>
  </si>
  <si>
    <t>R. 22, 897 - Sete Estrelas, Timon - MA, 65633-280, Brasil</t>
  </si>
  <si>
    <t>-5.1295588</t>
  </si>
  <si>
    <t>-42.8385669</t>
  </si>
  <si>
    <t>https://www.google.com/maps/search/?api=1&amp;query=Espa%C3%A7o%20Rita%20Costa&amp;query_place_id=ChIJL0oAl5M3jgcRvSNFtzl5L3A</t>
  </si>
  <si>
    <t>R. 22, 897</t>
  </si>
  <si>
    <t>Espaço preciosa</t>
  </si>
  <si>
    <t>+55 86 99434-0301</t>
  </si>
  <si>
    <t>+5586994340301</t>
  </si>
  <si>
    <t>Av. Teresina, 965 - Parque Piaui, Timon - MA, 65636-500, Brasil</t>
  </si>
  <si>
    <t>-5.095173</t>
  </si>
  <si>
    <t>-42.8375563</t>
  </si>
  <si>
    <t>https://www.google.com/maps/search/?api=1&amp;query=Espa%C3%A7o%20preciosa&amp;query_place_id=ChIJB3U6UjU3jgcRLk2uEy3q2K4</t>
  </si>
  <si>
    <t>Av. Teresina, 965</t>
  </si>
  <si>
    <t>STUDIO ANANDA CABELOS</t>
  </si>
  <si>
    <t>+55 86 98151-6050</t>
  </si>
  <si>
    <t>+5586981516050</t>
  </si>
  <si>
    <t>R. Dois, quadra F - casa 13 - São Francisco II, Timon - MA, 65638-435, Brasil</t>
  </si>
  <si>
    <t>-5.086738</t>
  </si>
  <si>
    <t>-42.8468592</t>
  </si>
  <si>
    <t>https://www.google.com/maps/search/?api=1&amp;query=STUDIO%20ANANDA%20CABELOS&amp;query_place_id=ChIJP18NFGQ3jgcRmBVlkdOvPHo</t>
  </si>
  <si>
    <t>R. Dois, quadra F - casa 13</t>
  </si>
  <si>
    <t>Rosinha cabelos</t>
  </si>
  <si>
    <t>+55 86 98818-7436</t>
  </si>
  <si>
    <t>+5586988187436</t>
  </si>
  <si>
    <t>R. Dois, 555 - Boa Vista, Timon - MA, 65631-560, Brasil</t>
  </si>
  <si>
    <t>-5.0842153</t>
  </si>
  <si>
    <t>-42.8377812</t>
  </si>
  <si>
    <t>https://www.google.com/maps/search/?api=1&amp;query=Rosinha%20cabelos&amp;query_place_id=ChIJj1vG0tg5jgcRrdfeFqAH9aA</t>
  </si>
  <si>
    <t>R. Dois, 555</t>
  </si>
  <si>
    <t>Espaço Suyane Veras</t>
  </si>
  <si>
    <t>+55 86 98816-7339</t>
  </si>
  <si>
    <t>+5586988167339</t>
  </si>
  <si>
    <t>Rua 24 - QD 25, casa 16, Residencial, Av. Miguel Arraes - Jóia, Timon - MA, Brasil</t>
  </si>
  <si>
    <t>-5.1496749</t>
  </si>
  <si>
    <t>-42.8496234</t>
  </si>
  <si>
    <t>https://www.google.com/maps/search/?api=1&amp;query=Espa%C3%A7o%20Suyane%20Veras&amp;query_place_id=ChIJj43g3HQ1jgcREtKqVYrKU10</t>
  </si>
  <si>
    <t>Rua 24 - QD 25, casa 16, Residencial, Av. Miguel Arraes</t>
  </si>
  <si>
    <t>STUDIO Sâmea sousa lash designer</t>
  </si>
  <si>
    <t>+55 86 99965-5590</t>
  </si>
  <si>
    <t>+5586999655590</t>
  </si>
  <si>
    <t>Rua Vinte e Nove 189 - VilaBelarmina, Timon - MA Esquina com a rua C do bairro Vila Belarmina, R. A Vila Belarmina, Timon - MA, 65630-020, Brasil</t>
  </si>
  <si>
    <t>-5.1108244</t>
  </si>
  <si>
    <t>-42.8577722</t>
  </si>
  <si>
    <t>https://www.google.com/maps/search/?api=1&amp;query=STUDIO%20S%C3%A2mea%20sousa%20lash%20designer&amp;query_place_id=ChIJWaQcCBI3jgcRDBKh689GQP4</t>
  </si>
  <si>
    <t>Rua Vinte e Nove 189 - VilaBelarmina, Timon - MA Esquina com a rua C do bairro Vila Belarmina, R. A Vila Belarmina</t>
  </si>
  <si>
    <t>Studio Debora Hair</t>
  </si>
  <si>
    <t>+55 86 99843-9974</t>
  </si>
  <si>
    <t>+5586998439974</t>
  </si>
  <si>
    <t>Rua jeronimo silva - Cajueiro, Timon - MA, 65630-000, Brasil</t>
  </si>
  <si>
    <t>-5.1274446</t>
  </si>
  <si>
    <t>-42.8180909</t>
  </si>
  <si>
    <t>https://www.google.com/maps/search/?api=1&amp;query=Studio%20Debora%20Hair&amp;query_place_id=ChIJXXbI39A3jgcRABMnPIRMIqE</t>
  </si>
  <si>
    <t>Rua jeronimo silva</t>
  </si>
  <si>
    <t>GABRIELY STUDIO</t>
  </si>
  <si>
    <t>+55 99 99155-6289</t>
  </si>
  <si>
    <t>+5599991556289</t>
  </si>
  <si>
    <t>R. Leste, 1072 - Casa de andar - Pedro Patrício, Timon - MA, 65634-422, Brasil</t>
  </si>
  <si>
    <t>-5.1143988</t>
  </si>
  <si>
    <t>-42.8371078</t>
  </si>
  <si>
    <t>https://www.google.com/maps/search/?api=1&amp;query=GABRIELY%20STUDIO&amp;query_place_id=ChIJa3B0lbU3jgcRjzVW_n7ZJ_E</t>
  </si>
  <si>
    <t>R. Leste, 1072 - Casa de andar</t>
  </si>
  <si>
    <t>Studio Jhoesley Julia Unhas e Cabelos</t>
  </si>
  <si>
    <t>+55 86 98835-5816</t>
  </si>
  <si>
    <t>+5586988355816</t>
  </si>
  <si>
    <t>R. Um, n332 - Formosa, Timon - MA, 65634-045, Brasil</t>
  </si>
  <si>
    <t>-5.1098562</t>
  </si>
  <si>
    <t>-42.8320948</t>
  </si>
  <si>
    <t>https://www.google.com/maps/search/?api=1&amp;query=Studio%20Jhoesley%20Julia%20Unhas%20e%20Cabelos&amp;query_place_id=ChIJme5ROhI3jgcR-SjW7wmAQtA</t>
  </si>
  <si>
    <t>R. Um, n332</t>
  </si>
  <si>
    <t>Studio Mauriane Carvalho</t>
  </si>
  <si>
    <t>+55 99 98538-6469</t>
  </si>
  <si>
    <t>+5599985386469</t>
  </si>
  <si>
    <t>Rua 4 quadra AA, casa 1554 - Vila Bandeirante, Timon - MA, 65633-430, Brasil</t>
  </si>
  <si>
    <t>-5.1111753</t>
  </si>
  <si>
    <t>-42.8514788</t>
  </si>
  <si>
    <t>https://www.google.com/maps/search/?api=1&amp;query=Studio%20Mauriane%20Carvalho&amp;query_place_id=ChIJIeKuk1o3jgcR0henWcVsjEQ</t>
  </si>
  <si>
    <t>Rua 4 quadra AA, casa 1554</t>
  </si>
  <si>
    <t>Studio Braids Polyanna Taizy</t>
  </si>
  <si>
    <t>+55 99 98833-6662</t>
  </si>
  <si>
    <t>+5599988336662</t>
  </si>
  <si>
    <t>R. Vinte e Oito - Cidade Nova, Timon - MA, 65633-674, Brasil</t>
  </si>
  <si>
    <t>-5.1228162</t>
  </si>
  <si>
    <t>-42.8379141</t>
  </si>
  <si>
    <t>https://www.google.com/maps/search/?api=1&amp;query=Studio%20Braids%20Polyanna%20Taizy&amp;query_place_id=ChIJAz2BLAA3jgcRMK6U9bQ9FDg</t>
  </si>
  <si>
    <t>R. Vinte e Oito</t>
  </si>
  <si>
    <t>Studio clarice costa</t>
  </si>
  <si>
    <t>+55 86 98871-9752</t>
  </si>
  <si>
    <t>+5586988719752</t>
  </si>
  <si>
    <t>rua g n, 17 - Vila do Bec, Timon - MA, 65632-160, Brasil</t>
  </si>
  <si>
    <t>-5.137078</t>
  </si>
  <si>
    <t>-42.8220921</t>
  </si>
  <si>
    <t>https://www.google.com/maps/search/?api=1&amp;query=Studio%20clarice%20costa&amp;query_place_id=ChIJJUviC6g3jgcRouh49cEkuKA</t>
  </si>
  <si>
    <t>rua g n, 17</t>
  </si>
  <si>
    <t>Studio Thaty Hair</t>
  </si>
  <si>
    <t>R. L, 1056 - São Marcos, Timon - MA, 65634-285, Brasil</t>
  </si>
  <si>
    <t>-5.114337</t>
  </si>
  <si>
    <t>-42.837531</t>
  </si>
  <si>
    <t>https://www.google.com/maps/search/?api=1&amp;query=Studio%20Thaty%20Hair&amp;query_place_id=ChIJEQC9rok3jgcRkdLuZ7_NT7U</t>
  </si>
  <si>
    <t>R. L, 1056</t>
  </si>
  <si>
    <t>Studio Lbelly</t>
  </si>
  <si>
    <t>R. 19, 2806 - Formosa, Timon - MA, 65634-370, Brasil</t>
  </si>
  <si>
    <t>-5.1130309</t>
  </si>
  <si>
    <t>-42.8409503</t>
  </si>
  <si>
    <t>https://www.google.com/maps/search/?api=1&amp;query=Studio%20Lbelly&amp;query_place_id=ChIJO1TpEgA3jgcR7hnBCayZHMo</t>
  </si>
  <si>
    <t>R. 19, 2806</t>
  </si>
  <si>
    <t>Studio Natália Góis</t>
  </si>
  <si>
    <t>+55 86 99939-9503</t>
  </si>
  <si>
    <t>+5586999399503</t>
  </si>
  <si>
    <t>R. Três, 3005 - Loteamento Boa Vista, Timon - MA, 65631-580, Brasil</t>
  </si>
  <si>
    <t>-5.0871792</t>
  </si>
  <si>
    <t>-42.8571108</t>
  </si>
  <si>
    <t>https://www.google.com/maps/search/?api=1&amp;query=Studio%20Nat%C3%A1lia%20G%C3%B3is&amp;query_place_id=ChIJU7njSW03jgcRnuC7xCJXreI</t>
  </si>
  <si>
    <t>R. Três, 3005</t>
  </si>
  <si>
    <t>Madame's CABELO &amp; ESTÉTICA</t>
  </si>
  <si>
    <t>R. João Joca Assunção, 2 - Parque Piaui, Timon - MA, 65631-080, Brasil</t>
  </si>
  <si>
    <t>-5.0968093</t>
  </si>
  <si>
    <t>-42.8330905</t>
  </si>
  <si>
    <t>https://www.google.com/maps/search/?api=1&amp;query=Madame's%20CABELO%20%26%20EST%C3%89TICA&amp;query_place_id=ChIJs3cgX5o3jgcRb4ahxsP59LY</t>
  </si>
  <si>
    <t>R. João Joca Assunção, 2</t>
  </si>
  <si>
    <t>FRAN ROCHA - Depilação - Manicure - Produtos de Beleza</t>
  </si>
  <si>
    <t>+55 99 99194-9445</t>
  </si>
  <si>
    <t>+5599991949445</t>
  </si>
  <si>
    <t>R. Luís Píres de Sá, 530 - Parque Piaui, Timon - MA, 65636-580, Brasil</t>
  </si>
  <si>
    <t>-5.0911137</t>
  </si>
  <si>
    <t>-42.8382558</t>
  </si>
  <si>
    <t>https://www.google.com/maps/search/?api=1&amp;query=FRAN%20ROCHA%20-%20Depila%C3%A7%C3%A3o%20-%20Manicure%20-%20Produtos%20de%20Beleza&amp;query_place_id=ChIJAUUiUXo3jgcR2rO9uqWD4jQ</t>
  </si>
  <si>
    <t>R. Luís Píres de Sá, 530</t>
  </si>
  <si>
    <t>Fernanda Valerio Studio de Manicure</t>
  </si>
  <si>
    <t>+55 99 98828-0810</t>
  </si>
  <si>
    <t>+5599988280810</t>
  </si>
  <si>
    <t>Av. Luís Firmino de Sousa, 1619 - São Benedito, Timon - MA, 65636-340, Brasil</t>
  </si>
  <si>
    <t>-5.1031777</t>
  </si>
  <si>
    <t>-42.835462</t>
  </si>
  <si>
    <t>https://www.google.com/maps/search/?api=1&amp;query=Fernanda%20Valerio%20Studio%20de%20Manicure&amp;query_place_id=ChIJNa7Dgks3jgcRNqp1EEg-ErU</t>
  </si>
  <si>
    <t>Av. Luís Firmino de Sousa, 1619</t>
  </si>
  <si>
    <t>Mulher Fina Estética</t>
  </si>
  <si>
    <t>+55 86 98851-1409</t>
  </si>
  <si>
    <t>+5586988511409</t>
  </si>
  <si>
    <t>Av. Francisco Carlos Jansen, 277 - Parque Piaui, Timon - MA, 65631-030, Brasil</t>
  </si>
  <si>
    <t>-5.08978</t>
  </si>
  <si>
    <t>-42.8271578</t>
  </si>
  <si>
    <t>https://www.google.com/maps/search/?api=1&amp;query=Mulher%20Fina%20Est%C3%A9tica&amp;query_place_id=ChIJt2fzp4E3jgcRCEw-Pj4YmVM</t>
  </si>
  <si>
    <t>Av. Francisco Carlos Jansen, 277</t>
  </si>
  <si>
    <t>Studio de unhas Luz nails</t>
  </si>
  <si>
    <t>+55 98 98414-1318</t>
  </si>
  <si>
    <t>+5598984141318</t>
  </si>
  <si>
    <t>Rua tenente Antônio Correia 367, Timon - MA, 65631-125, Brasil</t>
  </si>
  <si>
    <t>-5.0886403</t>
  </si>
  <si>
    <t>-42.8385275</t>
  </si>
  <si>
    <t>https://www.google.com/maps/search/?api=1&amp;query=Studio%20de%20unhas%20Luz%20nails&amp;query_place_id=ChIJ904Dwn43jgcRBMpmgEKGkyw</t>
  </si>
  <si>
    <t>Rua tenente Antônio Correia 367</t>
  </si>
  <si>
    <t>Salão VIP</t>
  </si>
  <si>
    <t>Av. Francisco Carlos Jansen, 1600 - Parque Piaui, Timon - MA, 65631-415, Brasil</t>
  </si>
  <si>
    <t>https://www.google.com/maps/search/?api=1&amp;query=Sal%C3%A3o%20VIP&amp;query_place_id=ChIJA8lmjZI5jgcRKmPmQw8t6ug</t>
  </si>
  <si>
    <t>Casa Da Selagem Cosmeticos &amp; Salão De Beleza</t>
  </si>
  <si>
    <t>Parque Piaui, Timon - MA, 65631-340, Brasil</t>
  </si>
  <si>
    <t>-5.0889543</t>
  </si>
  <si>
    <t>-42.8356257</t>
  </si>
  <si>
    <t>https://www.google.com/maps/search/?api=1&amp;query=Casa%20Da%20Selagem%20Cosmeticos%20%26%20Sal%C3%A3o%20De%20Beleza&amp;query_place_id=ChIJpYEGjYg3jgcRaojtOfWhq2E</t>
  </si>
  <si>
    <t>BELLA ESTETICA</t>
  </si>
  <si>
    <t>R. Odilo Costa, 392 - Centro, Timon - MA, 65630-250, Brasil</t>
  </si>
  <si>
    <t>-5.1020571</t>
  </si>
  <si>
    <t>-42.8247676</t>
  </si>
  <si>
    <t>https://www.google.com/maps/search/?api=1&amp;query=BELLA%20ESTETICA&amp;query_place_id=ChIJVxweYnU3jgcRJdMEpNFV5Rs</t>
  </si>
  <si>
    <t>R. Odilo Costa, 392</t>
  </si>
  <si>
    <t>+55 86 98833-4427</t>
  </si>
  <si>
    <t>+5586988334427</t>
  </si>
  <si>
    <t>R. Goiás, QD casa 21 - Julia Almeida, Timon - MA, 65635-485, Brasil</t>
  </si>
  <si>
    <t>-5.1133708</t>
  </si>
  <si>
    <t>-42.8663044</t>
  </si>
  <si>
    <t>https://www.google.com/maps/search/?api=1&amp;query=Espa%C3%A7o%20das%20unhas&amp;query_place_id=ChIJI8cXrStIjgcRvIKin0awtfE</t>
  </si>
  <si>
    <t>R. Goiás, QD casa 21</t>
  </si>
  <si>
    <t>Salão Novo Visual</t>
  </si>
  <si>
    <t>+55 86 98806-7546</t>
  </si>
  <si>
    <t>+5586988067546</t>
  </si>
  <si>
    <t>Av. Benedito Ferreira Campos, 1196 - Parque Alvorada, Timon - MA, 65633-280, Brasil</t>
  </si>
  <si>
    <t>-5.1307821</t>
  </si>
  <si>
    <t>-42.832092</t>
  </si>
  <si>
    <t>https://www.google.com/maps/search/?api=1&amp;query=Sal%C3%A3o%20Novo%20Visual&amp;query_place_id=ChIJjfxzh1w2jgcR3EsDKpfkSw0</t>
  </si>
  <si>
    <t>Av. Benedito Ferreira Campos, 1196</t>
  </si>
  <si>
    <t>Studio Tainá Karen</t>
  </si>
  <si>
    <t>R. 600, 460 - Formosa, Timon - MA, 65630-650, Brasil</t>
  </si>
  <si>
    <t>-5.1109642</t>
  </si>
  <si>
    <t>-42.8245685</t>
  </si>
  <si>
    <t>https://www.google.com/maps/search/?api=1&amp;query=Studio%20Tain%C3%A1%20Karen&amp;query_place_id=ChIJ38jeRwA3jgcRzdgaZOYN96k</t>
  </si>
  <si>
    <t>R. 600, 460</t>
  </si>
  <si>
    <t>Studio R&amp;R</t>
  </si>
  <si>
    <t>+55 86 98830-3652</t>
  </si>
  <si>
    <t>+5586988303652</t>
  </si>
  <si>
    <t>Av. Tiúba, 958 - Formosa, Timon - MA, 65636-220, Brasil</t>
  </si>
  <si>
    <t>-5.1086194</t>
  </si>
  <si>
    <t>-42.8365004</t>
  </si>
  <si>
    <t>https://www.google.com/maps/search/?api=1&amp;query=Studio%20R%26R&amp;query_place_id=ChIJcX8tNgA3jgcR5uHBF2BER1U</t>
  </si>
  <si>
    <t>Av. Tiúba, 958</t>
  </si>
  <si>
    <t>Nicole Stúdio De Beleza</t>
  </si>
  <si>
    <t>R. Filomena Martins Nazareno Bringel, 1408 - Parque Piauí II, Timon - MA, 65636-560, Brasil</t>
  </si>
  <si>
    <t>-5.0955412</t>
  </si>
  <si>
    <t>-42.8442831</t>
  </si>
  <si>
    <t>https://www.google.com/maps/search/?api=1&amp;query=Nicole%20St%C3%BAdio%20De%20Beleza&amp;query_place_id=ChIJK8syK-03jgcRIRS84K5mdis</t>
  </si>
  <si>
    <t>R. Filomena Martins Nazareno Bringel, 1408</t>
  </si>
  <si>
    <t>Studio Ana Beatriz</t>
  </si>
  <si>
    <t>+55 99 99222-5959</t>
  </si>
  <si>
    <t>+5599992225959</t>
  </si>
  <si>
    <t>R. Manoel Viana - São Francisco, Timon - MA, 65636-756, Brasil</t>
  </si>
  <si>
    <t>-5.0823855</t>
  </si>
  <si>
    <t>-42.8450337</t>
  </si>
  <si>
    <t>https://www.google.com/maps/search/?api=1&amp;query=Studio%20Ana%20Beatriz&amp;query_place_id=ChIJz_02pkw3jgcR9PhFC14ytxY</t>
  </si>
  <si>
    <t>R. Manoel Viana</t>
  </si>
  <si>
    <t>Studio Taynara Martins</t>
  </si>
  <si>
    <t>+55 86 98815-0165</t>
  </si>
  <si>
    <t>+5586988150165</t>
  </si>
  <si>
    <t>Rua Treze, 286 - Parque Uniao, Timon - MA, 65631-385, Brasil</t>
  </si>
  <si>
    <t>-5.0906036</t>
  </si>
  <si>
    <t>-42.8434147</t>
  </si>
  <si>
    <t>https://www.google.com/maps/search/?api=1&amp;query=Studio%20Taynara%20Martins&amp;query_place_id=ChIJVWfBs6k3jgcRmFynfmwuFzE</t>
  </si>
  <si>
    <t>Rua Treze, 286</t>
  </si>
  <si>
    <t>Brenda studio cilios sobrancelha</t>
  </si>
  <si>
    <t>+55 99 98805-1479</t>
  </si>
  <si>
    <t>+5599988051479</t>
  </si>
  <si>
    <t>R. 17 - Timon, MA, 65631-588, Brasil</t>
  </si>
  <si>
    <t>-5.0879447</t>
  </si>
  <si>
    <t>-42.8474973</t>
  </si>
  <si>
    <t>https://www.google.com/maps/search/?api=1&amp;query=Brenda%20studio%20cilios%20sobrancelha&amp;query_place_id=ChIJ3WNMao03jgcRcrUKgPv3AR8</t>
  </si>
  <si>
    <t>R. 17</t>
  </si>
  <si>
    <t>Joyce Cunha Studio</t>
  </si>
  <si>
    <t>Alameda Quatro, 87 - Flores II, Timon - MA, 65636-640, Brasil</t>
  </si>
  <si>
    <t>-5.0973445</t>
  </si>
  <si>
    <t>-42.8536405</t>
  </si>
  <si>
    <t>https://www.google.com/maps/search/?api=1&amp;query=Joyce%20Cunha%20Studio&amp;query_place_id=ChIJ3acodwA3jgcRSHav4rXhYMc</t>
  </si>
  <si>
    <t>Alameda Quatro, 87</t>
  </si>
  <si>
    <t>Fran Studio nails</t>
  </si>
  <si>
    <t>+55 86 99947-4961</t>
  </si>
  <si>
    <t>+5586999474961</t>
  </si>
  <si>
    <t>R. Marcos Batista da Silva - Flores, Timon - MA, 65635-020, Brasil</t>
  </si>
  <si>
    <t>-5.0975124</t>
  </si>
  <si>
    <t>-42.8533592</t>
  </si>
  <si>
    <t>https://www.google.com/maps/search/?api=1&amp;query=Fran%20Studio%20nails&amp;query_place_id=ChIJbe1xt8Q3jgcRuoyDLOkNzis</t>
  </si>
  <si>
    <t>SALÃO SUPER CORTE</t>
  </si>
  <si>
    <t>Parque Uniao, Timon - MA, 65636-696, Brasil</t>
  </si>
  <si>
    <t>-5.0874104</t>
  </si>
  <si>
    <t>-42.8364755</t>
  </si>
  <si>
    <t>https://www.google.com/maps/search/?api=1&amp;query=SAL%C3%83O%20SUPER%20CORTE&amp;query_place_id=ChIJjdy6N4g3jgcRyDoOKeMYsCM</t>
  </si>
  <si>
    <t>STUDIO Gorete Rodrigues</t>
  </si>
  <si>
    <t>Rua Pernambuco - Boa Vista, Timon - MA, 65631-480, Brasil</t>
  </si>
  <si>
    <t>-5.0854783</t>
  </si>
  <si>
    <t>-42.8453419</t>
  </si>
  <si>
    <t>https://www.google.com/maps/search/?api=1&amp;query=STUDIO%20Gorete%20Rodrigues&amp;query_place_id=ChIJ7Wze5h84jgcR6HhF8q5J40s</t>
  </si>
  <si>
    <t>Rua Pernambuco</t>
  </si>
  <si>
    <t>Studio Auriane silva</t>
  </si>
  <si>
    <t>+55 86 99801-0671</t>
  </si>
  <si>
    <t>+5586998010671</t>
  </si>
  <si>
    <t>R. Doze, 135 - Marimar, Timon - MA, 65637-100, Brasil</t>
  </si>
  <si>
    <t>-5.086423</t>
  </si>
  <si>
    <t>-42.858048</t>
  </si>
  <si>
    <t>https://www.google.com/maps/search/?api=1&amp;query=Studio%20Auriane%20silva&amp;query_place_id=ChIJo93mvUg5jgcRJFDzNZAC1r4</t>
  </si>
  <si>
    <t>R. Doze, 135</t>
  </si>
  <si>
    <t>studio nathy lash desig</t>
  </si>
  <si>
    <t>+55 99 98520-0636</t>
  </si>
  <si>
    <t>+5599985200636</t>
  </si>
  <si>
    <t>R. José Inácio da Silva Filho, 1473 - São Benedito, Timon - MA, 65636-245, Brasil</t>
  </si>
  <si>
    <t>-5.0994252</t>
  </si>
  <si>
    <t>-42.8318019</t>
  </si>
  <si>
    <t>https://www.google.com/maps/search/?api=1&amp;query=studio%20nathy%20lash%20desig&amp;query_place_id=ChIJdxHWLmg3jgcR3RU3TNXGTzE</t>
  </si>
  <si>
    <t>R. José Inácio da Silva Filho, 1473</t>
  </si>
  <si>
    <t>Studio ally maike up</t>
  </si>
  <si>
    <t>Estrada das Piranhas - Timon, MA, Brasil</t>
  </si>
  <si>
    <t>-5.0427198</t>
  </si>
  <si>
    <t>-42.8482018</t>
  </si>
  <si>
    <t>https://www.google.com/maps/search/?api=1&amp;query=Studio%20ally%20maike%20up&amp;query_place_id=ChIJl22maQA5jgcRulg6P9vXe-I</t>
  </si>
  <si>
    <t>Estrada das Piranhas</t>
  </si>
  <si>
    <t>Sol &amp; Bronze - Espaço da Beleza</t>
  </si>
  <si>
    <t>+55 86 98817-6001</t>
  </si>
  <si>
    <t>+5586988176001</t>
  </si>
  <si>
    <t>R. 17, N 1355 - São Benedito, Timon - MA, 65636-320, Brasil</t>
  </si>
  <si>
    <t>-5.1065717</t>
  </si>
  <si>
    <t>-42.8396912</t>
  </si>
  <si>
    <t>https://www.google.com/maps/search/?api=1&amp;query=Sol%20%26%20Bronze%20-%20Espa%C3%A7o%20da%20Beleza&amp;query_place_id=ChIJQVLTQJ83jgcRQKorUD5kvKE</t>
  </si>
  <si>
    <t>R. 17, N 1355</t>
  </si>
  <si>
    <t>Espaço Cabelos</t>
  </si>
  <si>
    <t>São Marcos, Timon - MA, 65636-220, Brasil</t>
  </si>
  <si>
    <t>-5.1088036</t>
  </si>
  <si>
    <t>-42.8364871</t>
  </si>
  <si>
    <t>https://www.google.com/maps/search/?api=1&amp;query=Espa%C3%A7o%20Cabelos&amp;query_place_id=ChIJSRJ48Lo3jgcRksHIfmctVwg</t>
  </si>
  <si>
    <t>Studio Suyane Veras</t>
  </si>
  <si>
    <t>Av. Luís Firmino de Sousa, 2879 - São Benedito, Timon - MA, 65636-340, Brasil</t>
  </si>
  <si>
    <t>-5.1072255</t>
  </si>
  <si>
    <t>-42.8454281</t>
  </si>
  <si>
    <t>https://www.google.com/maps/search/?api=1&amp;query=Studio%20Suyane%20Veras&amp;query_place_id=ChIJecF33_w3jgcRoCCEui-Q__s</t>
  </si>
  <si>
    <t>Av. Luís Firmino de Sousa, 2879</t>
  </si>
  <si>
    <t>Espaço Angel</t>
  </si>
  <si>
    <t>+55 86 98881-8809</t>
  </si>
  <si>
    <t>+5586988818809</t>
  </si>
  <si>
    <t>R. Quatro, 620 - Cajueiro, Timon - MA, 65630-466, Brasil</t>
  </si>
  <si>
    <t>-5.1285595</t>
  </si>
  <si>
    <t>-42.8185368</t>
  </si>
  <si>
    <t>https://www.google.com/maps/search/?api=1&amp;query=Espa%C3%A7o%20Angel&amp;query_place_id=ChIJWVpsXPk3jgcRbuXUsG8EWmw</t>
  </si>
  <si>
    <t>R. Quatro, 620</t>
  </si>
  <si>
    <t>Av. Parnarama - Formosa, Timon - MA, 65634-400, Brasil</t>
  </si>
  <si>
    <t>-5.114979</t>
  </si>
  <si>
    <t>-42.8505205</t>
  </si>
  <si>
    <t>https://www.google.com/maps/search/?api=1&amp;query=Espa%C3%A7o%20Mulher&amp;query_place_id=ChIJ-dmoX8w3jgcR1kXc0KAfmNg</t>
  </si>
  <si>
    <t>Av. Parnarama</t>
  </si>
  <si>
    <t>Studio Vitória Rebeca</t>
  </si>
  <si>
    <t>R. F Planalto Boa Esperanca, 250 - Baixa Do Coco, Timon - MA, 64000-970, Brasil</t>
  </si>
  <si>
    <t>-5.136917</t>
  </si>
  <si>
    <t>-42.8227612</t>
  </si>
  <si>
    <t>https://www.google.com/maps/search/?api=1&amp;query=Studio%20Vit%C3%B3ria%20Rebeca&amp;query_place_id=ChIJ_djnHwA3jgcRVIjpxMsWrj8</t>
  </si>
  <si>
    <t>R. F Planalto Boa Esperanca, 250</t>
  </si>
  <si>
    <t>Studio Deborah Farias</t>
  </si>
  <si>
    <t>R. Poe. Castro Alves, 639 - Parque Alvorada, Timon - MA, 65634-590, Brasil</t>
  </si>
  <si>
    <t>-5.1310699</t>
  </si>
  <si>
    <t>-42.8341024</t>
  </si>
  <si>
    <t>https://www.google.com/maps/search/?api=1&amp;query=Studio%20Deborah%20Farias&amp;query_place_id=ChIJpQsCQAA3jgcRZ6DdRu8eDVo</t>
  </si>
  <si>
    <t>R. Poe. Castro Alves, 639</t>
  </si>
  <si>
    <t>Salão Jeito de Mulher - Linda e Charmosa</t>
  </si>
  <si>
    <t>+55 86 98807-6144</t>
  </si>
  <si>
    <t>+5586988076144</t>
  </si>
  <si>
    <t>R. Dezeseis, 2981 - São Marcos, Timon - MA, 65634-196, Brasil</t>
  </si>
  <si>
    <t>-5.1110892</t>
  </si>
  <si>
    <t>-42.8358037</t>
  </si>
  <si>
    <t>https://www.google.com/maps/search/?api=1&amp;query=Sal%C3%A3o%20Jeito%20de%20Mulher%20-%20Linda%20e%20Charmosa&amp;query_place_id=ChIJl5GKWtU3jgcRl7nGkd_Qos8</t>
  </si>
  <si>
    <t>R. Dezeseis, 2981</t>
  </si>
  <si>
    <t>Salão Lenny Styllus Cabelos &amp; Cia</t>
  </si>
  <si>
    <t>Planalto Formosa, Timon - MA, 65636-430, Brasil</t>
  </si>
  <si>
    <t>-5.1146789</t>
  </si>
  <si>
    <t>-42.8346703</t>
  </si>
  <si>
    <t>https://www.google.com/maps/search/?api=1&amp;query=Sal%C3%A3o%20Lenny%20Styllus%20Cabelos%20%26%20Cia&amp;query_place_id=ChIJYVsvB7I3jgcRgxKx_tw4jfY</t>
  </si>
  <si>
    <t>Salão REAL</t>
  </si>
  <si>
    <t>Santo Antonio, Timon - MA, 65630-335, Brasil</t>
  </si>
  <si>
    <t>-5.1060242</t>
  </si>
  <si>
    <t>-42.8236131</t>
  </si>
  <si>
    <t>https://www.google.com/maps/search/?api=1&amp;query=Sal%C3%A3o%20REAL&amp;query_place_id=ChIJz4c2aAo3jgcRJk1Cj8qtHEA</t>
  </si>
  <si>
    <t>Salão VAVA</t>
  </si>
  <si>
    <t>R. Um - Timon, MA, 65634-400, Brasil</t>
  </si>
  <si>
    <t>-5.1144301</t>
  </si>
  <si>
    <t>-42.8515704</t>
  </si>
  <si>
    <t>https://www.google.com/maps/search/?api=1&amp;query=Sal%C3%A3o%20VAVA&amp;query_place_id=ChIJe743Tcw3jgcR0TzPYyTbt8Q</t>
  </si>
  <si>
    <t>R. Um</t>
  </si>
  <si>
    <t>Studio Neyde Cabelos</t>
  </si>
  <si>
    <t>+55 86 98825-5026</t>
  </si>
  <si>
    <t>+5586988255026</t>
  </si>
  <si>
    <t>R. Brilhante, 100 - Jóia, Timon - MA, 65632-282, Brasil</t>
  </si>
  <si>
    <t>-5.1411938</t>
  </si>
  <si>
    <t>-42.8388079</t>
  </si>
  <si>
    <t>https://www.google.com/maps/search/?api=1&amp;query=Studio%20Neyde%20Cabelos&amp;query_place_id=ChIJhdkibAA3jgcRjsVikknk2cI</t>
  </si>
  <si>
    <t>R. Brilhante, 100</t>
  </si>
  <si>
    <t>Espaço Barbearia</t>
  </si>
  <si>
    <t>+55 86 99827-8546</t>
  </si>
  <si>
    <t>+5586998278546</t>
  </si>
  <si>
    <t>Rua 01 vila Angélica - São Benedito, Timon - MA, 65634-474, Brasil</t>
  </si>
  <si>
    <t>-5.1088509</t>
  </si>
  <si>
    <t>-42.8383476</t>
  </si>
  <si>
    <t>https://www.google.com/maps/search/?api=1&amp;query=Espa%C3%A7o%20Barbearia&amp;query_place_id=ChIJ551gi7A3jgcRRB-s61sOtvM</t>
  </si>
  <si>
    <t>Rua 01 vila Angélica</t>
  </si>
  <si>
    <t>centrodebelezaglyrocha</t>
  </si>
  <si>
    <t>+55 99 98127-7263</t>
  </si>
  <si>
    <t>+5599981277263</t>
  </si>
  <si>
    <t>R. Um, 15 - VILA MONTEIRO, Timon - MA, 65634-540, Brasil</t>
  </si>
  <si>
    <t>-5.1097605</t>
  </si>
  <si>
    <t>-42.8331244</t>
  </si>
  <si>
    <t>https://www.google.com/maps/search/?api=1&amp;query=centrodebelezaglyrocha&amp;query_place_id=ChIJG2K80JI3jgcRJ0SgPsUE14A</t>
  </si>
  <si>
    <t>R. Um, 15</t>
  </si>
  <si>
    <t>Studio paixão</t>
  </si>
  <si>
    <t>+55 86 98854-4634</t>
  </si>
  <si>
    <t>+5586988544634</t>
  </si>
  <si>
    <t>R. Odilo Costa, 1115 - Centro, Timon - MA, 65630-635, Brasil</t>
  </si>
  <si>
    <t>-5.1071822</t>
  </si>
  <si>
    <t>-42.8232824</t>
  </si>
  <si>
    <t>https://www.google.com/maps/search/?api=1&amp;query=Studio%20paix%C3%A3o&amp;query_place_id=ChIJoZPGRQA3jgcRmimDRohe5Fg</t>
  </si>
  <si>
    <t>R. Odilo Costa, 1115</t>
  </si>
  <si>
    <t>Studio Erika Santiago</t>
  </si>
  <si>
    <t>+55 86 99441-7406</t>
  </si>
  <si>
    <t>+5586994417406</t>
  </si>
  <si>
    <t>Rua 07 casa, 200 - Vila do Bec, Timon - MA, 65632-158, Brasil</t>
  </si>
  <si>
    <t>-5.1389991</t>
  </si>
  <si>
    <t>-42.8297483</t>
  </si>
  <si>
    <t>https://www.google.com/maps/search/?api=1&amp;query=Studio%20Erika%20Santiago&amp;query_place_id=ChIJw3Nph_k3jgcRMpY3R68S2uY</t>
  </si>
  <si>
    <t>Rua 07 casa, 200</t>
  </si>
  <si>
    <t>Studio Tchesca Silva</t>
  </si>
  <si>
    <t>R. Dezeseis - São Marcos, Timon - MA, 65630-020, Brasil</t>
  </si>
  <si>
    <t>-5.1139047</t>
  </si>
  <si>
    <t>-42.834907</t>
  </si>
  <si>
    <t>https://www.google.com/maps/search/?api=1&amp;query=Studio%20Tchesca%20Silva&amp;query_place_id=ChIJAxXi6yQ3jgcR9iGG7N-hahY</t>
  </si>
  <si>
    <t>R. Dezeseis</t>
  </si>
  <si>
    <t>Studio Wandréa Katherine</t>
  </si>
  <si>
    <t>+55 86 98864-9333</t>
  </si>
  <si>
    <t>+5586988649333</t>
  </si>
  <si>
    <t>R. 700, 1402 - Mateuzinho, Timon - MA, 65630-690, Brasil</t>
  </si>
  <si>
    <t>-5.1133083</t>
  </si>
  <si>
    <t>-42.8242936</t>
  </si>
  <si>
    <t>https://www.google.com/maps/search/?api=1&amp;query=Studio%20Wandr%C3%A9a%20Katherine&amp;query_place_id=ChIJMSf7pv03jgcRWrACRG3Q5b0</t>
  </si>
  <si>
    <t>R. 700, 1402</t>
  </si>
  <si>
    <t>Rg Studio - Cílios e sobrancelhas</t>
  </si>
  <si>
    <t>+55 99 98491-1539</t>
  </si>
  <si>
    <t>+5599984911539</t>
  </si>
  <si>
    <t>R. Bahia, Quadra Q, casa 9 Conj - Vila Bandeirante, Timon - MA, 65634-883, Brasil</t>
  </si>
  <si>
    <t>-5.1342949</t>
  </si>
  <si>
    <t>-42.8440817</t>
  </si>
  <si>
    <t>https://www.google.com/maps/search/?api=1&amp;query=Rg%20Studio%20-%20C%C3%ADlios%20e%20sobrancelhas&amp;query_place_id=ChIJ4Ww_fuUxjgcRcT3ZZI-wuP8</t>
  </si>
  <si>
    <t>R. Bahia, Quadra Q, casa 9 Conj</t>
  </si>
  <si>
    <t>Extensão de Cilios e Sobrancelhas Timon - Studio Sara Gonçalves</t>
  </si>
  <si>
    <t>+55 99 98507-6533</t>
  </si>
  <si>
    <t>+5599985076533</t>
  </si>
  <si>
    <t>R. H, N 2750 - Parque Alvorada, Timon - MA, 65633-120, Brasil</t>
  </si>
  <si>
    <t>-5.1276206</t>
  </si>
  <si>
    <t>-42.8418589</t>
  </si>
  <si>
    <t>https://www.google.com/maps/search/?api=1&amp;query=Extens%C3%A3o%20de%20Cilios%20e%20Sobrancelhas%20Timon%20-%20Studio%20Sara%20Gon%C3%A7alves&amp;query_place_id=ChIJJUwQ89M3jgcRU6MjzPNuWDo</t>
  </si>
  <si>
    <t>R. H, N 2750</t>
  </si>
  <si>
    <t>Lidia Monteiro Estética</t>
  </si>
  <si>
    <t>+55 86 98192-3142</t>
  </si>
  <si>
    <t>+5586981923142</t>
  </si>
  <si>
    <t>Av. Luís Firmino de Sousa - São Benedito, Timon - MA, 65636-340, Brasil</t>
  </si>
  <si>
    <t>-5.1084155</t>
  </si>
  <si>
    <t>-42.8487778</t>
  </si>
  <si>
    <t>https://www.google.com/maps/search/?api=1&amp;query=Lidia%20Monteiro%20Est%C3%A9tica&amp;query_place_id=ChIJb__lQuU3jgcRRScdOrIDf3E</t>
  </si>
  <si>
    <t>Av. Luís Firmino de Sousa</t>
  </si>
  <si>
    <t>Dra. Rayanne Lima</t>
  </si>
  <si>
    <t>+55 86 98855-9484</t>
  </si>
  <si>
    <t>+5586988559484</t>
  </si>
  <si>
    <t>Alameda Mateusinho, 137 - Mateuzinho, Timon - MA, 65630-670, Brasil</t>
  </si>
  <si>
    <t>-5.1098949</t>
  </si>
  <si>
    <t>-42.8265969</t>
  </si>
  <si>
    <t>https://www.google.com/maps/search/?api=1&amp;query=Dra.%20Rayanne%20Lima&amp;query_place_id=ChIJT-AxK2s3jgcRPpmgsY4lTuo</t>
  </si>
  <si>
    <t>Alameda Mateusinho, 137</t>
  </si>
  <si>
    <t>Valteisa torres sobrancelha</t>
  </si>
  <si>
    <t>+55 86 98156-7117</t>
  </si>
  <si>
    <t>+5586981567117</t>
  </si>
  <si>
    <t>R. E - Flores II, Timon - MA, 65636-340, Brasil</t>
  </si>
  <si>
    <t>-5.1089849</t>
  </si>
  <si>
    <t>-42.8555929</t>
  </si>
  <si>
    <t>https://www.google.com/maps/search/?api=1&amp;query=Valteisa%20torres%20sobrancelha&amp;query_place_id=ChIJRYrTFQA3jgcRrKb4WZatqzE</t>
  </si>
  <si>
    <t>R. E</t>
  </si>
  <si>
    <t>Clínica Talita Mota</t>
  </si>
  <si>
    <t>+55 86 99947-2618</t>
  </si>
  <si>
    <t>+5586999472618</t>
  </si>
  <si>
    <t>R. C, 137 - Mateuzinho, Timon - MA, 65630-030, Brasil</t>
  </si>
  <si>
    <t>-5.1126024</t>
  </si>
  <si>
    <t>-42.8214423</t>
  </si>
  <si>
    <t>https://www.google.com/maps/search/?api=1&amp;query=Cl%C3%ADnica%20Talita%20Mota&amp;query_place_id=ChIJSWvdtJg3jgcRJMsweIP2kM8</t>
  </si>
  <si>
    <t>R. C, 137</t>
  </si>
  <si>
    <t>Rayara Binacet Makeup</t>
  </si>
  <si>
    <t>+55 86 98812-6874</t>
  </si>
  <si>
    <t>+5586988126874</t>
  </si>
  <si>
    <t>R. José Fernandes da Silva, 190 - Santo Antonio, Timon - MA, 65630-550, Brasil</t>
  </si>
  <si>
    <t>-5.1070736</t>
  </si>
  <si>
    <t>-42.8268316</t>
  </si>
  <si>
    <t>https://www.google.com/maps/search/?api=1&amp;query=Rayara%20Binacet%20Makeup&amp;query_place_id=ChIJr9hWzJs3jgcRXAdWqzmL_Kg</t>
  </si>
  <si>
    <t>R. José Fernandes da Silva, 190</t>
  </si>
  <si>
    <t>angelica sousa lash</t>
  </si>
  <si>
    <t>+55 86 98130-0529</t>
  </si>
  <si>
    <t>+5586981300529</t>
  </si>
  <si>
    <t>R. Alagoas, Q Q C9 - Julia Almeida, Timon - MA, 65635-478, Brasil</t>
  </si>
  <si>
    <t>-5.1155191</t>
  </si>
  <si>
    <t>-42.863967</t>
  </si>
  <si>
    <t>https://www.google.com/maps/search/?api=1&amp;query=angelica%20sousa%20lash&amp;query_place_id=ChIJMRFoyTRJjgcRCZU_EvtoDLw</t>
  </si>
  <si>
    <t>R. Alagoas, Q Q C9</t>
  </si>
  <si>
    <t>isa</t>
  </si>
  <si>
    <t>+55 99 98463-5181</t>
  </si>
  <si>
    <t>+5599984635181</t>
  </si>
  <si>
    <t>Av. Miguel Arraes - Jóia, Timon - MA, 65633-000, Brasil</t>
  </si>
  <si>
    <t>-5.1490634</t>
  </si>
  <si>
    <t>-42.8416443</t>
  </si>
  <si>
    <t>https://www.google.com/maps/search/?api=1&amp;query=isa&amp;query_place_id=ChIJS_EFheI3jgcRYeYQmgf8wsA</t>
  </si>
  <si>
    <t>Av. Miguel Arraes</t>
  </si>
  <si>
    <t>Taynarasampaio</t>
  </si>
  <si>
    <t>+55 86 99983-2642</t>
  </si>
  <si>
    <t>+5586999832642</t>
  </si>
  <si>
    <t>R. Projetada, 4 - número 201 - Jóia, Timon - MA, 65630-000, Brasil</t>
  </si>
  <si>
    <t>-5.1431158</t>
  </si>
  <si>
    <t>-42.8412324</t>
  </si>
  <si>
    <t>https://www.google.com/maps/search/?api=1&amp;query=Taynarasampaio&amp;query_place_id=ChIJN0mKzR0xjgcR4ii23xIuwfc</t>
  </si>
  <si>
    <t>R. Projetada, 4 - número 201</t>
  </si>
  <si>
    <t>Jc_cuidado.e.beleza</t>
  </si>
  <si>
    <t>+55 99 98485-2346</t>
  </si>
  <si>
    <t>+5599984852346</t>
  </si>
  <si>
    <t>R. Firmino Gonçalves Pedreira, 1627 - Centro, Timon - MA, 65636-400, Brasil</t>
  </si>
  <si>
    <t>-5.1008938</t>
  </si>
  <si>
    <t>-42.8354368</t>
  </si>
  <si>
    <t>https://www.google.com/maps/search/?api=1&amp;query=Jc_cuidado.e.beleza&amp;query_place_id=ChIJU8_TWAs3jgcRc-BOXbs-MNA</t>
  </si>
  <si>
    <t>R. Firmino Gonçalves Pedreira, 1627</t>
  </si>
  <si>
    <t>Studio Sabrina Mary</t>
  </si>
  <si>
    <t>+55 86 99597-4382</t>
  </si>
  <si>
    <t>+5586995974382</t>
  </si>
  <si>
    <t>R. Diamante, 45 - Jóia, Timon - MA, 65632-270, Brasil</t>
  </si>
  <si>
    <t>-5.1411855</t>
  </si>
  <si>
    <t>-42.8368027</t>
  </si>
  <si>
    <t>https://www.google.com/maps/search/?api=1&amp;query=Studio%20Sabrina%20Mary&amp;query_place_id=ChIJHSsu_Fc3jgcRxk6aLARseBk</t>
  </si>
  <si>
    <t>R. Diamante, 45</t>
  </si>
  <si>
    <t>Clinicapilar Estética e Cursos</t>
  </si>
  <si>
    <t>+55 86 98111-3735</t>
  </si>
  <si>
    <t>+5586981113735</t>
  </si>
  <si>
    <t>R. Tibúrcio de Souza Pena, 675 - Parque Alvorada, Timon - MA, 65633-310, Brasil</t>
  </si>
  <si>
    <t>-5.131292</t>
  </si>
  <si>
    <t>-42.831081</t>
  </si>
  <si>
    <t>https://www.google.com/maps/search/?api=1&amp;query=Clinicapilar%20Est%C3%A9tica%20e%20Cursos&amp;query_place_id=ChIJKUOqcJ43jgcR3_qJ0ikqeNU</t>
  </si>
  <si>
    <t>R. Tibúrcio de Souza Pena, 675</t>
  </si>
  <si>
    <t>CENTRO MÉDICO SÃO RAFAEL - TIMON</t>
  </si>
  <si>
    <t>+55 86 98876-1527</t>
  </si>
  <si>
    <t>+5586988761527</t>
  </si>
  <si>
    <t>Av. Francisco Vitórino de Assunção, 2256 - Parque Piaui, Timon - MA, 65636-310, Brasil</t>
  </si>
  <si>
    <t>-5.1053746</t>
  </si>
  <si>
    <t>-42.8340002</t>
  </si>
  <si>
    <t>https://www.google.com/maps/search/?api=1&amp;query=CENTRO%20M%C3%89DICO%20S%C3%83O%20RAFAEL%20-%20TIMON&amp;query_place_id=ChIJvWFoN6M3jgcRzDTjI7yetFY</t>
  </si>
  <si>
    <t>Av. Francisco Vitórino de Assunção, 2256</t>
  </si>
  <si>
    <t>Arte da beleza - Rildo Gomes</t>
  </si>
  <si>
    <t>+55 86 98817-4733</t>
  </si>
  <si>
    <t>+5586988174733</t>
  </si>
  <si>
    <t>-5.1073053</t>
  </si>
  <si>
    <t>-42.8500662</t>
  </si>
  <si>
    <t>https://www.google.com/maps/search/?api=1&amp;query=Arte%20da%20beleza%20-%20Rildo%20Gomes&amp;query_place_id=ChIJ7QTYdHXVGmMRxriHRLkeS7g</t>
  </si>
  <si>
    <t>RK Cabelos</t>
  </si>
  <si>
    <t>+55 99 3212-9013</t>
  </si>
  <si>
    <t>+559932129013</t>
  </si>
  <si>
    <t>R. Miguel Simão, 626 - Centro, Timon - MA, 65630-220, Brasil</t>
  </si>
  <si>
    <t>-5.0995011</t>
  </si>
  <si>
    <t>-42.8259561</t>
  </si>
  <si>
    <t>https://www.google.com/maps/search/?api=1&amp;query=RK%20Cabelos&amp;query_place_id=ChIJ3Tq3DJ43jgcRAJ42OUYuXUM</t>
  </si>
  <si>
    <t>R. Miguel Simão, 626</t>
  </si>
  <si>
    <t>Soberana Beauty</t>
  </si>
  <si>
    <t>+55 86 98837-0287</t>
  </si>
  <si>
    <t>+5586988370287</t>
  </si>
  <si>
    <t>R. Acrísio Veras, 189 - Centro, Timon - MA, 65630-070, Brasil</t>
  </si>
  <si>
    <t>-5.0988314</t>
  </si>
  <si>
    <t>-42.8211872</t>
  </si>
  <si>
    <t>https://www.google.com/maps/search/?api=1&amp;query=Soberana%20Beauty&amp;query_place_id=ChIJw23yIqg3jgcRc7PK6XD4XNw</t>
  </si>
  <si>
    <t>R. Acrísio Veras, 189</t>
  </si>
  <si>
    <t>Carlinha Cabelo's</t>
  </si>
  <si>
    <t>R. José Simões Pedreira, 744 - Centro, Timon - MA, 65630-360, Brasil</t>
  </si>
  <si>
    <t>-5.1036503</t>
  </si>
  <si>
    <t>-42.826729</t>
  </si>
  <si>
    <t>https://www.google.com/maps/search/?api=1&amp;query=Carlinha%20Cabelo's&amp;query_place_id=ChIJc-YsMKA3jgcRkALfdU3KmSo</t>
  </si>
  <si>
    <t>R. José Simões Pedreira, 744</t>
  </si>
  <si>
    <t>Studio Auana Maria</t>
  </si>
  <si>
    <t>R. Acrísio Veras, 344 - Centro, Timon - MA, 65630-070, Brasil</t>
  </si>
  <si>
    <t>-5.1007774</t>
  </si>
  <si>
    <t>-42.8210222</t>
  </si>
  <si>
    <t>https://www.google.com/maps/search/?api=1&amp;query=Studio%20Auana%20Maria&amp;query_place_id=ChIJg1oda3Q3jgcRPVosSLUrVXM</t>
  </si>
  <si>
    <t>R. Acrísio Veras, 344</t>
  </si>
  <si>
    <t>Thayse Silva Nail Designer</t>
  </si>
  <si>
    <t>+55 86 99444-7104</t>
  </si>
  <si>
    <t>+5586994447104</t>
  </si>
  <si>
    <t>R. Aquiles Lisboa, 216 - Centro, Timon - MA, 65630-300, Brasil</t>
  </si>
  <si>
    <t>-5.1004597</t>
  </si>
  <si>
    <t>-42.8214555</t>
  </si>
  <si>
    <t>https://www.google.com/maps/search/?api=1&amp;query=Thayse%20Silva%20Nail%20Designer&amp;query_place_id=ChIJWXfDfdk3jgcReTqlJaQik0U</t>
  </si>
  <si>
    <t>R. Aquiles Lisboa, 216</t>
  </si>
  <si>
    <t>Amanda Melo Studio Hair</t>
  </si>
  <si>
    <t>R. Vitória - Vila Bandeirante, Timon - MA, Brasil</t>
  </si>
  <si>
    <t>-5.1355137</t>
  </si>
  <si>
    <t>-42.8464333</t>
  </si>
  <si>
    <t>https://www.google.com/maps/search/?api=1&amp;query=Amanda%20Melo%20Studio%20Hair&amp;query_place_id=ChIJz9DiGwA3jgcRPzE2EX2267k</t>
  </si>
  <si>
    <t>R. Vitória</t>
  </si>
  <si>
    <t>Estudio D</t>
  </si>
  <si>
    <t>+55 86 98836-8373</t>
  </si>
  <si>
    <t>+5586988368373</t>
  </si>
  <si>
    <t>Av. Jaime Rios, 656B - Parque Piaui, Timon - MA, 65630-370, Brasil</t>
  </si>
  <si>
    <t>-5.096547</t>
  </si>
  <si>
    <t>-42.8265872</t>
  </si>
  <si>
    <t>https://www.google.com/maps/search/?api=1&amp;query=Estudio%20D&amp;query_place_id=ChIJwTJDsy83jgcRcs3PCAvze3w</t>
  </si>
  <si>
    <t>Av. Jaime Rios, 656B</t>
  </si>
  <si>
    <t>Studio Gizeuda Silva</t>
  </si>
  <si>
    <t>+55 86 98839-9979</t>
  </si>
  <si>
    <t>+5586988399979</t>
  </si>
  <si>
    <t>R. Formosa, 679 - São Benedito, Timon - MA, 65636-200, Brasil</t>
  </si>
  <si>
    <t>-5.1078433</t>
  </si>
  <si>
    <t>-42.8335407</t>
  </si>
  <si>
    <t>https://www.google.com/maps/search/?api=1&amp;query=Studio%20Gizeuda%20Silva&amp;query_place_id=ChIJCQMKnJA3jgcRlWfvD18apeU</t>
  </si>
  <si>
    <t>R. Formosa, 679</t>
  </si>
  <si>
    <t>Studio Leandro Portillo</t>
  </si>
  <si>
    <t>+55 86 99851-4108</t>
  </si>
  <si>
    <t>+5586998514108</t>
  </si>
  <si>
    <t>Quadra 25 casa 25, Av. Miguel Arraes, Timon - MA, 65633-420, Brasil</t>
  </si>
  <si>
    <t>-5.1493519</t>
  </si>
  <si>
    <t>-42.8499519</t>
  </si>
  <si>
    <t>https://www.google.com/maps/search/?api=1&amp;query=Studio%20Leandro%20Portillo&amp;query_place_id=ChIJoyVAi1k1jgcR47aTAUVyypc</t>
  </si>
  <si>
    <t>Quadra 25 casa 25, Av. Miguel Arraes</t>
  </si>
  <si>
    <t>Studio jhacy Unhas</t>
  </si>
  <si>
    <t>+55 86 98803-2706</t>
  </si>
  <si>
    <t>+5586988032706</t>
  </si>
  <si>
    <t>-5.126249</t>
  </si>
  <si>
    <t>-42.8285842</t>
  </si>
  <si>
    <t>https://www.google.com/maps/search/?api=1&amp;query=Studio%20jhacy%20Unhas&amp;query_place_id=ChIJ-wXpCWM3jgcRknV0ueEWU-4</t>
  </si>
  <si>
    <t>STUDIO FABIANA ASSUNÇÃO</t>
  </si>
  <si>
    <t>+55 99 98837-5816</t>
  </si>
  <si>
    <t>+5599988375816</t>
  </si>
  <si>
    <t>Tv. Primeiro, 1707 - Pedro Patrício, Timon - MA, 65634-370, Brasil</t>
  </si>
  <si>
    <t>-5.1148132</t>
  </si>
  <si>
    <t>-42.8429282</t>
  </si>
  <si>
    <t>https://www.google.com/maps/search/?api=1&amp;query=STUDIO%20FABIANA%20ASSUN%C3%87%C3%83O&amp;query_place_id=ChIJm2hb86U3jgcR4ZN5vctYNqI</t>
  </si>
  <si>
    <t>Tv. Primeiro, 1707</t>
  </si>
  <si>
    <t>StudionailMagdasousa</t>
  </si>
  <si>
    <t>R. Higino Cunha, 572A - Centro, Timon - MA, 65630-240, Brasil</t>
  </si>
  <si>
    <t>-5.1000711</t>
  </si>
  <si>
    <t>-42.825006</t>
  </si>
  <si>
    <t>https://www.google.com/maps/search/?api=1&amp;query=StudionailMagdasousa&amp;query_place_id=ChIJe0uzVgA3jgcRfOBSTczKDv0</t>
  </si>
  <si>
    <t>R. Higino Cunha, 572A</t>
  </si>
  <si>
    <t>+55 86 98815-8381</t>
  </si>
  <si>
    <t>+5586988158381</t>
  </si>
  <si>
    <t>R. Aquiles Lisboa, 209-245 - Centro, Timon - MA, 65630-300, Brasil</t>
  </si>
  <si>
    <t>-5.1005823</t>
  </si>
  <si>
    <t>-42.8216476</t>
  </si>
  <si>
    <t>https://www.google.com/maps/search/?api=1&amp;query=Adriana%20Cabelos&amp;query_place_id=ChIJwcxzOHQ3jgcRLVE902fn4Oo</t>
  </si>
  <si>
    <t>R. Aquiles Lisboa, 209-245</t>
  </si>
  <si>
    <t>Casa do Biel</t>
  </si>
  <si>
    <t>Beco D - Beco A Centro Operario, 18 - Flores II, Timon - MA, 65630-970, Brasil</t>
  </si>
  <si>
    <t>-5.1003823</t>
  </si>
  <si>
    <t>-42.8601409</t>
  </si>
  <si>
    <t>https://www.google.com/maps/search/?api=1&amp;query=Casa%20do%20Biel&amp;query_place_id=ChIJkUqIPQA3jgcRROehb9iiqAY</t>
  </si>
  <si>
    <t>Beco D - Beco A Centro Operario, 18</t>
  </si>
  <si>
    <t>mmbeleza_2021</t>
  </si>
  <si>
    <t>+55 86 98168-6752</t>
  </si>
  <si>
    <t>+5586981686752</t>
  </si>
  <si>
    <t>Beco Um - Timon, MA, 65630-020, Brasil</t>
  </si>
  <si>
    <t>-5.2021503</t>
  </si>
  <si>
    <t>-42.8357083</t>
  </si>
  <si>
    <t>https://www.google.com/maps/search/?api=1&amp;query=mmbeleza_2021&amp;query_place_id=ChIJl_v3E6Y1jgcRXAIVFbf-y_Y</t>
  </si>
  <si>
    <t>Beco Um</t>
  </si>
  <si>
    <t>Studio Beatryz Detona</t>
  </si>
  <si>
    <t>+55 86 99418-4479</t>
  </si>
  <si>
    <t>+5586994184479</t>
  </si>
  <si>
    <t>Rua Três - Timon, MA, 65636-340, Brasil</t>
  </si>
  <si>
    <t>-5.1109144</t>
  </si>
  <si>
    <t>-42.8502508</t>
  </si>
  <si>
    <t>https://www.google.com/maps/search/?api=1&amp;query=Studio%20Beatryz%20Detona&amp;query_place_id=ChIJFbe2FQA3jgcRg4kSyit5GKI</t>
  </si>
  <si>
    <t>Rua Três</t>
  </si>
  <si>
    <t>Viviane Kamily Esthetics</t>
  </si>
  <si>
    <t>+55 99 98144-0490</t>
  </si>
  <si>
    <t>+5599981440490</t>
  </si>
  <si>
    <t>R. Beco A 25 - Flores II, Timon - MA, 65634-386, Brasil</t>
  </si>
  <si>
    <t>-5.1051898</t>
  </si>
  <si>
    <t>-42.8536867</t>
  </si>
  <si>
    <t>https://www.google.com/maps/search/?api=1&amp;query=Viviane%20Kamily%20Esthetics&amp;query_place_id=ChIJYYXkBAA3jgcRrDsJFmEw1lI</t>
  </si>
  <si>
    <t>R. Beco A 25</t>
  </si>
  <si>
    <t>Ellen Nails</t>
  </si>
  <si>
    <t>+55 86 98844-1491</t>
  </si>
  <si>
    <t>+5586988441491</t>
  </si>
  <si>
    <t>R. Duque de Caxias, 647 - Centro, Timon - MA, 65630-615, Brasil</t>
  </si>
  <si>
    <t>-5.1043391</t>
  </si>
  <si>
    <t>-42.8224628</t>
  </si>
  <si>
    <t>https://www.google.com/maps/search/?api=1&amp;query=Ellen%20Nails&amp;query_place_id=ChIJlb1HBwA3jgcRs--oB3fU9-Y</t>
  </si>
  <si>
    <t>R. Duque de Caxias, 647</t>
  </si>
  <si>
    <t>Isolaser clínica de depilação a laser</t>
  </si>
  <si>
    <t>+55 9981779216</t>
  </si>
  <si>
    <t>Av. Pres. Médici, 1327 - Centro, Timon - MA, 65630-790, Brasil</t>
  </si>
  <si>
    <t>-5.0997816</t>
  </si>
  <si>
    <t>-42.8296157</t>
  </si>
  <si>
    <t>https://www.google.com/maps/search/?api=1&amp;query=Isolaser%20cl%C3%ADnica%20de%20depila%C3%A7%C3%A3o%20a%20laser&amp;query_place_id=ChIJLUs9HwA3jgcRVtrNjjxVPu4</t>
  </si>
  <si>
    <t>Av. Pres. Médici, 1327</t>
  </si>
  <si>
    <t>Thais esteticista - saúde &amp; bem-estar</t>
  </si>
  <si>
    <t>+55 86 98123-0271</t>
  </si>
  <si>
    <t>+5586981230271</t>
  </si>
  <si>
    <t>-5.0988772</t>
  </si>
  <si>
    <t>-42.8379878</t>
  </si>
  <si>
    <t>https://www.google.com/maps/search/?api=1&amp;query=Thais%20esteticista%20-%20sa%C3%BAde%20%26%20bem-estar&amp;query_place_id=ChIJ3dfgPZI3jgcRSITH7191LKk</t>
  </si>
  <si>
    <t>Penélope Charmosa</t>
  </si>
  <si>
    <t>+55 99 98819-8197</t>
  </si>
  <si>
    <t>+5599988198197</t>
  </si>
  <si>
    <t>R. Nossa Sra. de Fátima, 902 - São Benedito, Timon - MA, 65636-230, Brasil</t>
  </si>
  <si>
    <t>-5.1007289</t>
  </si>
  <si>
    <t>-42.8330643</t>
  </si>
  <si>
    <t>https://www.google.com/maps/search/?api=1&amp;query=Pen%C3%A9lope%20Charmosa&amp;query_place_id=ChIJp-SpZD03jgcR_DSY_QugNEs</t>
  </si>
  <si>
    <t>R. Nossa Sra. de Fátima, 902</t>
  </si>
  <si>
    <t>Studio Jacyara Alves</t>
  </si>
  <si>
    <t>Q28 casa 07 Miguel arraes, R. 27 - Jóia, Timon - MA, Brasil</t>
  </si>
  <si>
    <t>-5.1489119</t>
  </si>
  <si>
    <t>-42.8509677</t>
  </si>
  <si>
    <t>https://www.google.com/maps/search/?api=1&amp;query=Studio%20Jacyara%20Alves&amp;query_place_id=ChIJlzxjhSA1jgcRsqoU_vix4Tc</t>
  </si>
  <si>
    <t>Q28 casa 07 Miguel arraes, R. 27</t>
  </si>
  <si>
    <t>Studio Malu Oliveira</t>
  </si>
  <si>
    <t>+55 86 98873-3353</t>
  </si>
  <si>
    <t>+5586988733353</t>
  </si>
  <si>
    <t>R. Dois, 574 - Vila Angélica, Timon - MA, 65634-344, Brasil</t>
  </si>
  <si>
    <t>-5.1089753</t>
  </si>
  <si>
    <t>-42.8412967</t>
  </si>
  <si>
    <t>https://www.google.com/maps/search/?api=1&amp;query=Studio%20Malu%20Oliveira&amp;query_place_id=ChIJ54WjOqA3jgcR1GYXfUxiMAo</t>
  </si>
  <si>
    <t>R. Dois, 574</t>
  </si>
  <si>
    <t>Cantinho da Beleza</t>
  </si>
  <si>
    <t>+55 86 3317-3595</t>
  </si>
  <si>
    <t>+558633173595</t>
  </si>
  <si>
    <t>R. Dezesseis, 779 - São Francisco II, Timon - MA, 65630-000, Brasil</t>
  </si>
  <si>
    <t>-5.0811903</t>
  </si>
  <si>
    <t>-42.8498118</t>
  </si>
  <si>
    <t>https://www.google.com/maps/search/?api=1&amp;query=Cantinho%20da%20Beleza&amp;query_place_id=ChIJNVRo5Jc3jgcRHzAw1vh6t6o</t>
  </si>
  <si>
    <t>Janaína unha &amp; cabelos / Luastudio</t>
  </si>
  <si>
    <t>+55 86 98808-3785</t>
  </si>
  <si>
    <t>+5586988083785</t>
  </si>
  <si>
    <t>R. 3, 2426 - Bela Vista, Timon - MA, 65636-720, Brasil</t>
  </si>
  <si>
    <t>-5.0869831</t>
  </si>
  <si>
    <t>-42.8538877</t>
  </si>
  <si>
    <t>https://www.google.com/maps/search/?api=1&amp;query=Jana%C3%ADna%20unha%20%26%20cabelos%20%2F%20Luastudio&amp;query_place_id=ChIJ9ff3w1A3jgcR3ynHxff3E8g</t>
  </si>
  <si>
    <t>R. 3, 2426</t>
  </si>
  <si>
    <t>ivanilda Haiy</t>
  </si>
  <si>
    <t>Q. Nove Cj Joaquim Pedreira, 25 - São Francisco II, Timon - MA, 65636-820, Brasil</t>
  </si>
  <si>
    <t>-5.0859512</t>
  </si>
  <si>
    <t>-42.854261</t>
  </si>
  <si>
    <t>https://www.google.com/maps/search/?api=1&amp;query=ivanilda%20Haiy&amp;query_place_id=ChIJXyNXYgA3jgcRp6pbwOKeGBg</t>
  </si>
  <si>
    <t>Q. Nove Cj Joaquim Pedreira, 25</t>
  </si>
  <si>
    <t>Ronnielly Bezerra Hair</t>
  </si>
  <si>
    <t>+55 86 99955-0147</t>
  </si>
  <si>
    <t>+5586999550147</t>
  </si>
  <si>
    <t>R. Dez, Qd 7 - N° 26 - São Francisco, Timon - MA, 65636-754, Brasil</t>
  </si>
  <si>
    <t>-5.0856078</t>
  </si>
  <si>
    <t>-42.8500874</t>
  </si>
  <si>
    <t>https://www.google.com/maps/search/?api=1&amp;query=Ronnielly%20Bezerra%20Hair&amp;query_place_id=ChIJz6yINro3jgcR5tg0r6_BTts</t>
  </si>
  <si>
    <t>R. Dez, Qd 7 - N° 26</t>
  </si>
  <si>
    <t>Luziamakeup</t>
  </si>
  <si>
    <t>R. Doze - Marimar, Timon - MA, 65637-100, Brasil</t>
  </si>
  <si>
    <t>-5.0864349</t>
  </si>
  <si>
    <t>-42.8584229</t>
  </si>
  <si>
    <t>https://www.google.com/maps/search/?api=1&amp;query=Luziamakeup&amp;query_place_id=ChIJPxRKhiQ3jgcRnKMB29cuuJU</t>
  </si>
  <si>
    <t>R. Doze</t>
  </si>
  <si>
    <t>CASA PAULO E RAYNARA</t>
  </si>
  <si>
    <t>R. Um, 995 - Marimar, Timon - MA, 65637-010, Brasil</t>
  </si>
  <si>
    <t>-5.0838763</t>
  </si>
  <si>
    <t>-42.8558545</t>
  </si>
  <si>
    <t>https://www.google.com/maps/search/?api=1&amp;query=CASA%20PAULO%20E%20RAYNARA&amp;query_place_id=ChIJr7GnbAA5jgcRDwmL8gKOUTQ</t>
  </si>
  <si>
    <t>R. Um, 995</t>
  </si>
  <si>
    <t>Graziele Rocha studio</t>
  </si>
  <si>
    <t>+55 86 98181-3739</t>
  </si>
  <si>
    <t>+5586981813739</t>
  </si>
  <si>
    <t>Tv. Vinte e Sete, 169 - Bela vista, Timon - MA, 65638-195, Brasil</t>
  </si>
  <si>
    <t>-5.0933768</t>
  </si>
  <si>
    <t>-42.85011</t>
  </si>
  <si>
    <t>https://www.google.com/maps/search/?api=1&amp;query=Graziele%20Rocha%20studio&amp;query_place_id=ChIJQdamzNk3jgcRJoUnEvP2uRY</t>
  </si>
  <si>
    <t>Tv. Vinte e Sete, 169</t>
  </si>
  <si>
    <t>Studio Carmem Hair</t>
  </si>
  <si>
    <t>+55 99 98143-1672</t>
  </si>
  <si>
    <t>+5599981431672</t>
  </si>
  <si>
    <t>Av. Tiúba, 1863 - Formosa, Timon - MA, 65634-400, Brasil</t>
  </si>
  <si>
    <t>-5.1141435</t>
  </si>
  <si>
    <t>-42.8505629</t>
  </si>
  <si>
    <t>https://www.google.com/maps/search/?api=1&amp;query=Studio%20Carmem%20Hair&amp;query_place_id=ChIJN5TyP8w3jgcRI6poh0IbO7I</t>
  </si>
  <si>
    <t>Av. Tiúba, 1863</t>
  </si>
  <si>
    <t>Seu Tavares Barbearia</t>
  </si>
  <si>
    <t>+55 86 99554-9443</t>
  </si>
  <si>
    <t>+5586995549443</t>
  </si>
  <si>
    <t>R. José Simões Pedreira, 841 - Centro, Timon - MA, 65630-360, Brasil</t>
  </si>
  <si>
    <t>-5.1042129</t>
  </si>
  <si>
    <t>-42.8274812</t>
  </si>
  <si>
    <t>https://www.google.com/maps/search/?api=1&amp;query=Seu%20Tavares%20Barbearia&amp;query_place_id=ChIJw-lfenU3jgcRGJn_n_s_uUM</t>
  </si>
  <si>
    <t>R. José Simões Pedreira, 841</t>
  </si>
  <si>
    <t>Clínica Dayana Andrade</t>
  </si>
  <si>
    <t>+55 86 99929-6481</t>
  </si>
  <si>
    <t>+5586999296481</t>
  </si>
  <si>
    <t>R. Gonçalves Dias, 314 - Santo Antonio, Timon - MA, 65630-400, Brasil</t>
  </si>
  <si>
    <t>-5.1026526</t>
  </si>
  <si>
    <t>-42.8216185</t>
  </si>
  <si>
    <t>https://www.google.com/maps/search/?api=1&amp;query=Cl%C3%ADnica%20Dayana%20Andrade&amp;query_place_id=ChIJA4YR9Qo3jgcRQZpIUB_-DRs</t>
  </si>
  <si>
    <t>R. Gonçalves Dias, 314</t>
  </si>
  <si>
    <t>Studio Realizy</t>
  </si>
  <si>
    <t>+55 99 98813-0962</t>
  </si>
  <si>
    <t>+5599988130962</t>
  </si>
  <si>
    <t>Av. Francisco Vitórino de Assunção, 1539 - Parque Piaui, Timon - MA, 65636-310, Brasil</t>
  </si>
  <si>
    <t>-5.0995441</t>
  </si>
  <si>
    <t>-42.8366261</t>
  </si>
  <si>
    <t>https://www.google.com/maps/search/?api=1&amp;query=Studio%20Realizy&amp;query_place_id=ChIJseTf0Sk3jgcRtlSJLoMRMWc</t>
  </si>
  <si>
    <t>Av. Francisco Vitórino de Assunção, 1539</t>
  </si>
  <si>
    <t>Studio Lady Day</t>
  </si>
  <si>
    <t>Av. Gerônimo Silva - Parque Alvorada, Timon - MA, 65633-180, Brasil</t>
  </si>
  <si>
    <t>-5.1287795</t>
  </si>
  <si>
    <t>-42.8225004</t>
  </si>
  <si>
    <t>https://www.google.com/maps/search/?api=1&amp;query=Studio%20Lady%20Day&amp;query_place_id=ChIJ3SGN4IU3jgcRlYxyIvl9Ync</t>
  </si>
  <si>
    <t>Av. Gerônimo Silva</t>
  </si>
  <si>
    <t>Studio Patrícia Oliveira Beleza e Estética</t>
  </si>
  <si>
    <t>+55 99 98136-7953</t>
  </si>
  <si>
    <t>+5599981367953</t>
  </si>
  <si>
    <t>R. Pepita, 581 - Jóia, Timon - MA, 65632-285, Brasil</t>
  </si>
  <si>
    <t>-5.1421977</t>
  </si>
  <si>
    <t>-42.8383624</t>
  </si>
  <si>
    <t>https://www.google.com/maps/search/?api=1&amp;query=Studio%20Patr%C3%ADcia%20Oliveira%20Beleza%20e%20Est%C3%A9tica&amp;query_place_id=ChIJxaLtdFU3jgcR8JNJlbSCDTM</t>
  </si>
  <si>
    <t>R. Pepita, 581</t>
  </si>
  <si>
    <t>Leyla Nunes - Hair studio</t>
  </si>
  <si>
    <t>+55 86 98886-8897</t>
  </si>
  <si>
    <t>+5586988868897</t>
  </si>
  <si>
    <t>Ruan vinte, Rua Sebastião Saraiva, Nº 02 - Vila Angélica, Timon - MA, 65634-364, Brasil</t>
  </si>
  <si>
    <t>-5.1072503</t>
  </si>
  <si>
    <t>-42.8454002</t>
  </si>
  <si>
    <t>https://www.google.com/maps/search/?api=1&amp;query=Leyla%20Nunes%20-%20Hair%20studio&amp;query_place_id=ChIJvSWtoas3jgcRjfrql02JCFY</t>
  </si>
  <si>
    <t>Ruan vinte, Rua Sebastião Saraiva, Nº 02</t>
  </si>
  <si>
    <t>Studio Lurdynha Moreira</t>
  </si>
  <si>
    <t>+55 99 98118-4407</t>
  </si>
  <si>
    <t>+5599981184407</t>
  </si>
  <si>
    <t>R. Dois, Quadra 08 - Cs 10 - Mutirão, Timon - MA, 65634-460, Brasil</t>
  </si>
  <si>
    <t>-5.1112165</t>
  </si>
  <si>
    <t>-42.8508368</t>
  </si>
  <si>
    <t>https://www.google.com/maps/search/?api=1&amp;query=Studio%20Lurdynha%20Moreira&amp;query_place_id=ChIJjRNPt0Q3jgcRJ7kibVtxwfM</t>
  </si>
  <si>
    <t>R. Dois, Quadra 08 - Cs 10</t>
  </si>
  <si>
    <t>Elyenna Cabelos</t>
  </si>
  <si>
    <t>+55 86 99831-1501</t>
  </si>
  <si>
    <t>+5586998311501</t>
  </si>
  <si>
    <t>R. Aristídes Alvila de Alves, 546 - Vila Angélica, Timon - MA, 65634-340, Brasil</t>
  </si>
  <si>
    <t>-5.1098523</t>
  </si>
  <si>
    <t>-42.8414357</t>
  </si>
  <si>
    <t>https://www.google.com/maps/search/?api=1&amp;query=Elyenna%20Cabelos&amp;query_place_id=ChIJbw2j0yM3jgcREw9Zp_F4_Pg</t>
  </si>
  <si>
    <t>R. Aristídes Alvila de Alves, 546</t>
  </si>
  <si>
    <t>Stúdio Rosiane Meneses</t>
  </si>
  <si>
    <t>+55 99 98206-6389</t>
  </si>
  <si>
    <t>+5599982066389</t>
  </si>
  <si>
    <t>R. Quatro, número 255 - Vila Monteiro, Timon - MA, 65634-540, Brasil</t>
  </si>
  <si>
    <t>-5.1155002</t>
  </si>
  <si>
    <t>-42.8493351</t>
  </si>
  <si>
    <t>https://www.google.com/maps/search/?api=1&amp;query=St%C3%BAdio%20Rosiane%20Meneses&amp;query_place_id=ChIJFS_Nbw43jgcRWdJAhiljBGA</t>
  </si>
  <si>
    <t>R. Quatro, número 255</t>
  </si>
  <si>
    <t>Mar e Bronze</t>
  </si>
  <si>
    <t>+55 86 99838-7385</t>
  </si>
  <si>
    <t>+5586998387385</t>
  </si>
  <si>
    <t>R. Jorge Luiz Alves Junior, 70 - Flores II, Timon - MA, 65636-556, Brasil</t>
  </si>
  <si>
    <t>-5.1026599</t>
  </si>
  <si>
    <t>-42.8616447</t>
  </si>
  <si>
    <t>https://www.google.com/maps/search/?api=1&amp;query=Mar%20e%20Bronze&amp;query_place_id=ChIJzRf6ukU3jgcRV7cpHfjsBhg</t>
  </si>
  <si>
    <t>R. Jorge Luiz Alves Junior, 70</t>
  </si>
  <si>
    <t>Studio P🧜‍♀️</t>
  </si>
  <si>
    <t>Timon, MA, 65630-020, Brasil</t>
  </si>
  <si>
    <t>-5.1191693</t>
  </si>
  <si>
    <t>-42.8501928</t>
  </si>
  <si>
    <t>https://www.google.com/maps/search/?api=1&amp;query=Studio%20P%F0%9F%A7%9C%E2%80%8D%E2%99%80%EF%B8%8F&amp;query_place_id=ChIJR7q7VqM3jgcRmk-A3eN7RF8</t>
  </si>
  <si>
    <t>Estúdio Sabrina Fernandes</t>
  </si>
  <si>
    <t>+55 86 99952-4658</t>
  </si>
  <si>
    <t>+5586999524658</t>
  </si>
  <si>
    <t>Flores II, Timon - MA, Brasil</t>
  </si>
  <si>
    <t>-5.102699</t>
  </si>
  <si>
    <t>-42.8564773</t>
  </si>
  <si>
    <t>https://www.google.com/maps/search/?api=1&amp;query=Est%C3%BAdio%20Sabrina%20Fernandes&amp;query_place_id=ChIJ29os_UA3jgcRvwKc549IzEc</t>
  </si>
  <si>
    <t>Stúdio Nelcy_AfroBraids</t>
  </si>
  <si>
    <t>R. Cinco, N° 172 - Vila Osmar, Timon - MA, 65634-470, Brasil</t>
  </si>
  <si>
    <t>-5.1102824</t>
  </si>
  <si>
    <t>-42.846144</t>
  </si>
  <si>
    <t>https://www.google.com/maps/search/?api=1&amp;query=St%C3%BAdio%20Nelcy_AfroBraids&amp;query_place_id=ChIJTSeHXGQ3jgcRLBvrbNvPm8w</t>
  </si>
  <si>
    <t>R. Cinco, N° 172</t>
  </si>
  <si>
    <t>Estüdyo Marcielle Sousa</t>
  </si>
  <si>
    <t>+55 99 98409-8398</t>
  </si>
  <si>
    <t>+5599984098398</t>
  </si>
  <si>
    <t>R. Filomena Martins Nazareno Bringel, 2055 - Parque Piauí II, Timon - MA, 65631-280, Brasil</t>
  </si>
  <si>
    <t>-5.0979708</t>
  </si>
  <si>
    <t>-42.8485966</t>
  </si>
  <si>
    <t>https://www.google.com/maps/search/?api=1&amp;query=Est%C3%BCdyo%20Marcielle%20Sousa&amp;query_place_id=ChIJF1aKUyw3jgcRtXw1UNKiVsI</t>
  </si>
  <si>
    <t>R. Filomena Martins Nazareno Bringel, 2055</t>
  </si>
  <si>
    <t>Studio Diva Timon</t>
  </si>
  <si>
    <t>+55 86 99407-4083</t>
  </si>
  <si>
    <t>+5586994074083</t>
  </si>
  <si>
    <t>Av. Teresina, n° 1920 - Parque Piaui, Timon - MA, 65000-000, Brasil</t>
  </si>
  <si>
    <t>-5.0990115</t>
  </si>
  <si>
    <t>-42.8459688</t>
  </si>
  <si>
    <t>https://www.google.com/maps/search/?api=1&amp;query=Studio%20Diva%20Timon&amp;query_place_id=ChIJ-SaDmKg3jgcRw9QBy0jhlv4</t>
  </si>
  <si>
    <t>Av. Teresina, n° 1920</t>
  </si>
  <si>
    <t>Amanda Gaby Beauty</t>
  </si>
  <si>
    <t>+55 86 99549-6568</t>
  </si>
  <si>
    <t>+5586995496568</t>
  </si>
  <si>
    <t>R. Projetada - Timon, MA, 65630-020, Brasil</t>
  </si>
  <si>
    <t>-5.1042113</t>
  </si>
  <si>
    <t>-42.8482342</t>
  </si>
  <si>
    <t>https://www.google.com/maps/search/?api=1&amp;query=Amanda%20Gaby%20Beauty&amp;query_place_id=ChIJsz0i5XA3jgcRLi53WT8qaBI</t>
  </si>
  <si>
    <t>R. Projetada</t>
  </si>
  <si>
    <t>Yvanasouza.studio</t>
  </si>
  <si>
    <t>R. Cinco, 300A - Pedro Patrício, Timon - MA, 65634-406, Brasil</t>
  </si>
  <si>
    <t>-5.1152321</t>
  </si>
  <si>
    <t>-42.8476112</t>
  </si>
  <si>
    <t>https://www.google.com/maps/search/?api=1&amp;query=Yvanasouza.studio&amp;query_place_id=ChIJh4a-tD03jgcRIYatpXAGWmk</t>
  </si>
  <si>
    <t>R. Cinco, 300A</t>
  </si>
  <si>
    <t>Ana Walerya Beauty</t>
  </si>
  <si>
    <t>R. Cícero da Silva Rios, 936 - Vila Angélica, Timon - MA, 65634-350, Brasil</t>
  </si>
  <si>
    <t>-5.1100702</t>
  </si>
  <si>
    <t>-42.8445121</t>
  </si>
  <si>
    <t>https://www.google.com/maps/search/?api=1&amp;query=Ana%20Walerya%20Beauty&amp;query_place_id=ChIJnc0A-PI3jgcRlV_ObO7vRqQ</t>
  </si>
  <si>
    <t>R. Cícero da Silva Rios, 936</t>
  </si>
  <si>
    <t>Val Colares Depilação em Timon | Rainha da Cera</t>
  </si>
  <si>
    <t>+55 86 99940-5082</t>
  </si>
  <si>
    <t>+5586999405082</t>
  </si>
  <si>
    <t>R. Marcos Batista da Silva, 1295 - Parque Piaui, Timon - MA, 65631-240, Brasil</t>
  </si>
  <si>
    <t>-5.0932884</t>
  </si>
  <si>
    <t>-42.844778</t>
  </si>
  <si>
    <t>https://www.google.com/maps/search/?api=1&amp;query=Val%20Colares%20Depila%C3%A7%C3%A3o%20em%20Timon%20%7C%20Rainha%20da%20Cera&amp;query_place_id=ChIJK0Me_mI3jgcRASTxBHd_h1M</t>
  </si>
  <si>
    <t>R. Marcos Batista da Silva, 1295</t>
  </si>
  <si>
    <t>Studio MC Hair</t>
  </si>
  <si>
    <t>R.108, 634-C - São Francisco, Timon - MA, 65630-020, Brasil</t>
  </si>
  <si>
    <t>-5.0830541</t>
  </si>
  <si>
    <t>-42.846424</t>
  </si>
  <si>
    <t>https://www.google.com/maps/search/?api=1&amp;query=Studio%20MC%20Hair&amp;query_place_id=ChIJIT4m4vQ5jgcR8yrFq7HHBO8</t>
  </si>
  <si>
    <t>R.108, 634-C</t>
  </si>
  <si>
    <t>Lc Studio espaço mulher</t>
  </si>
  <si>
    <t>+55 86 98866-4471</t>
  </si>
  <si>
    <t>+5586988664471</t>
  </si>
  <si>
    <t>R. 650, 520 - Mateuzinho, Timon - MA, 65630-650, Brasil</t>
  </si>
  <si>
    <t>-5.1114003</t>
  </si>
  <si>
    <t>-42.8242654</t>
  </si>
  <si>
    <t>https://www.google.com/maps/search/?api=1&amp;query=Lc%20Studio%20espa%C3%A7o%20mulher&amp;query_place_id=ChIJvbg7Vy43jgcRBC-_RcqhS8w</t>
  </si>
  <si>
    <t>R. 650, 520</t>
  </si>
  <si>
    <t>Studio Nanda Sousa</t>
  </si>
  <si>
    <t>R. 26, 38 - Vila Santa Izabel, Timon - MA, 65636-460, Brasil</t>
  </si>
  <si>
    <t>-5.1083801</t>
  </si>
  <si>
    <t>-42.8532436</t>
  </si>
  <si>
    <t>https://www.google.com/maps/search/?api=1&amp;query=Studio%20Nanda%20Sousa&amp;query_place_id=ChIJsU0rbwA3jgcRoncWaXQO3f0</t>
  </si>
  <si>
    <t>R. 26, 38</t>
  </si>
  <si>
    <t>Studio Mara Santos_makeup</t>
  </si>
  <si>
    <t>+55 99 98415-4300</t>
  </si>
  <si>
    <t>+5599984154300</t>
  </si>
  <si>
    <t>65 634-404, R. F - Pedro Patrício, Timon - MA, 65634-404, Brasil</t>
  </si>
  <si>
    <t>-5.1125516</t>
  </si>
  <si>
    <t>-42.8436262</t>
  </si>
  <si>
    <t>https://www.google.com/maps/search/?api=1&amp;query=Studio%20Mara%20Santos_makeup&amp;query_place_id=ChIJAUKrrtg3jgcRJ7-lnCyS2qI</t>
  </si>
  <si>
    <t>65 634-404, R. F</t>
  </si>
  <si>
    <t>Studio Paula Guimarães</t>
  </si>
  <si>
    <t>+55 86 98816-1206</t>
  </si>
  <si>
    <t>+5586988161206</t>
  </si>
  <si>
    <t>Av. Parnarama, 790 - Jóia, Timon - MA, 65632-240, Brasil</t>
  </si>
  <si>
    <t>-5.1444189</t>
  </si>
  <si>
    <t>-42.8405189</t>
  </si>
  <si>
    <t>https://www.google.com/maps/search/?api=1&amp;query=Studio%20Paula%20Guimar%C3%A3es&amp;query_place_id=ChIJVXV8xmM3jgcRtRCTGVU9Cfo</t>
  </si>
  <si>
    <t>Av. Parnarama, 790</t>
  </si>
  <si>
    <t>ALERGOSTORE</t>
  </si>
  <si>
    <t>+55 86 99416-0448</t>
  </si>
  <si>
    <t>+5586994160448</t>
  </si>
  <si>
    <t>Tv. Timbiras, 273 - Centro, Timon - MA, 65630-410, Brasil</t>
  </si>
  <si>
    <t>-5.0994755</t>
  </si>
  <si>
    <t>-42.8273942</t>
  </si>
  <si>
    <t>https://www.google.com/maps/search/?api=1&amp;query=ALERGOSTORE&amp;query_place_id=ChIJpZU6G985jgcRmVUtwuH-p3w</t>
  </si>
  <si>
    <t>Tv. Timbiras, 273</t>
  </si>
  <si>
    <t>Centro de Especialidades Odontológicas - CEO</t>
  </si>
  <si>
    <t>+55 86 98853-2710</t>
  </si>
  <si>
    <t>+5586988532710</t>
  </si>
  <si>
    <t>R. Miguel Simão, 528 - Centro, Timon - MA, 65630-220, Brasil</t>
  </si>
  <si>
    <t>-5.0993037</t>
  </si>
  <si>
    <t>-42.825215</t>
  </si>
  <si>
    <t>https://www.google.com/maps/search/?api=1&amp;query=Centro%20de%20Especialidades%20Odontol%C3%B3gicas%20-%20CEO&amp;query_place_id=ChIJjYmKHnA3jgcR5-4vmp124tE</t>
  </si>
  <si>
    <t>R. Miguel Simão, 528</t>
  </si>
  <si>
    <t>Studio Larissa Fernanda</t>
  </si>
  <si>
    <t>+55 99 98499-4667</t>
  </si>
  <si>
    <t>+5599984994667</t>
  </si>
  <si>
    <t>R. 95, 10 - Vila Monteiro, Timon - MA, 65635-472, Brasil</t>
  </si>
  <si>
    <t>-5.113862</t>
  </si>
  <si>
    <t>-42.8534501</t>
  </si>
  <si>
    <t>https://www.google.com/maps/search/?api=1&amp;query=Studio%20Larissa%20Fernanda&amp;query_place_id=ChIJq-NVa0M3jgcRS4OEx_4yUPM</t>
  </si>
  <si>
    <t>R. 95, 10</t>
  </si>
  <si>
    <t>Studio Laura Yanessa</t>
  </si>
  <si>
    <t>+55 86 99815-3282</t>
  </si>
  <si>
    <t>+5586998153282</t>
  </si>
  <si>
    <t>R. Cinco - Vila Osmar, Timon - MA, 65634-470, Brasil</t>
  </si>
  <si>
    <t>-5.1110489</t>
  </si>
  <si>
    <t>-42.8482229</t>
  </si>
  <si>
    <t>https://www.google.com/maps/search/?api=1&amp;query=Studio%20Laura%20Yanessa&amp;query_place_id=ChIJXQ10ZhY3jgcRUAIyzDcQEtY</t>
  </si>
  <si>
    <t>R. Cinco</t>
  </si>
  <si>
    <t>Salles Hair</t>
  </si>
  <si>
    <t>R. Projetada, N° 115 - Flores II, Timon - MA, 65636-340, Brasil</t>
  </si>
  <si>
    <t>-5.1100763</t>
  </si>
  <si>
    <t>-42.8537176</t>
  </si>
  <si>
    <t>https://www.google.com/maps/search/?api=1&amp;query=Salles%20Hair&amp;query_place_id=ChIJqYX_m-s3jgcR9bjFjtjsQjs</t>
  </si>
  <si>
    <t>R. Projetada, N° 115</t>
  </si>
  <si>
    <t>Dôra Cabelos</t>
  </si>
  <si>
    <t>R. 15, 514 - Parque Piaui, Timon - MA, 65636-410, Brasil</t>
  </si>
  <si>
    <t>-5.0931652</t>
  </si>
  <si>
    <t>-42.8441021</t>
  </si>
  <si>
    <t>https://www.google.com/maps/search/?api=1&amp;query=D%C3%B4ra%20Cabelos&amp;query_place_id=ChIJK1w_TI03jgcRytEq59iq5-w</t>
  </si>
  <si>
    <t>R. 15, 514</t>
  </si>
  <si>
    <t>Esmalteria da Mary e Elves Hair</t>
  </si>
  <si>
    <t>Rua 18, 2752 - Vila Angélica, Timon - MA, 65636-180, Brasil</t>
  </si>
  <si>
    <t>-5.1090792</t>
  </si>
  <si>
    <t>-42.8405548</t>
  </si>
  <si>
    <t>https://www.google.com/maps/search/?api=1&amp;query=Esmalteria%20da%20Mary%20e%20Elves%20Hair&amp;query_place_id=ChIJhUCoxN83jgcRn55WAnld5hU</t>
  </si>
  <si>
    <t>Rua 18, 2752</t>
  </si>
  <si>
    <t>LU`CABELOS</t>
  </si>
  <si>
    <t>Rua Sebastião Saraiva, 00 - Parque Piauí II, Timon - MA, 65631-105, Brasil</t>
  </si>
  <si>
    <t>-5.1024969</t>
  </si>
  <si>
    <t>-42.8476754</t>
  </si>
  <si>
    <t>https://www.google.com/maps/search/?api=1&amp;query=LU%60CABELOS&amp;query_place_id=ChIJgy_NrrA3jgcRxJyt5rTB7vg</t>
  </si>
  <si>
    <t>Rua Sebastião Saraiva, 00</t>
  </si>
  <si>
    <t>+55 86 98812-1043</t>
  </si>
  <si>
    <t>+5586988121043</t>
  </si>
  <si>
    <t>Av. Tiúba, 509 - Pedro Patrício, Timon - MA, 65634-400, Brasil</t>
  </si>
  <si>
    <t>https://www.google.com/maps/search/?api=1&amp;query=Ana%20Cabelos&amp;query_place_id=ChIJXyQTe7c3jgcRfEvDms-KWCQ</t>
  </si>
  <si>
    <t>Claudiane Cabelos</t>
  </si>
  <si>
    <t>+55 86 99445-0464</t>
  </si>
  <si>
    <t>+5586994450464</t>
  </si>
  <si>
    <t>Próximo ao comércio 2 irmãos - R. Cinco - Pedro Patrício, Timon - MA, 65634-406, Brasil</t>
  </si>
  <si>
    <t>-5.1149266</t>
  </si>
  <si>
    <t>-42.8464746</t>
  </si>
  <si>
    <t>https://www.google.com/maps/search/?api=1&amp;query=Claudiane%20Cabelos&amp;query_place_id=ChIJ0d8YF_U3jgcRGTQi_QpZiZI</t>
  </si>
  <si>
    <t>Próximo ao comércio 2 irmãos - R. Cinco</t>
  </si>
  <si>
    <t>Neuda cabelos</t>
  </si>
  <si>
    <t>+55 86 98829-0230</t>
  </si>
  <si>
    <t>+5586988290230</t>
  </si>
  <si>
    <t>Conj. Cidade Nova III Qu B, 5 - Vila Monteiro, Timon - MA, 65634-540, Brasil</t>
  </si>
  <si>
    <t>-5.1174775</t>
  </si>
  <si>
    <t>-42.844645</t>
  </si>
  <si>
    <t>https://www.google.com/maps/search/?api=1&amp;query=Neuda%20cabelos&amp;query_place_id=ChIJmdyIgzk3jgcRdTCZI1Jc2p0</t>
  </si>
  <si>
    <t>Conj. Cidade Nova III Qu B, 5</t>
  </si>
  <si>
    <t>Studio Samia Fernandes</t>
  </si>
  <si>
    <t>+55 86 98804-3055</t>
  </si>
  <si>
    <t>+5586988043055</t>
  </si>
  <si>
    <t>Rua 4, 160-264 - Mutirão, Timon - MA, 65630-000, Brasil</t>
  </si>
  <si>
    <t>-5.1126217</t>
  </si>
  <si>
    <t>-42.8499807</t>
  </si>
  <si>
    <t>https://www.google.com/maps/search/?api=1&amp;query=Studio%20Samia%20Fernandes&amp;query_place_id=ChIJ6838mxg3jgcRPOfm8j0kT_g</t>
  </si>
  <si>
    <t>Rua 4, 160-264</t>
  </si>
  <si>
    <t>Av. Gerônimo Silva - Parque Alvorada, Timon - MA, 65633-170, Brasil</t>
  </si>
  <si>
    <t>-5.1308319</t>
  </si>
  <si>
    <t>-42.8282696</t>
  </si>
  <si>
    <t>https://www.google.com/maps/search/?api=1&amp;query=Studio%20Leandro%20Portillo&amp;query_place_id=ChIJLVTgTAA3jgcRHg3vWt_7aKE</t>
  </si>
  <si>
    <t>Studio Linda Mulher</t>
  </si>
  <si>
    <t>Av. Benedito Ferreira Campos, 1150 - Parque Alvorada, Timon - MA, 65630-480, Brasil</t>
  </si>
  <si>
    <t>-5.130639</t>
  </si>
  <si>
    <t>-42.8316738</t>
  </si>
  <si>
    <t>https://www.google.com/maps/search/?api=1&amp;query=Studio%20Linda%20Mulher&amp;query_place_id=ChIJB2ACeVw2jgcRwt6JFJB3dso</t>
  </si>
  <si>
    <t>Av. Benedito Ferreira Campos, 1150</t>
  </si>
  <si>
    <t>Maisa Galvão Studio</t>
  </si>
  <si>
    <t>+55 86 99958-8865</t>
  </si>
  <si>
    <t>+5586999588865</t>
  </si>
  <si>
    <t>R. B, Casa 83 - Jóia, Timon - MA, 65632-310, Brasil</t>
  </si>
  <si>
    <t>-5.1405376</t>
  </si>
  <si>
    <t>-42.8371774</t>
  </si>
  <si>
    <t>https://www.google.com/maps/search/?api=1&amp;query=Maisa%20Galv%C3%A3o%20Studio&amp;query_place_id=ChIJVf7Qr9s5jgcR4QqruoMNsBI</t>
  </si>
  <si>
    <t>R. B, Casa 83</t>
  </si>
  <si>
    <t>Madames cabelo</t>
  </si>
  <si>
    <t>+55 86 98889-4875</t>
  </si>
  <si>
    <t>+5586988894875</t>
  </si>
  <si>
    <t>R. João Joca Assunção, 02 - Flores II, Timon - MA, 65631-080, Brasil</t>
  </si>
  <si>
    <t>-5.1039459</t>
  </si>
  <si>
    <t>-42.8471355</t>
  </si>
  <si>
    <t>https://www.google.com/maps/search/?api=1&amp;query=Madames%20cabelo&amp;query_place_id=ChIJEy2YIDI3jgcR4jNcrIUm5GM</t>
  </si>
  <si>
    <t>R. João Joca Assunção, 02</t>
  </si>
  <si>
    <t>Studioalicenailld</t>
  </si>
  <si>
    <t>+55 86 98881-1579</t>
  </si>
  <si>
    <t>+5586988811579</t>
  </si>
  <si>
    <t>Beco D, 9 - 18 - Flores II, Timon - MA, 65636-600, Brasil</t>
  </si>
  <si>
    <t>-5.1014065</t>
  </si>
  <si>
    <t>-42.8600368</t>
  </si>
  <si>
    <t>https://www.google.com/maps/search/?api=1&amp;query=Studioalicenailld&amp;query_place_id=ChIJSY_xFQA3jgcRA_6vUVgh_VY</t>
  </si>
  <si>
    <t>Beco D, 9 - 18</t>
  </si>
  <si>
    <t>Studio ARAGÃO</t>
  </si>
  <si>
    <t>Parque Piaui, Timon - MA, 65636-500, Brasil</t>
  </si>
  <si>
    <t>-5.0991512</t>
  </si>
  <si>
    <t>-42.8458969</t>
  </si>
  <si>
    <t>https://www.google.com/maps/search/?api=1&amp;query=Studio%20ARAG%C3%83O&amp;query_place_id=ChIJy-hsGus3jgcR36UNt1KzwqI</t>
  </si>
  <si>
    <t>Studio belíssima</t>
  </si>
  <si>
    <t>R. Marcos Batista da Silva - Flores, Timon - MA, 65636-600, Brasil</t>
  </si>
  <si>
    <t>-5.0946005</t>
  </si>
  <si>
    <t>-42.8475437</t>
  </si>
  <si>
    <t>https://www.google.com/maps/search/?api=1&amp;query=Studio%20bel%C3%ADssima&amp;query_place_id=ChIJCarrKPA3jgcRE9a8_efQ3DQ</t>
  </si>
  <si>
    <t>Studio Vitória Silva</t>
  </si>
  <si>
    <t>+55 99 98834-2943</t>
  </si>
  <si>
    <t>+5599988342943</t>
  </si>
  <si>
    <t>R. Dois, Casa 4A / Quadra 11 - Mutirão, Timon - MA, 65635-444, Brasil</t>
  </si>
  <si>
    <t>-5.1116268</t>
  </si>
  <si>
    <t>-42.8507191</t>
  </si>
  <si>
    <t>https://www.google.com/maps/search/?api=1&amp;query=Studio%20Vit%C3%B3ria%20Silva&amp;query_place_id=ChIJLUEx62I3jgcR5jJnMg1meSg</t>
  </si>
  <si>
    <t>R. Dois, Casa 4A / Quadra 11</t>
  </si>
  <si>
    <t>Studio Rosa Pâmara</t>
  </si>
  <si>
    <t>R. Filomena Martins Nazareno Bringel, 945 - Parque Piaui, Timon - MA, 65636-560, Brasil</t>
  </si>
  <si>
    <t>-5.0937952</t>
  </si>
  <si>
    <t>-42.8403322</t>
  </si>
  <si>
    <t>https://www.google.com/maps/search/?api=1&amp;query=Studio%20Rosa%20P%C3%A2mara&amp;query_place_id=ChIJewWIflk3jgcRmKNHRmYQeno</t>
  </si>
  <si>
    <t>R. Filomena Martins Nazareno Bringel, 945</t>
  </si>
  <si>
    <t>Casa da Thassia</t>
  </si>
  <si>
    <t>+55 99 98250-1219</t>
  </si>
  <si>
    <t>+5599982501219</t>
  </si>
  <si>
    <t>R. Um, 450 - Vila Osmar, Timon - MA, 65635-180, Brasil</t>
  </si>
  <si>
    <t>-5.1085337</t>
  </si>
  <si>
    <t>-42.8471145</t>
  </si>
  <si>
    <t>https://www.google.com/maps/search/?api=1&amp;query=Casa%20da%20Thassia&amp;query_place_id=ChIJp64g4LQ3jgcR5rqb65ZifCc</t>
  </si>
  <si>
    <t>R. Um, 450</t>
  </si>
  <si>
    <t>CAPRICHOSAS UNHAS</t>
  </si>
  <si>
    <t>+55 86 98882-6118</t>
  </si>
  <si>
    <t>+5586988826118</t>
  </si>
  <si>
    <t>R. 102, 765 - Parque Uniao, Timon - MA, 65631-370, Brasil</t>
  </si>
  <si>
    <t>-5.0870069</t>
  </si>
  <si>
    <t>-42.8439311</t>
  </si>
  <si>
    <t>https://www.google.com/maps/search/?api=1&amp;query=CAPRICHOSAS%20UNHAS&amp;query_place_id=ChIJ0a6-yYo3jgcRHm8xRZc2dyo</t>
  </si>
  <si>
    <t>R. 102, 765</t>
  </si>
  <si>
    <t>nsnailsdesigner</t>
  </si>
  <si>
    <t>+55 99 98127-1386</t>
  </si>
  <si>
    <t>+5599981271386</t>
  </si>
  <si>
    <t>Av. Francisco Vitórino de Assunção, 251 - Parque Piaui, Timon - MA, 65636-255, Brasil</t>
  </si>
  <si>
    <t>-5.0898665</t>
  </si>
  <si>
    <t>-42.8415015</t>
  </si>
  <si>
    <t>https://www.google.com/maps/search/?api=1&amp;query=nsnailsdesigner&amp;query_place_id=ChIJIU_obwA3jgcR2d-u_UJYU14</t>
  </si>
  <si>
    <t>Av. Francisco Vitórino de Assunção, 251</t>
  </si>
  <si>
    <t>Rose esmalteria</t>
  </si>
  <si>
    <t>+55 86 98816-8239</t>
  </si>
  <si>
    <t>+5586988168239</t>
  </si>
  <si>
    <t>Rua Pernambuco, 314 - São Francisco II, Timon - MA, 65631-480, Brasil</t>
  </si>
  <si>
    <t>-5.0853767</t>
  </si>
  <si>
    <t>-42.8455613</t>
  </si>
  <si>
    <t>https://www.google.com/maps/search/?api=1&amp;query=Rose%20esmalteria&amp;query_place_id=ChIJe9N11dI5jgcRADSelMZ_K1A</t>
  </si>
  <si>
    <t>Rua Pernambuco, 314</t>
  </si>
  <si>
    <t>DS Daiana soares studio</t>
  </si>
  <si>
    <t>+55 86 98139-2949</t>
  </si>
  <si>
    <t>+5586981392949</t>
  </si>
  <si>
    <t>Av. Luís Firmino de Sousa, 3805 - Vila Bandeirante, Timon - MA, 65635-468, Brasil</t>
  </si>
  <si>
    <t>-5.1099098</t>
  </si>
  <si>
    <t>-42.8514319</t>
  </si>
  <si>
    <t>https://www.google.com/maps/search/?api=1&amp;query=DS%20Daiana%20soares%20studio&amp;query_place_id=ChIJsUE094s3jgcRTexIgJ2zQWU</t>
  </si>
  <si>
    <t>Av. Luís Firmino de Sousa, 3805</t>
  </si>
  <si>
    <t>Leonária Monteiro</t>
  </si>
  <si>
    <t>+55 99 98835-7113</t>
  </si>
  <si>
    <t>+5599988357113</t>
  </si>
  <si>
    <t>Rua Três, 363 - Pedro Patrício, Timon - MA, 65634-398, Brasil</t>
  </si>
  <si>
    <t>-5.1143497</t>
  </si>
  <si>
    <t>-42.8472911</t>
  </si>
  <si>
    <t>https://www.google.com/maps/search/?api=1&amp;query=Leon%C3%A1ria%20Monteiro&amp;query_place_id=ChIJ1SpNP0M3jgcR0_YI0tb9Cgo</t>
  </si>
  <si>
    <t>Rua Três, 363</t>
  </si>
  <si>
    <t>Silvana manicure &amp; pedicure</t>
  </si>
  <si>
    <t>R. Coelho Neto, quadra Q Casa 27 - Bela Vista, Timon - MA, 65637-641, Brasil</t>
  </si>
  <si>
    <t>-5.0987439</t>
  </si>
  <si>
    <t>-42.8683232</t>
  </si>
  <si>
    <t>https://www.google.com/maps/search/?api=1&amp;query=Silvana%20manicure%20%26%20pedicure&amp;query_place_id=ChIJh8CIcQBJjgcRSa1OyXpv2vs</t>
  </si>
  <si>
    <t>R. Coelho Neto, quadra Q Casa 27</t>
  </si>
  <si>
    <t>Inês Araújo Lesh designer</t>
  </si>
  <si>
    <t>+55 99 98114-5057</t>
  </si>
  <si>
    <t>+5599981145057</t>
  </si>
  <si>
    <t>Julia Almeida, Timon - MA, 65635-478, Brasil</t>
  </si>
  <si>
    <t>-5.1127618</t>
  </si>
  <si>
    <t>-42.8684772</t>
  </si>
  <si>
    <t>https://www.google.com/maps/search/?api=1&amp;query=In%C3%AAs%20Ara%C3%BAjo%20Lesh%20designer&amp;query_place_id=ChIJb8b7xxxJjgcR2eg5wghqIaU</t>
  </si>
  <si>
    <t>Viviane Moraes Beauty</t>
  </si>
  <si>
    <t>+55 99 99646-0684</t>
  </si>
  <si>
    <t>+5599996460684</t>
  </si>
  <si>
    <t>R. Trinta e Dois, 2 - Casa 19 - Cidade Nova, Timon - MA, 65633-689, Brasil</t>
  </si>
  <si>
    <t>-5.1224006</t>
  </si>
  <si>
    <t>-42.8408895</t>
  </si>
  <si>
    <t>https://www.google.com/maps/search/?api=1&amp;query=Viviane%20Moraes%20Beauty&amp;query_place_id=ChIJN3gyZsU3jgcRSlQV-WLVubk</t>
  </si>
  <si>
    <t>R. Trinta e Dois, 2 - Casa 19</t>
  </si>
  <si>
    <t>GEYLSON CABELOS</t>
  </si>
  <si>
    <t>Esquina com Beco - Rua 101, 22 - Bela Vista, Timon - MA, 65630-020, Brasil</t>
  </si>
  <si>
    <t>-5.0942438</t>
  </si>
  <si>
    <t>-42.8523479</t>
  </si>
  <si>
    <t>https://www.google.com/maps/search/?api=1&amp;query=GEYLSON%20CABELOS&amp;query_place_id=ChIJja63O0o3jgcRQ27S7sqnU6Q</t>
  </si>
  <si>
    <t>Esquina com Beco - Rua 101, 22</t>
  </si>
  <si>
    <t>RAQUEL CABELOS</t>
  </si>
  <si>
    <t>+55 86 98826-8569</t>
  </si>
  <si>
    <t>+5586988268569</t>
  </si>
  <si>
    <t>Julia Almeida, Timon - MA, 65636-340, Brasil</t>
  </si>
  <si>
    <t>-5.1125504</t>
  </si>
  <si>
    <t>-42.8600439</t>
  </si>
  <si>
    <t>https://www.google.com/maps/search/?api=1&amp;query=RAQUEL%20CABELOS&amp;query_place_id=ChIJF-3381Q3jgcRrwX2SY6UqDg</t>
  </si>
  <si>
    <t>Esmalteria qual sua cor</t>
  </si>
  <si>
    <t>+55 86 98887-1075</t>
  </si>
  <si>
    <t>+5586988871075</t>
  </si>
  <si>
    <t>Av. Luís Firmino de Sousa - São Benedito, Timon - MA, 65636-345, Brasil</t>
  </si>
  <si>
    <t>-5.1072265</t>
  </si>
  <si>
    <t>-42.8455585</t>
  </si>
  <si>
    <t>https://www.google.com/maps/search/?api=1&amp;query=Esmalteria%20qual%20sua%20cor&amp;query_place_id=ChIJlfVaFzI3jgcRkj6EzwHM4QA</t>
  </si>
  <si>
    <t>Danni Silva Nails Designer</t>
  </si>
  <si>
    <t>+55 99 98142-4061</t>
  </si>
  <si>
    <t>+5599981424061</t>
  </si>
  <si>
    <t>R. 90, 292 - Flores, Timon - MA, 65631-220, Brasil</t>
  </si>
  <si>
    <t>-5.1041653</t>
  </si>
  <si>
    <t>-42.8645492</t>
  </si>
  <si>
    <t>https://www.google.com/maps/search/?api=1&amp;query=Danni%20Silva%20Nails%20Designer&amp;query_place_id=ChIJ536aEzo3jgcRULdepmfUyks</t>
  </si>
  <si>
    <t>R. 90, 292</t>
  </si>
  <si>
    <t>Nathália Sobrancelhas</t>
  </si>
  <si>
    <t>+55 99 99932-1107</t>
  </si>
  <si>
    <t>+5599999321107</t>
  </si>
  <si>
    <t>R. Dois, 739 - Vila Angélica, Timon - MA, 65634-344, Brasil</t>
  </si>
  <si>
    <t>-5.1089354</t>
  </si>
  <si>
    <t>-42.8435923</t>
  </si>
  <si>
    <t>https://www.google.com/maps/search/?api=1&amp;query=Nath%C3%A1lia%20Sobrancelhas&amp;query_place_id=ChIJZ07qZgY3jgcRb8JKG7PBTA0</t>
  </si>
  <si>
    <t>R. Dois, 739</t>
  </si>
  <si>
    <t>Yanna nail designer</t>
  </si>
  <si>
    <t>+55 99 98496-6447</t>
  </si>
  <si>
    <t>+5599984966447</t>
  </si>
  <si>
    <t>Rua Luiz - R. Firmino Gonçalves Pedreira, 2618 - Parque Piaui, Timon - MA, 65636-400, Brasil</t>
  </si>
  <si>
    <t>-5.1065568</t>
  </si>
  <si>
    <t>-42.8468759</t>
  </si>
  <si>
    <t>https://www.google.com/maps/search/?api=1&amp;query=Yanna%20nail%20designer&amp;query_place_id=ChIJXev6mwE3jgcRsqksCA4uygI</t>
  </si>
  <si>
    <t>Rua Luiz - R. Firmino Gonçalves Pedreira, 2618</t>
  </si>
  <si>
    <t>Manicure E Pé decure Kátia</t>
  </si>
  <si>
    <t>+55 86 98800-7087</t>
  </si>
  <si>
    <t>+5586988007087</t>
  </si>
  <si>
    <t>R. Dezeseis, 1188 - Parque Piauí II, Timon - MA, 65636-285, Brasil</t>
  </si>
  <si>
    <t>-5.100057</t>
  </si>
  <si>
    <t>-42.841513</t>
  </si>
  <si>
    <t>https://www.google.com/maps/search/?api=1&amp;query=Manicure%20E%20P%C3%A9%20decure%20K%C3%A1tia&amp;query_place_id=ChIJ_VGSzWk3jgcRVTkzSOluPEs</t>
  </si>
  <si>
    <t>R. Dezeseis, 1188</t>
  </si>
  <si>
    <t>Cláudia Maria Manicure, Pédicure e Nails Designer</t>
  </si>
  <si>
    <t>+55 86 98892-0133</t>
  </si>
  <si>
    <t>+5586988920133</t>
  </si>
  <si>
    <t>R. Dois, 451 - Vila Angélica, Timon - MA, 65634-344, Brasil</t>
  </si>
  <si>
    <t>-5.1091791</t>
  </si>
  <si>
    <t>-42.8408349</t>
  </si>
  <si>
    <t>https://www.google.com/maps/search/?api=1&amp;query=Cl%C3%A1udia%20Maria%20Manicure%2C%20P%C3%A9dicure%20e%20Nails%20Designer&amp;query_place_id=ChIJbX1zwbk3jgcRPNvAGQjlPWE</t>
  </si>
  <si>
    <t>R. Dois, 451</t>
  </si>
  <si>
    <t>Casa dallu</t>
  </si>
  <si>
    <t>Tv. João Castelo, 1670A - Parque Piauí II, Timon - MA, 65631-110, Brasil</t>
  </si>
  <si>
    <t>-5.0963853</t>
  </si>
  <si>
    <t>-42.8463739</t>
  </si>
  <si>
    <t>https://www.google.com/maps/search/?api=1&amp;query=Casa%20dallu&amp;query_place_id=ChIJqT1obAA3jgcR18_fPJz6lRc</t>
  </si>
  <si>
    <t>Tv. João Castelo, 1670A</t>
  </si>
  <si>
    <t>Lm_esmalteria</t>
  </si>
  <si>
    <t>R. Tv. I, 1749 - Pedro Patrício, Timon - MA, 65634-370, Brasil</t>
  </si>
  <si>
    <t>-5.1156297</t>
  </si>
  <si>
    <t>-42.8428663</t>
  </si>
  <si>
    <t>https://www.google.com/maps/search/?api=1&amp;query=Lm_esmalteria&amp;query_place_id=ChIJEYNVdgA3jgcRRDzI_jcyDzg</t>
  </si>
  <si>
    <t>R. Tv. I, 1749</t>
  </si>
  <si>
    <t>Cynara nails</t>
  </si>
  <si>
    <t>+55 99 99901-8915</t>
  </si>
  <si>
    <t>+5599999018915</t>
  </si>
  <si>
    <t>R. Colinas, 33 - Bela Vista, Timon - MA, 65636-585, Brasil</t>
  </si>
  <si>
    <t>-5.0995816</t>
  </si>
  <si>
    <t>-42.8700479</t>
  </si>
  <si>
    <t>https://www.google.com/maps/search/?api=1&amp;query=Cynara%20nails&amp;query_place_id=ChIJUYMbEzFJjgcRGgo4mm5UNz4</t>
  </si>
  <si>
    <t>R. Colinas, 33</t>
  </si>
  <si>
    <t>Evelyn manicure</t>
  </si>
  <si>
    <t>+55 99 98190-2261</t>
  </si>
  <si>
    <t>+5599981902261</t>
  </si>
  <si>
    <t>R. Sergipe, casa-28 - Q-O, Timon - MA, 65630-020, Brasil</t>
  </si>
  <si>
    <t>-5.1155402</t>
  </si>
  <si>
    <t>-42.8679586</t>
  </si>
  <si>
    <t>https://www.google.com/maps/search/?api=1&amp;query=Evelyn%20manicure&amp;query_place_id=ChIJrVXzdHBJjgcRExbGzczMxaQ</t>
  </si>
  <si>
    <t>R. Sergipe, casa-28</t>
  </si>
  <si>
    <t>DepilFit</t>
  </si>
  <si>
    <t>+55 86 99510-3846</t>
  </si>
  <si>
    <t>+5586995103846</t>
  </si>
  <si>
    <t>Av. Teresina, 2132 - Parque Piaui, Timon - MA, 65636-500, Brasil</t>
  </si>
  <si>
    <t>-5.0998668</t>
  </si>
  <si>
    <t>-42.8473803</t>
  </si>
  <si>
    <t>https://www.google.com/maps/search/?api=1&amp;query=DepilFit&amp;query_place_id=ChIJjYTuO5Y3jgcRHGNOO4wNVvE</t>
  </si>
  <si>
    <t>Av. Teresina, 2132</t>
  </si>
  <si>
    <t>Josélia Lima Manicure e Pedicure</t>
  </si>
  <si>
    <t>+55 86 99909-5144</t>
  </si>
  <si>
    <t>+5586999095144</t>
  </si>
  <si>
    <t>R. Dois, 1131 - Vila Osmar, Timon - MA, 65634-470, Brasil</t>
  </si>
  <si>
    <t>-5.1098205</t>
  </si>
  <si>
    <t>-42.8487739</t>
  </si>
  <si>
    <t>https://www.google.com/maps/search/?api=1&amp;query=Jos%C3%A9lia%20Lima%20Manicure%20e%20Pedicure&amp;query_place_id=ChIJvbG7EGw3jgcRaEuNTqX2mpY</t>
  </si>
  <si>
    <t>R. Dois, 1131</t>
  </si>
  <si>
    <t>Sobrancelhas Design Nay</t>
  </si>
  <si>
    <t>+55 86 99862-5551</t>
  </si>
  <si>
    <t>+5586998625551</t>
  </si>
  <si>
    <t>R. Vinte - Parque Piauí II, Timon - MA, 65636-510, Brasil</t>
  </si>
  <si>
    <t>-5.1014621</t>
  </si>
  <si>
    <t>-42.8483722</t>
  </si>
  <si>
    <t>https://www.google.com/maps/search/?api=1&amp;query=Sobrancelhas%20Design%20Nay&amp;query_place_id=ChIJr4kU4sE3jgcRboG0xNiGWAw</t>
  </si>
  <si>
    <t>Studio Fran Rocha</t>
  </si>
  <si>
    <t>R. Sergipe, n22a - Julia Almeida, Timon - MA, 65635-479, Brasil</t>
  </si>
  <si>
    <t>-5.1158429</t>
  </si>
  <si>
    <t>-42.8657799</t>
  </si>
  <si>
    <t>https://www.google.com/maps/search/?api=1&amp;query=Studio%20Fran%20Rocha&amp;query_place_id=ChIJkYPZCgBJjgcR0NguP8v1Lno</t>
  </si>
  <si>
    <t>R. Sergipe, n22a</t>
  </si>
  <si>
    <t>LM_esmalteria</t>
  </si>
  <si>
    <t>+55 86 99909-4465</t>
  </si>
  <si>
    <t>+5586999094465</t>
  </si>
  <si>
    <t>R. Um, 1749 - Pedro Patrício, Timon - MA, 65634-418, Brasil</t>
  </si>
  <si>
    <t>-5.1174543</t>
  </si>
  <si>
    <t>-42.8422033</t>
  </si>
  <si>
    <t>https://www.google.com/maps/search/?api=1&amp;query=LM_esmalteria&amp;query_place_id=ChIJPfwDMfQ3jgcRJ9b5jPpb-fo</t>
  </si>
  <si>
    <t>R. Um, 1749</t>
  </si>
  <si>
    <t>Jôh</t>
  </si>
  <si>
    <t>+55 86 99534-9677</t>
  </si>
  <si>
    <t>+5586995349677</t>
  </si>
  <si>
    <t>V4MP+MP - Julia Almeida, Timon - MA, 65636-340, Brasil</t>
  </si>
  <si>
    <t>-5.1158279</t>
  </si>
  <si>
    <t>-42.8631459</t>
  </si>
  <si>
    <t>https://www.google.com/maps/search/?api=1&amp;query=J%C3%B4h&amp;query_place_id=ChIJQ93uhlE3jgcROKpkLLtsBi8</t>
  </si>
  <si>
    <t>V4MP+MP</t>
  </si>
  <si>
    <t>Studio Sandielly Santos</t>
  </si>
  <si>
    <t>R. São Pedro, 275 - Vila Monteiro, Timon - MA, 65635-240, Brasil</t>
  </si>
  <si>
    <t>-5.1191279</t>
  </si>
  <si>
    <t>-42.8512807</t>
  </si>
  <si>
    <t>https://www.google.com/maps/search/?api=1&amp;query=Studio%20Sandielly%20Santos&amp;query_place_id=ChIJ9TmSbgA3jgcRlcD0i3JndbY</t>
  </si>
  <si>
    <t>R. São Pedro, 275</t>
  </si>
  <si>
    <t>Elizama | Manicure e Pedicure</t>
  </si>
  <si>
    <t>+55 86 99971-3796</t>
  </si>
  <si>
    <t>+5586999713796</t>
  </si>
  <si>
    <t>Rua Beco um, 549 - Flores, Timon - MA, 65638-270, Brasil</t>
  </si>
  <si>
    <t>-5.0911229</t>
  </si>
  <si>
    <t>-42.855328</t>
  </si>
  <si>
    <t>https://www.google.com/maps/search/?api=1&amp;query=Elizama%20%7C%20Manicure%20e%20Pedicure&amp;query_place_id=ChIJn15Utqk3jgcRiLk7H187P6M</t>
  </si>
  <si>
    <t>Rua Beco um, 549</t>
  </si>
  <si>
    <t>Residência COCAIS</t>
  </si>
  <si>
    <t>Bela Vista, Timon - MA, Brasil</t>
  </si>
  <si>
    <t>-5.1010919</t>
  </si>
  <si>
    <t>-42.869533</t>
  </si>
  <si>
    <t>https://www.google.com/maps/search/?api=1&amp;query=Resid%C3%AAncia%20COCAIS&amp;query_place_id=ChIJfazUamhJjgcRSEOPoZVYvQ0</t>
  </si>
  <si>
    <t>Samara Araújo Nail Designer</t>
  </si>
  <si>
    <t>+55 86 99409-4375</t>
  </si>
  <si>
    <t>+5586994094375</t>
  </si>
  <si>
    <t>Residencial Cocais II - Rua Codo Quadra u, casa 02, Timon - MA, 65636-585, Brasil</t>
  </si>
  <si>
    <t>-5.0981172</t>
  </si>
  <si>
    <t>-42.8681845</t>
  </si>
  <si>
    <t>https://www.google.com/maps/search/?api=1&amp;query=Samara%20Ara%C3%BAjo%20Nail%20Designer&amp;query_place_id=ChIJ933si6xJjgcRb9lMwN_JOj4</t>
  </si>
  <si>
    <t>Residencial Cocais II - Rua Codo Quadra u, casa 02</t>
  </si>
  <si>
    <t>Pamella Nails Artes</t>
  </si>
  <si>
    <t>Tv. Dezesseis, 85 - Bela Vista, Timon - MA, 65636-222, Brasil</t>
  </si>
  <si>
    <t>-5.0919582</t>
  </si>
  <si>
    <t>-42.8465654</t>
  </si>
  <si>
    <t>https://www.google.com/maps/search/?api=1&amp;query=Pamella%20Nails%20Artes&amp;query_place_id=ChIJVcYwYgA3jgcRPWKEJfPvulM</t>
  </si>
  <si>
    <t>Tv. Dezesseis, 85</t>
  </si>
  <si>
    <t>LC Beaty Designer</t>
  </si>
  <si>
    <t>+55 99 98119-4915</t>
  </si>
  <si>
    <t>+5599981194915</t>
  </si>
  <si>
    <t>R. Dr. João Lula, 3791 - Vila Santa Izabel, Timon - MA, 65636-420, Brasil</t>
  </si>
  <si>
    <t>-5.1085703</t>
  </si>
  <si>
    <t>-42.853459</t>
  </si>
  <si>
    <t>https://www.google.com/maps/search/?api=1&amp;query=LC%20Beaty%20Designer&amp;query_place_id=ChIJ--RtBtc3jgcRIh0PKRofP0U</t>
  </si>
  <si>
    <t>R. Dr. João Lula, 3791</t>
  </si>
  <si>
    <t>Conceição Siqueira Nail Designer</t>
  </si>
  <si>
    <t>+55 86 98882-4256</t>
  </si>
  <si>
    <t>+5586988824256</t>
  </si>
  <si>
    <t>Av. Teresina - Parque Piaui, Timon - MA, 65636-500, Brasil</t>
  </si>
  <si>
    <t>-5.0962706</t>
  </si>
  <si>
    <t>-42.8403533</t>
  </si>
  <si>
    <t>https://www.google.com/maps/search/?api=1&amp;query=Concei%C3%A7%C3%A3o%20Siqueira%20Nail%20Designer&amp;query_place_id=ChIJL4lm17M3jgcR-mSwQ9CiA5Q</t>
  </si>
  <si>
    <t>Tauane Nails</t>
  </si>
  <si>
    <t>+55 99 98173-2712</t>
  </si>
  <si>
    <t>+5599981732712</t>
  </si>
  <si>
    <t>R. 6 - Pedro Patrício, Timon - MA, 65634-408, Brasil</t>
  </si>
  <si>
    <t>-5.114298</t>
  </si>
  <si>
    <t>-42.8442768</t>
  </si>
  <si>
    <t>https://www.google.com/maps/search/?api=1&amp;query=Tauane%20Nails&amp;query_place_id=ChIJcYI7W_E3jgcRLf-8xdCuMsk</t>
  </si>
  <si>
    <t>R. 6</t>
  </si>
  <si>
    <t>Rosilda cabelos</t>
  </si>
  <si>
    <t>Rua Treze, 81 - Formosa, Timon - MA, 65634-190, Brasil</t>
  </si>
  <si>
    <t>-5.1095522</t>
  </si>
  <si>
    <t>-42.8338161</t>
  </si>
  <si>
    <t>https://www.google.com/maps/search/?api=1&amp;query=Rosilda%20cabelos&amp;query_place_id=ChIJ39ugojw3jgcRrqK9l_Uonrw</t>
  </si>
  <si>
    <t>Rua Treze, 81</t>
  </si>
  <si>
    <t>+55 86 98823-5873</t>
  </si>
  <si>
    <t>+5586988235873</t>
  </si>
  <si>
    <t>R. Marcos Batista da Silva, 91 - Parque Piaui, Timon - MA, 65636-600, Brasil</t>
  </si>
  <si>
    <t>-5.0971287</t>
  </si>
  <si>
    <t>-42.8525976</t>
  </si>
  <si>
    <t>https://www.google.com/maps/search/?api=1&amp;query=Sal%C3%A3o%20Novo%20Visual&amp;query_place_id=ChIJ0xT9vdg3jgcRBW3Nw21FQ7U</t>
  </si>
  <si>
    <t>R. Marcos Batista da Silva, 91</t>
  </si>
  <si>
    <t>Sara Holanda Hair</t>
  </si>
  <si>
    <t>+55 99 98831-3908</t>
  </si>
  <si>
    <t>+5599988313908</t>
  </si>
  <si>
    <t>R. Dezeseis, 1268 - Parque Piaui, Timon - MA, 65636-430, Brasil</t>
  </si>
  <si>
    <t>-5.1008789</t>
  </si>
  <si>
    <t>-42.8410664</t>
  </si>
  <si>
    <t>https://www.google.com/maps/search/?api=1&amp;query=Sara%20Holanda%20Hair&amp;query_place_id=ChIJOR2aYSQ3jgcRsL-0i-qDO-U</t>
  </si>
  <si>
    <t>R. Dezeseis, 1268</t>
  </si>
  <si>
    <t>Ivone Cabelos</t>
  </si>
  <si>
    <t>Av. Luís Firmino de Sousa, 5083 - São Benedito, Timon - MA, 65636-340, Brasil</t>
  </si>
  <si>
    <t>-5.1127808</t>
  </si>
  <si>
    <t>-42.8607558</t>
  </si>
  <si>
    <t>https://www.google.com/maps/search/?api=1&amp;query=Ivone%20Cabelos&amp;query_place_id=ChIJ43kUbgA3jgcRdQtizGGupY4</t>
  </si>
  <si>
    <t>Av. Luís Firmino de Sousa, 5083</t>
  </si>
  <si>
    <t>Ts beauty</t>
  </si>
  <si>
    <t>+55 86 99535-1214</t>
  </si>
  <si>
    <t>+5586995351214</t>
  </si>
  <si>
    <t>R. Dr. João Lula, 1142 - Parque Piaui, Timon - MA, 65636-420, Brasil</t>
  </si>
  <si>
    <t>-5.0973039</t>
  </si>
  <si>
    <t>-42.8313882</t>
  </si>
  <si>
    <t>https://www.google.com/maps/search/?api=1&amp;query=Ts%20beauty&amp;query_place_id=ChIJQzSgCwA3jgcRfzrW8qa15qU</t>
  </si>
  <si>
    <t>R. Dr. João Lula, 1142</t>
  </si>
  <si>
    <t>Anna Paula unhas</t>
  </si>
  <si>
    <t>+55 99 98457-3669</t>
  </si>
  <si>
    <t>+5599984573669</t>
  </si>
  <si>
    <t>R. Três, 2 - com a 38 Quadra B Casa 4 - Cidade Nova, Timon - MA, 65633-728, Brasil</t>
  </si>
  <si>
    <t>-5.1232543</t>
  </si>
  <si>
    <t>-42.8440351</t>
  </si>
  <si>
    <t>https://www.google.com/maps/search/?api=1&amp;query=Anna%20Paula%20unhas&amp;query_place_id=ChIJC3o9cHI3jgcRfAw8k8bUgy8</t>
  </si>
  <si>
    <t>R. Três, 2 - com a 38 Quadra B Casa 4</t>
  </si>
  <si>
    <t>Amanda Espaço de Beleza</t>
  </si>
  <si>
    <t>+55 86 98172-9234</t>
  </si>
  <si>
    <t>+5586981729234</t>
  </si>
  <si>
    <t>R. Rubi, 633 - Jóia, Timon - MA, 65632-289, Brasil</t>
  </si>
  <si>
    <t>-5.1431473</t>
  </si>
  <si>
    <t>-42.8385053</t>
  </si>
  <si>
    <t>https://www.google.com/maps/search/?api=1&amp;query=Amanda%20Espa%C3%A7o%20de%20Beleza&amp;query_place_id=ChIJPWMedoQ3jgcR2saEAIu6CVo</t>
  </si>
  <si>
    <t>R. Rubi, 633</t>
  </si>
  <si>
    <t>Super Bella espaço de beleza</t>
  </si>
  <si>
    <t>+55 86 99550-7230</t>
  </si>
  <si>
    <t>+5586995507230</t>
  </si>
  <si>
    <t>R. 15, 101 - Sete Estrelas, Timon - MA, 65632-695, Brasil</t>
  </si>
  <si>
    <t>-5.1387859</t>
  </si>
  <si>
    <t>-42.8338956</t>
  </si>
  <si>
    <t>https://www.google.com/maps/search/?api=1&amp;query=Super%20Bella%20espa%C3%A7o%20de%20beleza&amp;query_place_id=ChIJaw4uEgA3jgcRUnT9aYVOw78</t>
  </si>
  <si>
    <t>R. 15, 101</t>
  </si>
  <si>
    <t>Kamilla Arocho Depilação Profissional Timon Maranhão</t>
  </si>
  <si>
    <t>+55 86 98872-1152</t>
  </si>
  <si>
    <t>+5586988721152</t>
  </si>
  <si>
    <t>R. Carlos Alberto de Morais - Parque Alvorada, Timon - MA, 65633-150, Brasil</t>
  </si>
  <si>
    <t>-5.131324</t>
  </si>
  <si>
    <t>-42.8274169</t>
  </si>
  <si>
    <t>https://www.google.com/maps/search/?api=1&amp;query=Kamilla%20Arocho%20Depila%C3%A7%C3%A3o%20Profissional%20Timon%20Maranh%C3%A3o&amp;query_place_id=ChIJx-55J-Q3jgcRV4YH_dZMmcI</t>
  </si>
  <si>
    <t>R. Carlos Alberto de Morais</t>
  </si>
  <si>
    <t>Jenyffer Fernanda studio</t>
  </si>
  <si>
    <t>+55 86 99996-4177</t>
  </si>
  <si>
    <t>+5586999964177</t>
  </si>
  <si>
    <t>R. São João, 1533 - São Benedito, Timon - MA, 65636-320, Brasil</t>
  </si>
  <si>
    <t>-5.1072138</t>
  </si>
  <si>
    <t>-42.8412304</t>
  </si>
  <si>
    <t>https://www.google.com/maps/search/?api=1&amp;query=Jenyffer%20Fernanda%20studio&amp;query_place_id=ChIJOyI7RAA3jgcRsKoJOM9FxXA</t>
  </si>
  <si>
    <t>R. São João, 1533</t>
  </si>
  <si>
    <t>Studio Mariellyportela</t>
  </si>
  <si>
    <t>Av. Formosa, 715 - Formosa, Timon - MA, 65636-180, Brasil</t>
  </si>
  <si>
    <t>-5.1095632</t>
  </si>
  <si>
    <t>-42.8326793</t>
  </si>
  <si>
    <t>https://www.google.com/maps/search/?api=1&amp;query=Studio%20Mariellyportela&amp;query_place_id=ChIJ9QvmTAA3jgcR0cRnSYg6Luw</t>
  </si>
  <si>
    <t>Av. Formosa, 715</t>
  </si>
  <si>
    <t>+55 86 99414-4461</t>
  </si>
  <si>
    <t>+5586994144461</t>
  </si>
  <si>
    <t>Av. Formosa - São Benedito, Timon - MA, 65636-180, Brasil</t>
  </si>
  <si>
    <t>-5.1062676</t>
  </si>
  <si>
    <t>-42.8306209</t>
  </si>
  <si>
    <t>https://www.google.com/maps/search/?api=1&amp;query=Studio%20Josania%20Bezerra&amp;query_place_id=ChIJd4CPCZA3jgcRfNRvtL7oCEA</t>
  </si>
  <si>
    <t>Av. Formosa</t>
  </si>
  <si>
    <t>Kelson Beauty Hair</t>
  </si>
  <si>
    <t>+55 99 98808-0878</t>
  </si>
  <si>
    <t>+5599988080878</t>
  </si>
  <si>
    <t>R. São José, 821 - São Benedito, Timon - MA, 65636-320, Brasil</t>
  </si>
  <si>
    <t>-5.1042672</t>
  </si>
  <si>
    <t>-42.8353214</t>
  </si>
  <si>
    <t>https://www.google.com/maps/search/?api=1&amp;query=Kelson%20Beauty%20Hair&amp;query_place_id=ChIJN3KfdQY3jgcReRChDNxcajo</t>
  </si>
  <si>
    <t>R. São José, 821</t>
  </si>
  <si>
    <t>Aylla Cabelos</t>
  </si>
  <si>
    <t>+55 86 98816-1734</t>
  </si>
  <si>
    <t>+5586988161734</t>
  </si>
  <si>
    <t>Av. Formosa, 520 A - Formosa, Timon - MA, 65636-180, Brasil</t>
  </si>
  <si>
    <t>-5.1078524</t>
  </si>
  <si>
    <t>-42.8316766</t>
  </si>
  <si>
    <t>https://www.google.com/maps/search/?api=1&amp;query=Aylla%20Cabelos&amp;query_place_id=ChIJlfVoXKQ3jgcRNaQgqUPJvz0</t>
  </si>
  <si>
    <t>Av. Formosa, 520 A</t>
  </si>
  <si>
    <t>Studio Gabi Alves</t>
  </si>
  <si>
    <t>+55 86 99905-8396</t>
  </si>
  <si>
    <t>+5586999058396</t>
  </si>
  <si>
    <t>Av. Francisco Vitórino de Assunção - São Benedito, Timon - MA, 65636-310, Brasil</t>
  </si>
  <si>
    <t>-5.1046773</t>
  </si>
  <si>
    <t>-42.8343219</t>
  </si>
  <si>
    <t>https://www.google.com/maps/search/?api=1&amp;query=Studio%20Gabi%20Alves&amp;query_place_id=ChIJHaf2Axg3jgcRjUfGAWUBO4M</t>
  </si>
  <si>
    <t>Av. Francisco Vitórino de Assunção</t>
  </si>
  <si>
    <t>AMO BRONZE (BRONZEAMENTO &amp; BELEZA)</t>
  </si>
  <si>
    <t>+55 86 99950-8021</t>
  </si>
  <si>
    <t>+5586999508021</t>
  </si>
  <si>
    <t>BRONZEAMENTO &amp; BELEZA - AMO BRONZE, R. Firmino Gonçalves Pedreira, 856, Timon - MA, 65636-400, Brasil</t>
  </si>
  <si>
    <t>-5.0975708</t>
  </si>
  <si>
    <t>-42.8292724</t>
  </si>
  <si>
    <t>https://www.google.com/maps/search/?api=1&amp;query=AMO%20BRONZE%20(BRONZEAMENTO%20%26%20BELEZA)&amp;query_place_id=ChIJycc03Fg3jgcRhuW3agHeu5k</t>
  </si>
  <si>
    <t>BRONZEAMENTO &amp; BELEZA - AMO BRONZE, R. Firmino Gonçalves Pedreira, 856</t>
  </si>
  <si>
    <t>Studio Rayane Binacet</t>
  </si>
  <si>
    <t>+55 86 98886-6253</t>
  </si>
  <si>
    <t>+5586988866253</t>
  </si>
  <si>
    <t>Av. Luís Firmino de Sousa, 1564 - São Benedito, Timon - MA, 65636-340, Brasil</t>
  </si>
  <si>
    <t>-5.1026118</t>
  </si>
  <si>
    <t>-42.8350147</t>
  </si>
  <si>
    <t>https://www.google.com/maps/search/?api=1&amp;query=Studio%20Rayane%20Binacet&amp;query_place_id=ChIJ79oCTo03jgcRmTOFfiCmyBc</t>
  </si>
  <si>
    <t>Av. Luís Firmino de Sousa, 1564</t>
  </si>
  <si>
    <t>Marsala BEAUTY</t>
  </si>
  <si>
    <t>São Benedito, Timon - MA, 65636-290, Brasil</t>
  </si>
  <si>
    <t>-5.1071099</t>
  </si>
  <si>
    <t>-42.8315902</t>
  </si>
  <si>
    <t>https://www.google.com/maps/search/?api=1&amp;query=Marsala%20BEAUTY&amp;query_place_id=ChIJubtpeqQ3jgcRVzHxaBLAGps</t>
  </si>
  <si>
    <t>Studio Pamela Nunes</t>
  </si>
  <si>
    <t>+55 86 98133-1543</t>
  </si>
  <si>
    <t>+5586981331543</t>
  </si>
  <si>
    <t>Beco 2 - São Marcos, Timon - MA, 65634-202, Brasil</t>
  </si>
  <si>
    <t>-5.110694</t>
  </si>
  <si>
    <t>-42.8386022</t>
  </si>
  <si>
    <t>https://www.google.com/maps/search/?api=1&amp;query=Studio%20Pamela%20Nunes&amp;query_place_id=ChIJSTaDnTY3jgcRbcXAX-iQ-JU</t>
  </si>
  <si>
    <t>Beco 2</t>
  </si>
  <si>
    <t>Fiorellas Beauty</t>
  </si>
  <si>
    <t>+55 86 99549-3940</t>
  </si>
  <si>
    <t>+5586995493940</t>
  </si>
  <si>
    <t>Av. Piauí, 700 - Parque Alvorada, Timon - MA, 65630-030, Brasil</t>
  </si>
  <si>
    <t>https://www.google.com/maps/search/?api=1&amp;query=Fiorellas%20Beauty&amp;query_place_id=ChIJrQgmnvU3jgcR4UXXPgbEM0g</t>
  </si>
  <si>
    <t>Studio.emilly Bárbara</t>
  </si>
  <si>
    <t>+55 99 98406-5406</t>
  </si>
  <si>
    <t>+5599984065406</t>
  </si>
  <si>
    <t>Rua 650 Av. Belo Horizonte, casa 206 - Mateuzinho, Timon - MA, 65630-650, Brasil</t>
  </si>
  <si>
    <t>-5.1107992</t>
  </si>
  <si>
    <t>-42.8253352</t>
  </si>
  <si>
    <t>https://www.google.com/maps/search/?api=1&amp;query=Studio.emilly%20B%C3%A1rbara&amp;query_place_id=ChIJYetMXOk3jgcRWLVuGXuXUPs</t>
  </si>
  <si>
    <t>Rua 650 Av. Belo Horizonte, casa 206</t>
  </si>
  <si>
    <t>Studio Stefany</t>
  </si>
  <si>
    <t>+55 8699633235</t>
  </si>
  <si>
    <t>R. 750, 249 - Mateuzinho, Timon - MA, 65630-710, Brasil</t>
  </si>
  <si>
    <t>-5.1122024</t>
  </si>
  <si>
    <t>-42.8254661</t>
  </si>
  <si>
    <t>https://www.google.com/maps/search/?api=1&amp;query=Studio%20Stefany&amp;query_place_id=ChIJnaLxRgA3jgcRaP_hlW2WLxE</t>
  </si>
  <si>
    <t>R. 750, 249</t>
  </si>
  <si>
    <t>Beleza Feminina</t>
  </si>
  <si>
    <t>+55 86 98839-0544</t>
  </si>
  <si>
    <t>+5586988390544</t>
  </si>
  <si>
    <t>Av. Francisco Vitórino de Assunção, 1707 - Parque Piaui, Timon - MA, 65636-310, Brasil</t>
  </si>
  <si>
    <t>-5.1001709</t>
  </si>
  <si>
    <t>-42.8363189</t>
  </si>
  <si>
    <t>https://www.google.com/maps/search/?api=1&amp;query=Beleza%20Feminina&amp;query_place_id=ChIJge2wCJc3jgcR0WGdqk4ZRBk</t>
  </si>
  <si>
    <t>Av. Francisco Vitórino de Assunção, 1707</t>
  </si>
  <si>
    <t>Studio Raquel Gomes</t>
  </si>
  <si>
    <t>Av. Formosa, 826 - Formosa, Timon - MA, 65636-180, Brasil</t>
  </si>
  <si>
    <t>-5.1110161</t>
  </si>
  <si>
    <t>-42.8339405</t>
  </si>
  <si>
    <t>https://www.google.com/maps/search/?api=1&amp;query=Studio%20Raquel%20Gomes&amp;query_place_id=ChIJrwgpRwA3jgcRchq2qFzp9cY</t>
  </si>
  <si>
    <t>Av. Formosa, 826</t>
  </si>
  <si>
    <t>Skarlleth Oyama Beauty</t>
  </si>
  <si>
    <t>+55 86 99467-8926</t>
  </si>
  <si>
    <t>+5586994678926</t>
  </si>
  <si>
    <t>R. Lourdes Carlos de Oliveira Nunes, 879 - Mateuzinho, Timon - MA, 65630-350, Brasil</t>
  </si>
  <si>
    <t>-5.111215</t>
  </si>
  <si>
    <t>-42.8238636</t>
  </si>
  <si>
    <t>https://www.google.com/maps/search/?api=1&amp;query=Skarlleth%20Oyama%20Beauty&amp;query_place_id=ChIJo3Hou6s5jgcR_KJvUiXwJmM</t>
  </si>
  <si>
    <t>R. Lourdes Carlos de Oliveira Nunes, 879</t>
  </si>
  <si>
    <t>LannyMaraBeauty</t>
  </si>
  <si>
    <t>+55 86 98859-2721</t>
  </si>
  <si>
    <t>+5586988592721</t>
  </si>
  <si>
    <t>R. Alagoas, Quadra O - casa 22 - Julia Almeida, Timon - MA, 65635-478, Brasil</t>
  </si>
  <si>
    <t>-5.115343</t>
  </si>
  <si>
    <t>-42.8666931</t>
  </si>
  <si>
    <t>https://www.google.com/maps/search/?api=1&amp;query=LannyMaraBeauty&amp;query_place_id=ChIJHSIIAzZJjgcR-CIlySdZLaA</t>
  </si>
  <si>
    <t>R. Alagoas, Quadra O - casa 22</t>
  </si>
  <si>
    <t>Studio Espelho Meu</t>
  </si>
  <si>
    <t>+55 86 99565-3292</t>
  </si>
  <si>
    <t>+5586995653292</t>
  </si>
  <si>
    <t>Rua José Fernandes da Silva, R. Dois, Num 178 - São Marcos, Timon - MA, 65634-180, Brasil</t>
  </si>
  <si>
    <t>-5.1100206</t>
  </si>
  <si>
    <t>-42.8349683</t>
  </si>
  <si>
    <t>https://www.google.com/maps/search/?api=1&amp;query=Studio%20Espelho%20Meu&amp;query_place_id=ChIJpZ0ce-c3jgcRtGpn0WIq60I</t>
  </si>
  <si>
    <t>Rua José Fernandes da Silva, R. Dois, Num 178</t>
  </si>
  <si>
    <t>STUDIO Stefanymotta___Nails</t>
  </si>
  <si>
    <t>+55 99 98823-9398</t>
  </si>
  <si>
    <t>+5599988239398</t>
  </si>
  <si>
    <t>R. Dezeseis, 2176 - Parque Piaui, Timon - MA, 65636-285, Brasil</t>
  </si>
  <si>
    <t>-5.1079085</t>
  </si>
  <si>
    <t>-42.8375258</t>
  </si>
  <si>
    <t>https://www.google.com/maps/search/?api=1&amp;query=STUDIO%20Stefanymotta___Nails&amp;query_place_id=ChIJWXwF1sg3jgcRW5aOpxGufAM</t>
  </si>
  <si>
    <t>R. Dezeseis, 2176</t>
  </si>
  <si>
    <t>Cleciane_cabelos</t>
  </si>
  <si>
    <t>+55 99 98426-6690</t>
  </si>
  <si>
    <t>+5599984266690</t>
  </si>
  <si>
    <t>R. Sete, Parque - São Francisco, Timon - MA, 65630-020, Brasil</t>
  </si>
  <si>
    <t>-5.0814223</t>
  </si>
  <si>
    <t>-42.8438913</t>
  </si>
  <si>
    <t>https://www.google.com/maps/search/?api=1&amp;query=Cleciane_cabelos&amp;query_place_id=ChIJ-9fMfAA5jgcRKD5EoqMRALk</t>
  </si>
  <si>
    <t>R. Sete, Parque</t>
  </si>
  <si>
    <t>Fernanda Patrícia Concept</t>
  </si>
  <si>
    <t>+55 99 99647-0690</t>
  </si>
  <si>
    <t>+5599996470690</t>
  </si>
  <si>
    <t>Av. Teresina, • 995 - Parque Piaui, Timon - MA, 65636-500, Brasil</t>
  </si>
  <si>
    <t>-5.09519</t>
  </si>
  <si>
    <t>-42.837595</t>
  </si>
  <si>
    <t>https://www.google.com/maps/search/?api=1&amp;query=Fernanda%20Patr%C3%ADcia%20Concept&amp;query_place_id=ChIJY11CjDA3jgcR0141fG6pWDk</t>
  </si>
  <si>
    <t>Av. Teresina, • 995</t>
  </si>
  <si>
    <t>Paloma Hechyllen Beauty</t>
  </si>
  <si>
    <t>+55 86 99568-8197</t>
  </si>
  <si>
    <t>+5586995688197</t>
  </si>
  <si>
    <t>R. 22, 1156 - Parque Alvorada, Timon - MA, 65634-580, Brasil</t>
  </si>
  <si>
    <t>-5.127643</t>
  </si>
  <si>
    <t>-42.839227</t>
  </si>
  <si>
    <t>https://www.google.com/maps/search/?api=1&amp;query=Paloma%20Hechyllen%20Beauty&amp;query_place_id=ChIJ0-mz2BM3jgcRpwbgtP2D0IA</t>
  </si>
  <si>
    <t>R. 22, 1156</t>
  </si>
  <si>
    <t>Micael Barbearia - Timon</t>
  </si>
  <si>
    <t>+55 99 98447-5564</t>
  </si>
  <si>
    <t>+5599984475564</t>
  </si>
  <si>
    <t>Av. Francisco Carlos Jansen, 1686 - Parque Uniao, Timon - MA, 65631-240, Brasil</t>
  </si>
  <si>
    <t>-5.085834</t>
  </si>
  <si>
    <t>-42.8381003</t>
  </si>
  <si>
    <t>https://www.google.com/maps/search/?api=1&amp;query=Micael%20Barbearia%20-%20Timon&amp;query_place_id=ChIJJ3aiWrRHjgcRLTTQowWu0l8</t>
  </si>
  <si>
    <t>Av. Francisco Carlos Jansen, 1686</t>
  </si>
  <si>
    <t>Studio Nivyane Freitas</t>
  </si>
  <si>
    <t>+55 86 99471-3266</t>
  </si>
  <si>
    <t>+5586994713266</t>
  </si>
  <si>
    <t>Rua Raimundo correa Lima, Numero 1012 - Parque Alvorada, Timon - MA, 65633-010, Brasil</t>
  </si>
  <si>
    <t>-5.1264387</t>
  </si>
  <si>
    <t>-42.8310655</t>
  </si>
  <si>
    <t>https://www.google.com/maps/search/?api=1&amp;query=Studio%20Nivyane%20Freitas&amp;query_place_id=ChIJQxAWMjA3jgcR3kZpXuac6wM</t>
  </si>
  <si>
    <t>Rua Raimundo correa Lima, Numero 1012</t>
  </si>
  <si>
    <t>MB Studio</t>
  </si>
  <si>
    <t>+55 99 98829-1274</t>
  </si>
  <si>
    <t>+5599988291274</t>
  </si>
  <si>
    <t>R. G, 234-314 - Parque Alvorada, Timon - MA, 65633-100, Brasil</t>
  </si>
  <si>
    <t>-5.1262391</t>
  </si>
  <si>
    <t>-42.8310635</t>
  </si>
  <si>
    <t>https://www.google.com/maps/search/?api=1&amp;query=MB%20Studio&amp;query_place_id=ChIJF3Gl_Mo3jgcRJRWSPekZEDA</t>
  </si>
  <si>
    <t>R. G, 234-314</t>
  </si>
  <si>
    <t>studio Eduarda nails designer</t>
  </si>
  <si>
    <t>+55 99 98434-2118</t>
  </si>
  <si>
    <t>+5599984342118</t>
  </si>
  <si>
    <t>R. B, casa 02 - Q6 L12 - Sete Estrelas, Timon - MA, 65632-600, Brasil</t>
  </si>
  <si>
    <t>-5.1361063</t>
  </si>
  <si>
    <t>-42.8419048</t>
  </si>
  <si>
    <t>https://www.google.com/maps/search/?api=1&amp;query=studio%20Eduarda%20nails%20designer&amp;query_place_id=ChIJtSx9RXI3jgcRHFV5QlQimLU</t>
  </si>
  <si>
    <t>R. B, casa 02 - Q6 L12</t>
  </si>
  <si>
    <t>Studio Maysa Karine</t>
  </si>
  <si>
    <t>+55 86 99461-4877</t>
  </si>
  <si>
    <t>+5586994614877</t>
  </si>
  <si>
    <t>R. A, 2492 - Jóia, Timon - MA, 65632-610, Brasil</t>
  </si>
  <si>
    <t>-5.1369737</t>
  </si>
  <si>
    <t>-42.835339</t>
  </si>
  <si>
    <t>https://www.google.com/maps/search/?api=1&amp;query=Studio%20Maysa%20Karine&amp;query_place_id=ChIJIV8_9Zg3jgcRTMxl_xaYtRY</t>
  </si>
  <si>
    <t>R. A, 2492</t>
  </si>
  <si>
    <t>Lobitos Cabelos</t>
  </si>
  <si>
    <t>+55 99 98456-5128</t>
  </si>
  <si>
    <t>+5599984565128</t>
  </si>
  <si>
    <t>Av. Gerônimo Silva - Parque Alvorada, Timon - MA, 65630-020, Brasil</t>
  </si>
  <si>
    <t>-5.1311979</t>
  </si>
  <si>
    <t>-42.8289852</t>
  </si>
  <si>
    <t>https://www.google.com/maps/search/?api=1&amp;query=Lobitos%20Cabelos&amp;query_place_id=ChIJX8iDXOQ3jgcRF-hvxW9dlUM</t>
  </si>
  <si>
    <t>Studio_ArianeYasmin</t>
  </si>
  <si>
    <t>+55 86 98165-6369</t>
  </si>
  <si>
    <t>+5586981656369</t>
  </si>
  <si>
    <t>Conjunto Miguel Arrais Q17 C15 Residencial, Av. Miguel Arraes, Timon - MA, 65633-420, Brasil</t>
  </si>
  <si>
    <t>-5.1506701</t>
  </si>
  <si>
    <t>-42.8494864</t>
  </si>
  <si>
    <t>https://www.google.com/maps/search/?api=1&amp;query=Studio_ArianeYasmin&amp;query_place_id=ChIJ_xcSQ901jgcRQODaXB3wWbA</t>
  </si>
  <si>
    <t>Conjunto Miguel Arrais Q17 C15 Residencial, Av. Miguel Arraes</t>
  </si>
  <si>
    <t>Cleia Pinho Studio</t>
  </si>
  <si>
    <t>+55 86 99551-1661</t>
  </si>
  <si>
    <t>+5586995511661</t>
  </si>
  <si>
    <t>R. Poe. Castro Alves, 480 - Pedro prático, Timon - MA, 65634-590, Brasil</t>
  </si>
  <si>
    <t>-5.128692</t>
  </si>
  <si>
    <t>-42.834613</t>
  </si>
  <si>
    <t>https://www.google.com/maps/search/?api=1&amp;query=Cleia%20Pinho%20Studio&amp;query_place_id=ChIJAXbHeVw2jgcRDucIvQ6wyhA</t>
  </si>
  <si>
    <t>R. Poe. Castro Alves, 480</t>
  </si>
  <si>
    <t>Bil Studio Hair</t>
  </si>
  <si>
    <t>+55 86 98894-2934</t>
  </si>
  <si>
    <t>+5586988942934</t>
  </si>
  <si>
    <t>R. Manoel Martins Costa, 1347 - Parque Alvorada, Timon - MA, 65633-070, Brasil</t>
  </si>
  <si>
    <t>-5.1275892</t>
  </si>
  <si>
    <t>-42.8358898</t>
  </si>
  <si>
    <t>https://www.google.com/maps/search/?api=1&amp;query=Bil%20Studio%20Hair&amp;query_place_id=ChIJFcyhJRw3jgcR7qVdB-C74VQ</t>
  </si>
  <si>
    <t>R. Manoel Martins Costa, 1347</t>
  </si>
  <si>
    <t>Virtud's SB</t>
  </si>
  <si>
    <t>+55 86 99932-4827</t>
  </si>
  <si>
    <t>+5586999324827</t>
  </si>
  <si>
    <t>R. Filomena Martins Nazareno Bringel, 462 - Parque Piaui, Timon - MA, 65306-560, Brasil</t>
  </si>
  <si>
    <t>-5.0915789</t>
  </si>
  <si>
    <t>-42.8365629</t>
  </si>
  <si>
    <t>https://www.google.com/maps/search/?api=1&amp;query=Virtud's%20SB&amp;query_place_id=ChIJh4PEEDA3jgcRgRZ83d0e8Ug</t>
  </si>
  <si>
    <t>R. Filomena Martins Nazareno Bringel, 462</t>
  </si>
  <si>
    <t>Duda nails Studio</t>
  </si>
  <si>
    <t>+55 99 98104-8480</t>
  </si>
  <si>
    <t>+5599981048480</t>
  </si>
  <si>
    <t>R. Brilhante, 405 - Jóia, Timon - MA, 65632-282, Brasil</t>
  </si>
  <si>
    <t>-5.1415975</t>
  </si>
  <si>
    <t>-42.8410914</t>
  </si>
  <si>
    <t>https://www.google.com/maps/search/?api=1&amp;query=Duda%20nails%20Studio&amp;query_place_id=ChIJP2SkKAA3jgcRRYfrueI0pNw</t>
  </si>
  <si>
    <t>R. Brilhante, 405</t>
  </si>
  <si>
    <t>Studio Eduarda nails</t>
  </si>
  <si>
    <t>R. B, casa 01 - Q6 L12 - Sete Estrelas, Timon - MA, 65632-600, Brasil</t>
  </si>
  <si>
    <t>-5.1434106</t>
  </si>
  <si>
    <t>-42.8359304</t>
  </si>
  <si>
    <t>https://www.google.com/maps/search/?api=1&amp;query=Studio%20Eduarda%20nails&amp;query_place_id=ChIJrUSZ8pc3jgcRDTo09o-_5pY</t>
  </si>
  <si>
    <t>R. B, casa 01 - Q6 L12</t>
  </si>
  <si>
    <t>Stúdio Eloah 💇🏻‍♀️</t>
  </si>
  <si>
    <t>+55 99 99187-0316</t>
  </si>
  <si>
    <t>+5599991870316</t>
  </si>
  <si>
    <t>R. Treze, 433 - Formosa, Timon - MA, 65633-626, Brasil</t>
  </si>
  <si>
    <t>-5.1189897</t>
  </si>
  <si>
    <t>-42.8317244</t>
  </si>
  <si>
    <t>https://www.google.com/maps/search/?api=1&amp;query=St%C3%BAdio%20Eloah%20%F0%9F%92%87%F0%9F%8F%BB%E2%80%8D%E2%99%80%EF%B8%8F&amp;query_place_id=ChIJWwmSUgA3jgcRYI-Ddeshh2Y</t>
  </si>
  <si>
    <t>R. Treze, 433</t>
  </si>
  <si>
    <t>Jhacy Unhas</t>
  </si>
  <si>
    <t>Av. Benedito Ferreira de Souza - Parque Alvorada, Timon - MA, 65633-230, Brasil</t>
  </si>
  <si>
    <t>-5.1306358</t>
  </si>
  <si>
    <t>-42.8239985</t>
  </si>
  <si>
    <t>https://www.google.com/maps/search/?api=1&amp;query=Jhacy%20Unhas&amp;query_place_id=ChIJE27wgYs3jgcRcWXZRTHGWU8</t>
  </si>
  <si>
    <t>Av. Benedito Ferreira de Souza</t>
  </si>
  <si>
    <t>Lívia nail beauty</t>
  </si>
  <si>
    <t>+55 86 98811-5252</t>
  </si>
  <si>
    <t>+5586988115252</t>
  </si>
  <si>
    <t>R. 29 - Cidade Nova, Timon - MA, 65630-000, Brasil</t>
  </si>
  <si>
    <t>-5.1290673</t>
  </si>
  <si>
    <t>-42.8434662</t>
  </si>
  <si>
    <t>https://www.google.com/maps/search/?api=1&amp;query=L%C3%ADvia%20nail%20beauty&amp;query_place_id=ChIJY4CIhZY3jgcRW_n0D9a9bRg</t>
  </si>
  <si>
    <t>R. 29</t>
  </si>
  <si>
    <t>DEPILAÇÃO POLIANA SAMPAIO</t>
  </si>
  <si>
    <t>+55 86 98868-0835</t>
  </si>
  <si>
    <t>+5586988680835</t>
  </si>
  <si>
    <t>R. Herculano dos Santos - Cidade Nova, Timon - MA, 65634-336, Brasil</t>
  </si>
  <si>
    <t>-5.1195682</t>
  </si>
  <si>
    <t>-42.834938</t>
  </si>
  <si>
    <t>https://www.google.com/maps/search/?api=1&amp;query=DEPILA%C3%87%C3%83O%20POLIANA%20SAMPAIO&amp;query_place_id=ChIJCYZYpGk3jgcRpqeZG2aVuGI</t>
  </si>
  <si>
    <t>R. Herculano dos Santos</t>
  </si>
  <si>
    <t>Stúdio Eloah</t>
  </si>
  <si>
    <t>+55 99 99935-6084</t>
  </si>
  <si>
    <t>+5599999356084</t>
  </si>
  <si>
    <t>Trabalho - Tv. Dois, 433 - Formosa, Timon - MA, 65633-629, Brasil</t>
  </si>
  <si>
    <t>-5.1345125</t>
  </si>
  <si>
    <t>-42.8229776</t>
  </si>
  <si>
    <t>https://www.google.com/maps/search/?api=1&amp;query=St%C3%BAdio%20Eloah&amp;query_place_id=ChIJ85vkQQA3jgcRDk4EVai-bh0</t>
  </si>
  <si>
    <t>Trabalho - Tv. Dois, 433</t>
  </si>
  <si>
    <t>Studio Larissa Gomes</t>
  </si>
  <si>
    <t>+55 86 99459-4084</t>
  </si>
  <si>
    <t>+5586994594084</t>
  </si>
  <si>
    <t>R. Adamastor Oliveira, n°2219 - Parque Alvorada, Timon - MA, 65633-220, Brasil</t>
  </si>
  <si>
    <t>-5.131157</t>
  </si>
  <si>
    <t>-42.836086</t>
  </si>
  <si>
    <t>https://www.google.com/maps/search/?api=1&amp;query=Studio%20Larissa%20Gomes&amp;query_place_id=ChIJ-anp4k03jgcRznWZpeDeMXQ</t>
  </si>
  <si>
    <t>R. Adamastor Oliveira, n°2219</t>
  </si>
  <si>
    <t>Studio Ana Kássia Coimbra</t>
  </si>
  <si>
    <t>+55 86 98106-1836</t>
  </si>
  <si>
    <t>+5586981061836</t>
  </si>
  <si>
    <t>Av. Benedito Ferreira Campos, 886 - Parque Alvorada, Timon - MA, 65633-280, Brasil</t>
  </si>
  <si>
    <t>-5.1298426</t>
  </si>
  <si>
    <t>-42.8290435</t>
  </si>
  <si>
    <t>https://www.google.com/maps/search/?api=1&amp;query=Studio%20Ana%20K%C3%A1ssia%20Coimbra&amp;query_place_id=ChIJPfQJLuU3jgcRRS_2SNcnrdw</t>
  </si>
  <si>
    <t>Av. Benedito Ferreira Campos, 886</t>
  </si>
  <si>
    <t>Cilios Studio da Paty 2</t>
  </si>
  <si>
    <t>+55 86 98165-2462</t>
  </si>
  <si>
    <t>+5586981652462</t>
  </si>
  <si>
    <t>R. Pepita, 351 - Jóia, Timon - MA, 65636-000, Brasil</t>
  </si>
  <si>
    <t>-5.1433464</t>
  </si>
  <si>
    <t>-42.8421729</t>
  </si>
  <si>
    <t>https://www.google.com/maps/search/?api=1&amp;query=Cilios%20Studio%20da%20Paty%202&amp;query_place_id=ChIJoU-KGAo3jgcRGp0m233iERM</t>
  </si>
  <si>
    <t>R. Pepita, 351</t>
  </si>
  <si>
    <t>Nandanaildesing</t>
  </si>
  <si>
    <t>+55 86 98857-3375</t>
  </si>
  <si>
    <t>+5586988573375</t>
  </si>
  <si>
    <t>R. Martinho Carlos da Silva - Parque Alvorada, Timon - MA, 65633-350, Brasil</t>
  </si>
  <si>
    <t>-5.1298313</t>
  </si>
  <si>
    <t>-42.8328273</t>
  </si>
  <si>
    <t>https://www.google.com/maps/search/?api=1&amp;query=Nandanaildesing&amp;query_place_id=ChIJveAhtXQ3jgcRYilWIBpwf5I</t>
  </si>
  <si>
    <t>R. Martinho Carlos da Silva</t>
  </si>
  <si>
    <t>Studio Raylanne Souto</t>
  </si>
  <si>
    <t>R. G, 20a - Glória, Timon - MA, 65632-200, Brasil</t>
  </si>
  <si>
    <t>-5.1378703</t>
  </si>
  <si>
    <t>-42.825665</t>
  </si>
  <si>
    <t>https://www.google.com/maps/search/?api=1&amp;query=Studio%20Raylanne%20Souto&amp;query_place_id=ChIJWSyEMgA3jgcRwoweYqMwVg0</t>
  </si>
  <si>
    <t>R. G, 20a</t>
  </si>
  <si>
    <t>Sá estética e beleza</t>
  </si>
  <si>
    <t>R. Firmino Gonçalves Pedreira - Centro, Timon - MA, 65631-040, Brasil</t>
  </si>
  <si>
    <t>-5.0950299</t>
  </si>
  <si>
    <t>-42.8242466</t>
  </si>
  <si>
    <t>https://www.google.com/maps/search/?api=1&amp;query=S%C3%A1%20est%C3%A9tica%20e%20beleza&amp;query_place_id=ChIJ3RkpTgE3jgcRSDf3Hpf4lao</t>
  </si>
  <si>
    <t>Studio Byana Santana</t>
  </si>
  <si>
    <t>R. 28, 1240 - Sete Estrelas, Timon - MA, 65633-450, Brasil</t>
  </si>
  <si>
    <t>-5.1273695</t>
  </si>
  <si>
    <t>-42.8436853</t>
  </si>
  <si>
    <t>https://www.google.com/maps/search/?api=1&amp;query=Studio%20Byana%20Santana&amp;query_place_id=ChIJoZfPpXA3jgcRB1TGEcvmytU</t>
  </si>
  <si>
    <t>R. 28, 1240</t>
  </si>
  <si>
    <t>Studio Hanna beauty</t>
  </si>
  <si>
    <t>+55 86 98186-5376</t>
  </si>
  <si>
    <t>+5586981865376</t>
  </si>
  <si>
    <t>R. Um - Jóia, Timon - MA, 65632-230, Brasil</t>
  </si>
  <si>
    <t>-5.1410207</t>
  </si>
  <si>
    <t>-42.8379133</t>
  </si>
  <si>
    <t>https://www.google.com/maps/search/?api=1&amp;query=Studio%20Hanna%20beauty&amp;query_place_id=ChIJLTbA59U3jgcRCGAiSbKlAiE</t>
  </si>
  <si>
    <t>Leyla cabelos</t>
  </si>
  <si>
    <t>Rua, R. 1 Leonel Brizola, 03, Timon - MA, 65633-080, Brasil</t>
  </si>
  <si>
    <t>-5.1234403</t>
  </si>
  <si>
    <t>-42.8574814</t>
  </si>
  <si>
    <t>https://www.google.com/maps/search/?api=1&amp;query=Leyla%20cabelos&amp;query_place_id=ChIJWaBQ2Gk3jgcRYm4ovOCXz10</t>
  </si>
  <si>
    <t>Rua, R. 1 Leonel Brizola, 03</t>
  </si>
  <si>
    <t>Amparo cabelos</t>
  </si>
  <si>
    <t>+55 86 99462-1984</t>
  </si>
  <si>
    <t>+5586994621984</t>
  </si>
  <si>
    <t>Miguel Arraes, R. 27, Q. 28 - casa 25 - Jóia, Timon - MA, 65633-420, Brasil</t>
  </si>
  <si>
    <t>-5.1501819</t>
  </si>
  <si>
    <t>-42.8506651</t>
  </si>
  <si>
    <t>https://www.google.com/maps/search/?api=1&amp;query=Amparo%20cabelos&amp;query_place_id=ChIJC0QGkEg1jgcRf7MuicdbEM4</t>
  </si>
  <si>
    <t>Miguel Arraes, R. 27, Q. 28 - casa 25</t>
  </si>
  <si>
    <t>Thaís Gabriela Nail designer</t>
  </si>
  <si>
    <t>+55 86 99905-0373</t>
  </si>
  <si>
    <t>+5586999050373</t>
  </si>
  <si>
    <t>R. Constância Gomes da Silva, 1092 - Parque Alvorada, Timon - MA, 65633-290, Brasil</t>
  </si>
  <si>
    <t>-5.1274509</t>
  </si>
  <si>
    <t>-42.8313977</t>
  </si>
  <si>
    <t>https://www.google.com/maps/search/?api=1&amp;query=Tha%C3%ADs%20Gabriela%20Nail%20designer&amp;query_place_id=ChIJ4_uMVTI3jgcRMmM3dm0XsPs</t>
  </si>
  <si>
    <t>R. Constância Gomes da Silva, 1092</t>
  </si>
  <si>
    <t>Mr Unhas &amp; Sabrancelhas</t>
  </si>
  <si>
    <t>R. Vicente Faustino do Nascimento, 925 - Parque Alvorada, Timon - MA, 65633-270, Brasil</t>
  </si>
  <si>
    <t>-5.1283285</t>
  </si>
  <si>
    <t>-42.8263373</t>
  </si>
  <si>
    <t>https://www.google.com/maps/search/?api=1&amp;query=Mr%20Unhas%20%26%20Sabrancelhas&amp;query_place_id=ChIJPw2IQ1g2jgcRJGwhZdeNMQk</t>
  </si>
  <si>
    <t>R. Vicente Faustino do Nascimento, 925</t>
  </si>
  <si>
    <t>Studio Raylanne Souto Lash designer _Cilios e Sobrancelhas</t>
  </si>
  <si>
    <t>+55 86 98159-4994</t>
  </si>
  <si>
    <t>+5586981594994</t>
  </si>
  <si>
    <t>Rua G 20 A Bairro Vila do Bec 2, Timon - MA, Brasil</t>
  </si>
  <si>
    <t>-5.1379544</t>
  </si>
  <si>
    <t>-42.8257491</t>
  </si>
  <si>
    <t>https://www.google.com/maps/search/?api=1&amp;query=Studio%20Raylanne%20Souto%20Lash%20designer%20_Cilios%20e%20Sobrancelhas&amp;query_place_id=ChIJAVLaHgA3jgcRE0tqEzy2FxE</t>
  </si>
  <si>
    <t>Rua G 20 A Bairro Vila do Bec 2</t>
  </si>
  <si>
    <t>Vitória Moura Nail Designer</t>
  </si>
  <si>
    <t>+55 86 99862-4754</t>
  </si>
  <si>
    <t>+5586998624754</t>
  </si>
  <si>
    <t>R. Turmalina, 148 - Jóia, Timon - MA, 65632-277, Brasil</t>
  </si>
  <si>
    <t>-5.1427896</t>
  </si>
  <si>
    <t>-42.8515206</t>
  </si>
  <si>
    <t>https://www.google.com/maps/search/?api=1&amp;query=Vit%C3%B3ria%20Moura%20Nail%20Designer&amp;query_place_id=ChIJ2bxL1z83jgcRggF30cNT2lI</t>
  </si>
  <si>
    <t>R. Turmalina, 148</t>
  </si>
  <si>
    <t>Studio Fabi Oliveira</t>
  </si>
  <si>
    <t>Av. Gerônimo Silva, 1253 - Parque Alvorada, Timon - MA, 65633-180, Brasil</t>
  </si>
  <si>
    <t>-5.1319651</t>
  </si>
  <si>
    <t>-42.8311448</t>
  </si>
  <si>
    <t>https://www.google.com/maps/search/?api=1&amp;query=Studio%20Fabi%20Oliveira&amp;query_place_id=ChIJk110Rlw2jgcRR83O83ox3OI</t>
  </si>
  <si>
    <t>Av. Gerônimo Silva, 1253</t>
  </si>
  <si>
    <t>coimbra_lashdesigner</t>
  </si>
  <si>
    <t>+55 99 99147-7346</t>
  </si>
  <si>
    <t>+5599991477346</t>
  </si>
  <si>
    <t>R. Vinte, casa 753 - Planalto Boa Esperança, Timon - MA, 65632-435, Brasil</t>
  </si>
  <si>
    <t>-5.1415459</t>
  </si>
  <si>
    <t>-42.8302426</t>
  </si>
  <si>
    <t>https://www.google.com/maps/search/?api=1&amp;query=coimbra_lashdesigner&amp;query_place_id=ChIJnSSO8F03jgcRgU07WvmdLbY</t>
  </si>
  <si>
    <t>R. Vinte, casa 753</t>
  </si>
  <si>
    <t>LR Concept</t>
  </si>
  <si>
    <t>+55 99 98496-0376</t>
  </si>
  <si>
    <t>+5599984960376</t>
  </si>
  <si>
    <t>R. D, N 1977 - Vila do Bec, Timon - MA, 65632-610, Brasil</t>
  </si>
  <si>
    <t>-5.1368376</t>
  </si>
  <si>
    <t>-42.8305993</t>
  </si>
  <si>
    <t>https://www.google.com/maps/search/?api=1&amp;query=LR%20Concept&amp;query_place_id=ChIJ-4oRYNg3jgcRyyktdBppcgg</t>
  </si>
  <si>
    <t>R. D, N 1977</t>
  </si>
  <si>
    <t>Ranny Sousa</t>
  </si>
  <si>
    <t>+55 86 99932-4078</t>
  </si>
  <si>
    <t>+5586999324078</t>
  </si>
  <si>
    <t>35, R. 50, 17, Timon - MA, 65632-837, Brasil</t>
  </si>
  <si>
    <t>-5.1508086</t>
  </si>
  <si>
    <t>-42.849593</t>
  </si>
  <si>
    <t>https://www.google.com/maps/search/?api=1&amp;query=Ranny%20Sousa&amp;query_place_id=ChIJt2tK9zU1jgcReYp9_ovQoio</t>
  </si>
  <si>
    <t>35, R. 50, 17</t>
  </si>
  <si>
    <t>Samara Ribeiro nail designer</t>
  </si>
  <si>
    <t>+55 99 98861-9699</t>
  </si>
  <si>
    <t>+5599988619699</t>
  </si>
  <si>
    <t>R. Raimundo Pereira Magalhães, 1102 - Parque Alvorada, Timon - MA, 65633-260, Brasil</t>
  </si>
  <si>
    <t>-5.1268154</t>
  </si>
  <si>
    <t>-42.8315882</t>
  </si>
  <si>
    <t>https://www.google.com/maps/search/?api=1&amp;query=Samara%20Ribeiro%20nail%20designer&amp;query_place_id=ChIJa9PSihU3jgcRdvOdeoaueQk</t>
  </si>
  <si>
    <t>R. Raimundo Pereira Magalhães, 1102</t>
  </si>
  <si>
    <t>Studio universo feminino</t>
  </si>
  <si>
    <t>-5.1171858</t>
  </si>
  <si>
    <t>-42.8140145</t>
  </si>
  <si>
    <t>https://www.google.com/maps/search/?api=1&amp;query=Studio%20universo%20feminino&amp;query_place_id=ChIJTZ_XAwA3jgcRnO4aK_Gxqxo</t>
  </si>
  <si>
    <t>Studio Cleycianny silva</t>
  </si>
  <si>
    <t>+55 86 99920-1143</t>
  </si>
  <si>
    <t>+5586999201143</t>
  </si>
  <si>
    <t>Parque Alvorada, Timon - MA, 65636-045, Brasil</t>
  </si>
  <si>
    <t>-5.1211683</t>
  </si>
  <si>
    <t>-42.8250031</t>
  </si>
  <si>
    <t>https://www.google.com/maps/search/?api=1&amp;query=Studio%20Cleycianny%20silva&amp;query_place_id=ChIJKX7ZVgA3jgcRZ7qbwUqa6z0</t>
  </si>
  <si>
    <t>Studiohelennails</t>
  </si>
  <si>
    <t>R. Preciosa - Jóia, Timon - MA, 65632-280, Brasil</t>
  </si>
  <si>
    <t>-5.1407812</t>
  </si>
  <si>
    <t>-42.839893</t>
  </si>
  <si>
    <t>https://www.google.com/maps/search/?api=1&amp;query=Studiohelennails&amp;query_place_id=ChIJz5mOSQA3jgcRve_0PRlj43o</t>
  </si>
  <si>
    <t>R. Preciosa</t>
  </si>
  <si>
    <t>Marias Esmalteria</t>
  </si>
  <si>
    <t>+55 86 98159-0836</t>
  </si>
  <si>
    <t>+5586981590836</t>
  </si>
  <si>
    <t>R. G, Casa 17 - Timon, MA, 65630-000, Brasil</t>
  </si>
  <si>
    <t>-5.1144255</t>
  </si>
  <si>
    <t>-42.8377975</t>
  </si>
  <si>
    <t>https://www.google.com/maps/search/?api=1&amp;query=Marias%20Esmalteria&amp;query_place_id=ChIJ4cU80Yw3jgcRbf6wnwC6zWc</t>
  </si>
  <si>
    <t>R. G, Casa 17</t>
  </si>
  <si>
    <t>Studio Joyce Alves</t>
  </si>
  <si>
    <t>Rua 5 numero 176 Vila do Bec - Sete Estrelas, Timon - MA, 65632-655, Brasil</t>
  </si>
  <si>
    <t>-5.1197356</t>
  </si>
  <si>
    <t>-42.8272577</t>
  </si>
  <si>
    <t>https://www.google.com/maps/search/?api=1&amp;query=Studio%20Joyce%20Alves&amp;query_place_id=ChIJu4H_3083jgcR5ws6oIA-28c</t>
  </si>
  <si>
    <t>Rua 5 numero 176 Vila do Bec</t>
  </si>
  <si>
    <t>Salão do Chico Igo</t>
  </si>
  <si>
    <t>+55 86 98846-6416</t>
  </si>
  <si>
    <t>+5586988466416</t>
  </si>
  <si>
    <t>-5.1298083</t>
  </si>
  <si>
    <t>-42.828424</t>
  </si>
  <si>
    <t>https://www.google.com/maps/search/?api=1&amp;query=Sal%C3%A3o%20do%20Chico%20Igo&amp;query_place_id=ChIJge-hB9U3jgcRqn0GCE9f5gA</t>
  </si>
  <si>
    <t>Studio Samila Sousa nails</t>
  </si>
  <si>
    <t>+55 86 99954-7797</t>
  </si>
  <si>
    <t>+5586999547797</t>
  </si>
  <si>
    <t>Av. Maranhão, 2465 - São Pedro, Teresina - PI, 64018-100, Brasil</t>
  </si>
  <si>
    <t>-5.1158731</t>
  </si>
  <si>
    <t>-42.8144376</t>
  </si>
  <si>
    <t>https://www.google.com/maps/search/?api=1&amp;query=Studio%20Samila%20Sousa%20nails&amp;query_place_id=ChIJZY51Wk43jgcRkiQYFisT8TU</t>
  </si>
  <si>
    <t>Av. Maranhão, 2465</t>
  </si>
  <si>
    <t>Ac Studio Lash Design</t>
  </si>
  <si>
    <t>R. 28, 1452 - Sete estrelas, Timon - MA, 65633-470, Brasil</t>
  </si>
  <si>
    <t>-5.1274242</t>
  </si>
  <si>
    <t>-42.8436371</t>
  </si>
  <si>
    <t>https://www.google.com/maps/search/?api=1&amp;query=Ac%20Studio%20Lash%20Design&amp;query_place_id=ChIJGcu9dQA3jgcRRxzN2sNaKRo</t>
  </si>
  <si>
    <t>R. 28, 1452</t>
  </si>
  <si>
    <t>VS design (Vitória Santos)</t>
  </si>
  <si>
    <t>+55 86 98807-0880</t>
  </si>
  <si>
    <t>+5586988070880</t>
  </si>
  <si>
    <t>R. Um Mil e Dois - Formosa, Timon - MA, Brasil</t>
  </si>
  <si>
    <t>-5.1124346</t>
  </si>
  <si>
    <t>-42.8282279</t>
  </si>
  <si>
    <t>https://www.google.com/maps/search/?api=1&amp;query=VS%20design%20(Vit%C3%B3ria%20Santos)&amp;query_place_id=ChIJU9cz3L43jgcR0pzjLTY1p2M</t>
  </si>
  <si>
    <t>R. Um Mil e Dois</t>
  </si>
  <si>
    <t>MP_BEAUTY</t>
  </si>
  <si>
    <t>Av. Gerônimo Silva, 425 - Cajueiro, Timon - MA, 65630-464, Brasil</t>
  </si>
  <si>
    <t>-5.1274251</t>
  </si>
  <si>
    <t>-42.8179833</t>
  </si>
  <si>
    <t>https://www.google.com/maps/search/?api=1&amp;query=MP_BEAUTY&amp;query_place_id=ChIJrajxQR03jgcRZbdtZ3FpdPE</t>
  </si>
  <si>
    <t>Av. Gerônimo Silva, 425</t>
  </si>
  <si>
    <t>Duda cabelo</t>
  </si>
  <si>
    <t>+55 99 98525-9232</t>
  </si>
  <si>
    <t>+5599985259232</t>
  </si>
  <si>
    <t>R. Treze, 448 - Cidade Nova, Timon - MA, 65633-626, Brasil</t>
  </si>
  <si>
    <t>-5.1188447</t>
  </si>
  <si>
    <t>-42.8316325</t>
  </si>
  <si>
    <t>https://www.google.com/maps/search/?api=1&amp;query=Duda%20cabelo&amp;query_place_id=ChIJL33vSjI3jgcR5GDAND5Y3d4</t>
  </si>
  <si>
    <t>R. Treze, 448</t>
  </si>
  <si>
    <t>Viviane Lopes unhas</t>
  </si>
  <si>
    <t>+55 86 99979-9435</t>
  </si>
  <si>
    <t>+5586999799435</t>
  </si>
  <si>
    <t>Rua vinte e nove Sete estrelas - Parque Alvorada, Timon - MA, 65630-200, Brasil</t>
  </si>
  <si>
    <t>-5.1312658</t>
  </si>
  <si>
    <t>-42.8424516</t>
  </si>
  <si>
    <t>https://www.google.com/maps/search/?api=1&amp;query=Viviane%20Lopes%20unhas&amp;query_place_id=ChIJf6FM1hw3jgcRRNJ6ZU6cPiA</t>
  </si>
  <si>
    <t>Rua vinte e nove Sete estrelas</t>
  </si>
  <si>
    <t>Lu Mãos E Pés</t>
  </si>
  <si>
    <t>Parque Alvorada, Timon - MA, 65633-250, Brasil</t>
  </si>
  <si>
    <t>-5.1310482</t>
  </si>
  <si>
    <t>-42.8247874</t>
  </si>
  <si>
    <t>https://www.google.com/maps/search/?api=1&amp;query=Lu%20M%C3%A3os%20E%20P%C3%A9s&amp;query_place_id=ChIJgbt09lg2jgcRr1Hie33kEpA</t>
  </si>
  <si>
    <t>Ana.depill</t>
  </si>
  <si>
    <t>+55 86 99984-7802</t>
  </si>
  <si>
    <t>+5586999847802</t>
  </si>
  <si>
    <t>R. Esmeralda - Jóia, Timon - MA, Brasil</t>
  </si>
  <si>
    <t>-5.1432603</t>
  </si>
  <si>
    <t>-42.8372036</t>
  </si>
  <si>
    <t>https://www.google.com/maps/search/?api=1&amp;query=Ana.depill&amp;query_place_id=ChIJlX3HR2o3jgcRXu8ByBkdb9Y</t>
  </si>
  <si>
    <t>R. Esmeralda</t>
  </si>
  <si>
    <t>Minhas Unhas Meu Humor</t>
  </si>
  <si>
    <t>+55 86 99906-2229</t>
  </si>
  <si>
    <t>+5586999062229</t>
  </si>
  <si>
    <t>R. 22, 1541 - Parque Alvorada, Timon - MA, 65633-490, Brasil</t>
  </si>
  <si>
    <t>-5.1288135</t>
  </si>
  <si>
    <t>-42.8396637</t>
  </si>
  <si>
    <t>https://www.google.com/maps/search/?api=1&amp;query=Minhas%20Unhas%20Meu%20Humor&amp;query_place_id=ChIJpUMODk03jgcR1cdCWzg9arE</t>
  </si>
  <si>
    <t>R. 22, 1541</t>
  </si>
  <si>
    <t>Residência da Day</t>
  </si>
  <si>
    <t>R. A, 81 - QD 35, BL A, LT 21 A - Centro Operário, Timon - MA, 65530-000, Brasil</t>
  </si>
  <si>
    <t>-5.1352325</t>
  </si>
  <si>
    <t>-42.8283209</t>
  </si>
  <si>
    <t>https://www.google.com/maps/search/?api=1&amp;query=Resid%C3%AAncia%20da%20Day&amp;query_place_id=ChIJ6ZDfK4Q3jgcRZKA1RZwaudI</t>
  </si>
  <si>
    <t>R. A, 81 - QD 35, BL A, LT 21 A</t>
  </si>
  <si>
    <t>Fernanda Oliveira Nails</t>
  </si>
  <si>
    <t>+55 99 98416-7343</t>
  </si>
  <si>
    <t>+5599984167343</t>
  </si>
  <si>
    <t>https://www.google.com/maps/search/?api=1&amp;query=Fernanda%20Oliveira%20Nails&amp;query_place_id=ChIJC1UMg4VI0EQR-hyJ_1ArqW0</t>
  </si>
  <si>
    <t>Tatiara Binacet - Estética Facial e Corporal</t>
  </si>
  <si>
    <t>+55 86 99540-4508</t>
  </si>
  <si>
    <t>+5586995404508</t>
  </si>
  <si>
    <t>Av. Luís Firmino de Sousa, 1564 - São Benedito, Timon - MA, 65636-310, Brasil</t>
  </si>
  <si>
    <t>https://www.google.com/maps/search/?api=1&amp;query=Tatiara%20Binacet%20-%20Est%C3%A9tica%20Facial%20e%20Corporal&amp;query_place_id=ChIJwxWWalY3jgcRH3mVm3C5aZE</t>
  </si>
  <si>
    <t>Lu cosméticos</t>
  </si>
  <si>
    <t>+55 86 98858-7910</t>
  </si>
  <si>
    <t>+5586988587910</t>
  </si>
  <si>
    <t>R. Marcos Batista da Silva, 3233 - Centro Operario, Timon - MA, 65636-600, Brasil</t>
  </si>
  <si>
    <t>-5.0999514</t>
  </si>
  <si>
    <t>-42.8571864</t>
  </si>
  <si>
    <t>https://www.google.com/maps/search/?api=1&amp;query=Lu%20cosm%C3%A9ticos&amp;query_place_id=ChIJb-zpWJQ3jgcR9wz4TckP4xc</t>
  </si>
  <si>
    <t>R. Marcos Batista da Silva, 3233</t>
  </si>
  <si>
    <t>Clin Multfisio</t>
  </si>
  <si>
    <t>+55 86 99497-7368</t>
  </si>
  <si>
    <t>+5586994977368</t>
  </si>
  <si>
    <t>Av. Luís Firmino de Sousa, 2060 - São Benedito, Timon - MA, 65636-340, Brasil</t>
  </si>
  <si>
    <t>-5.1036857</t>
  </si>
  <si>
    <t>-42.8374992</t>
  </si>
  <si>
    <t>https://www.google.com/maps/search/?api=1&amp;query=Clin%20Multfisio&amp;query_place_id=ChIJ3S7ayGM3jgcRsfvtd29GZC0</t>
  </si>
  <si>
    <t>Av. Luís Firmino de Sousa, 2060</t>
  </si>
  <si>
    <t>Circuito de Treinamento</t>
  </si>
  <si>
    <t>+55 86 99817-3066</t>
  </si>
  <si>
    <t>+5586998173066</t>
  </si>
  <si>
    <t>Av. Teresina, 2047 - Parque Piaui, Timon - MA, 65636-500, Brasil</t>
  </si>
  <si>
    <t>-5.1003515</t>
  </si>
  <si>
    <t>-42.84761</t>
  </si>
  <si>
    <t>https://www.google.com/maps/search/?api=1&amp;query=Circuito%20de%20Treinamento&amp;query_place_id=ChIJawdj0Ig3jgcRbRb4Hz_TlDQ</t>
  </si>
  <si>
    <t>Av. Teresina, 2047</t>
  </si>
  <si>
    <t>CT VIRTUS</t>
  </si>
  <si>
    <t>+55 86 99802-2678</t>
  </si>
  <si>
    <t>+5586998022678</t>
  </si>
  <si>
    <t>Av. Teresina, 1831 - Parque Piaui, Timon - MA, 65636-500, Brasil</t>
  </si>
  <si>
    <t>-5.0991037</t>
  </si>
  <si>
    <t>-42.845034</t>
  </si>
  <si>
    <t>https://www.google.com/maps/search/?api=1&amp;query=CT%20VIRTUS&amp;query_place_id=ChIJ9_sgdwA3jgcR8oDmAfM9yS0</t>
  </si>
  <si>
    <t>Av. Teresina, 1831</t>
  </si>
  <si>
    <t>UBS - Padre Delfino</t>
  </si>
  <si>
    <t>Res. Padre Delfino - R. Babaçu, S/N, Timon - MA, Brasil</t>
  </si>
  <si>
    <t>-5.1167376</t>
  </si>
  <si>
    <t>-42.8624517</t>
  </si>
  <si>
    <t>https://www.google.com/maps/search/?api=1&amp;query=UBS%20-%20Padre%20Delfino&amp;query_place_id=ChIJZ5BiqTY3jgcRBrs25gM2UXA</t>
  </si>
  <si>
    <t>Res. Padre Delfino - R. Babaçu, S/N</t>
  </si>
  <si>
    <t>Pedro Cabelos UNISSEX</t>
  </si>
  <si>
    <t>Av. Paulo Ramos, 476 - Centro, Timon - MA, 65630-140, Brasil</t>
  </si>
  <si>
    <t>-5.0978682</t>
  </si>
  <si>
    <t>-42.8309161</t>
  </si>
  <si>
    <t>https://www.google.com/maps/search/?api=1&amp;query=Pedro%20Cabelos%20UNISSEX&amp;query_place_id=ChIJRXt3Cpw3jgcRsWcHOR7mSko</t>
  </si>
  <si>
    <t>Av. Paulo Ramos, 476</t>
  </si>
  <si>
    <t>Studio Amanda Crispim</t>
  </si>
  <si>
    <t>+55 86 98813-6719</t>
  </si>
  <si>
    <t>+5586988136719</t>
  </si>
  <si>
    <t>R. João Joca Assunção, 1317 - Parque-Piaui I, Timon - MA, 65636-440, Brasil</t>
  </si>
  <si>
    <t>-5.0971404</t>
  </si>
  <si>
    <t>-42.8332399</t>
  </si>
  <si>
    <t>https://www.google.com/maps/search/?api=1&amp;query=Studio%20Amanda%20Crispim&amp;query_place_id=ChIJL4UfbMM3jgcRTuuxRVNe-ig</t>
  </si>
  <si>
    <t>R. João Joca Assunção, 1317</t>
  </si>
  <si>
    <t>Central de Estética Aromas e Sensibilidades</t>
  </si>
  <si>
    <t>+55 86 98807-0579</t>
  </si>
  <si>
    <t>+5586988070579</t>
  </si>
  <si>
    <t>R. Projetada, 431 - Parque Piaui, Timon - MA, 65631-220, Brasil</t>
  </si>
  <si>
    <t>-5.0890353</t>
  </si>
  <si>
    <t>-42.8377322</t>
  </si>
  <si>
    <t>https://www.google.com/maps/search/?api=1&amp;query=Central%20de%20Est%C3%A9tica%20Aromas%20e%20Sensibilidades&amp;query_place_id=ChIJd8UWB4s3jgcRdf-cuwKKQb4</t>
  </si>
  <si>
    <t>R. Projetada, 431</t>
  </si>
  <si>
    <t>Studio Gabriele Trindade</t>
  </si>
  <si>
    <t>R. projetada 01, 2027 - Planalto Boa Esperança, Timon - MA, Brasil</t>
  </si>
  <si>
    <t>-5.1446199</t>
  </si>
  <si>
    <t>-42.8343667</t>
  </si>
  <si>
    <t>https://www.google.com/maps/search/?api=1&amp;query=Studio%20Gabriele%20Trindade&amp;query_place_id=ChIJ6ZePdgA3jgcR0RPDz50jM3w</t>
  </si>
  <si>
    <t>R. projetada 01, 2027</t>
  </si>
  <si>
    <t>Studio BRmark'S</t>
  </si>
  <si>
    <t>+55 99 98823-3497</t>
  </si>
  <si>
    <t>+5599988233497</t>
  </si>
  <si>
    <t>Rua av j, n 2339 - Parque Alvorada, Timon - MA, 65633-200, Brasil</t>
  </si>
  <si>
    <t>-5.1270852</t>
  </si>
  <si>
    <t>-42.8371744</t>
  </si>
  <si>
    <t>https://www.google.com/maps/search/?api=1&amp;query=Studio%20BRmark'S&amp;query_place_id=ChIJLxFVxPM3jgcRhlYDVlRd2AE</t>
  </si>
  <si>
    <t>Rua av j, n 2339</t>
  </si>
  <si>
    <t>Luciana Rillena Beleza Estética</t>
  </si>
  <si>
    <t>+55 86 98164-4220</t>
  </si>
  <si>
    <t>+5586981644220</t>
  </si>
  <si>
    <t>R. Henrique Pereira de Souza, 1090 - Parque Piaui, Timon - MA, 65636-300, Brasil</t>
  </si>
  <si>
    <t>-5.0978523</t>
  </si>
  <si>
    <t>-42.8338751</t>
  </si>
  <si>
    <t>https://www.google.com/maps/search/?api=1&amp;query=Luciana%20Rillena%20Beleza%20Est%C3%A9tica&amp;query_place_id=ChIJ_9Av_bY3jgcRKSyiRXu7f3Q</t>
  </si>
  <si>
    <t>R. Henrique Pereira de Souza, 1090</t>
  </si>
  <si>
    <t>Studio Marias</t>
  </si>
  <si>
    <t>+55 86 98836-1116</t>
  </si>
  <si>
    <t>+5586988361116</t>
  </si>
  <si>
    <t>R. Maria Carlos da Silva, 863 - Parque Piaui, Timon - MA, 65631-125, Brasil</t>
  </si>
  <si>
    <t>-5.0939277</t>
  </si>
  <si>
    <t>-42.836426</t>
  </si>
  <si>
    <t>https://www.google.com/maps/search/?api=1&amp;query=Studio%20Marias&amp;query_place_id=ChIJmz97DXs3jgcR_yPxcT4Ly_8</t>
  </si>
  <si>
    <t>R. Maria Carlos da Silva, 863</t>
  </si>
  <si>
    <t>Studio giselly moura</t>
  </si>
  <si>
    <t>R. 1 Leonel Brizola - Timon, MA, 65633-080, Brasil</t>
  </si>
  <si>
    <t>-5.1229203</t>
  </si>
  <si>
    <t>-42.8546099</t>
  </si>
  <si>
    <t>https://www.google.com/maps/search/?api=1&amp;query=Studio%20giselly%20moura&amp;query_place_id=ChIJwbKgBQA3jgcR3PaV8ClLKj4</t>
  </si>
  <si>
    <t>R. 1 Leonel Brizola</t>
  </si>
  <si>
    <t>Espaçolaser Timon</t>
  </si>
  <si>
    <t>+55 99 98434-6211</t>
  </si>
  <si>
    <t>+5599984346211</t>
  </si>
  <si>
    <t>Av. Piauí, 700 - Lojas 118 e 119 - Centro, Timon - MA, 65630-030, Brasil</t>
  </si>
  <si>
    <t>https://www.google.com/maps/search/?api=1&amp;query=Espa%C3%A7olaser%20Timon&amp;query_place_id=ChIJNybQMAA3jgcRodr3-fpgoZg</t>
  </si>
  <si>
    <t>Av. Piauí, 700 - Lojas 118 e 119</t>
  </si>
  <si>
    <t>Divare Cosméticos</t>
  </si>
  <si>
    <t>+55 86 99997-4625</t>
  </si>
  <si>
    <t>+5586999974625</t>
  </si>
  <si>
    <t>Av. Piauí, 700 - S - 094 - Centro, Timon - MA, 65630-030, Brasil</t>
  </si>
  <si>
    <t>-5.0921007</t>
  </si>
  <si>
    <t>-42.8241136</t>
  </si>
  <si>
    <t>https://www.google.com/maps/search/?api=1&amp;query=Divare%20Cosm%C3%A9ticos&amp;query_place_id=ChIJSyZrt3g3jgcR2q-CunApX4I</t>
  </si>
  <si>
    <t>Av. Piauí, 700 - S - 094</t>
  </si>
  <si>
    <t>Yara Carvalho Cosméticos &amp; Perfumaria</t>
  </si>
  <si>
    <t>+55 99 98507-3402</t>
  </si>
  <si>
    <t>+5599985073402</t>
  </si>
  <si>
    <t>-5.0913673</t>
  </si>
  <si>
    <t>-42.8238326</t>
  </si>
  <si>
    <t>https://www.google.com/maps/search/?api=1&amp;query=Yara%20Carvalho%20Cosm%C3%A9ticos%20%26%20Perfumaria&amp;query_place_id=ChIJP5em1RQ3jgcRI_lQCqC7w9o</t>
  </si>
  <si>
    <t>Belo Visual</t>
  </si>
  <si>
    <t>+55 99 3212-5763</t>
  </si>
  <si>
    <t>+559932125763</t>
  </si>
  <si>
    <t>Av. Pres. Médici, 1317 - Parque Piaui, Timon - MA, 65631-390, Brasil</t>
  </si>
  <si>
    <t>-5.0996661</t>
  </si>
  <si>
    <t>-42.8296552</t>
  </si>
  <si>
    <t>https://www.google.com/maps/search/?api=1&amp;query=Belo%20Visual&amp;query_place_id=ChIJ-w-ztJ43jgcRrqTPbb1X5o0</t>
  </si>
  <si>
    <t>Av. Pres. Médici, 1317</t>
  </si>
  <si>
    <t>Master Cosméticos</t>
  </si>
  <si>
    <t>+55 86 98133-8320</t>
  </si>
  <si>
    <t>+5586981338320</t>
  </si>
  <si>
    <t>Cocais Shopping - Av. Piauí, 700 - Sl 224 - Centro, Timon - MA, 65630-030, Brasil</t>
  </si>
  <si>
    <t>https://www.google.com/maps/search/?api=1&amp;query=Master%20Cosm%C3%A9ticos&amp;query_place_id=ChIJG88lKcI3jgcRXsQ_s0wD2iU</t>
  </si>
  <si>
    <t>Cocais Shopping - Av. Piauí, 700 - Sl 224</t>
  </si>
  <si>
    <t>HC barbearia</t>
  </si>
  <si>
    <t>+55 99 98839-3915</t>
  </si>
  <si>
    <t>+5599988393915</t>
  </si>
  <si>
    <t>R. José Simões Pedreira, 916 - Centro, Timon - MA, 65630-360, Brasil</t>
  </si>
  <si>
    <t>-5.1042966</t>
  </si>
  <si>
    <t>-42.8282261</t>
  </si>
  <si>
    <t>https://www.google.com/maps/search/?api=1&amp;query=HC%20barbearia&amp;query_place_id=ChIJjS99iP03jgcREW5Jnf3qu_I</t>
  </si>
  <si>
    <t>R. José Simões Pedreira, 916</t>
  </si>
  <si>
    <t>Salve Barbearia - Timon</t>
  </si>
  <si>
    <t>+55 86 98186-3978</t>
  </si>
  <si>
    <t>+5586981863978</t>
  </si>
  <si>
    <t>Av. Piauí - Centro, Timon - MA, 65630-020, Brasil</t>
  </si>
  <si>
    <t>-5.1000407</t>
  </si>
  <si>
    <t>-42.819973</t>
  </si>
  <si>
    <t>https://www.google.com/maps/search/?api=1&amp;query=Salve%20Barbearia%20-%20Timon&amp;query_place_id=ChIJeSrQlY83jgcRdvXX1gOGgV8</t>
  </si>
  <si>
    <t>Clinica Ciclo Saúde da Mulher</t>
  </si>
  <si>
    <t>+55 99 98431-6928</t>
  </si>
  <si>
    <t>+5599984316928</t>
  </si>
  <si>
    <t>Cocais Shopping - Av. Piauí, 700 - loja 120 - Centro, Timon - MA, 65630-030, Brasil</t>
  </si>
  <si>
    <t>https://www.google.com/maps/search/?api=1&amp;query=Clinica%20Ciclo%20Sa%C3%BAde%20da%20Mulher&amp;query_place_id=ChIJr-OBd9M3jgcRHLFevtMKWYw</t>
  </si>
  <si>
    <t>Cocais Shopping - Av. Piauí, 700 - loja 120</t>
  </si>
  <si>
    <t>Barbearia O Foco É O Corte</t>
  </si>
  <si>
    <t>+55 86 98833-3595</t>
  </si>
  <si>
    <t>+5586988333595</t>
  </si>
  <si>
    <t>Av. Jaime Rios - Centro, Timon - MA, 65631-040, Brasil</t>
  </si>
  <si>
    <t>-5.0961802</t>
  </si>
  <si>
    <t>-42.8263614</t>
  </si>
  <si>
    <t>https://www.google.com/maps/search/?api=1&amp;query=Barbearia%20O%20Foco%20%C3%89%20O%20Corte&amp;query_place_id=ChIJndGxghw3jgcRgap2h40ZSsI</t>
  </si>
  <si>
    <t>Av. Jaime Rios</t>
  </si>
  <si>
    <t>Denis Barbearia</t>
  </si>
  <si>
    <t>+55 86 99846-8775</t>
  </si>
  <si>
    <t>+5586998468775</t>
  </si>
  <si>
    <t>R. José Simões Pedreira, 378 - Mangueira, Timon - MA, 65630-360, Brasil</t>
  </si>
  <si>
    <t>-5.1022961</t>
  </si>
  <si>
    <t>-42.8233117</t>
  </si>
  <si>
    <t>https://www.google.com/maps/search/?api=1&amp;query=Denis%20Barbearia&amp;query_place_id=ChIJge4EzUs3jgcRsvig_bZ9TlM</t>
  </si>
  <si>
    <t>R. José Simões Pedreira, 378</t>
  </si>
  <si>
    <t>JAQUELINE LESSA</t>
  </si>
  <si>
    <t>+55 86 98169-5173</t>
  </si>
  <si>
    <t>+5586981695173</t>
  </si>
  <si>
    <t>https://www.google.com/maps/search/?api=1&amp;query=JAQUELINE%20LESSA&amp;query_place_id=ChIJOcOYLWRtPWQRUVYPpkGDQZ4</t>
  </si>
  <si>
    <t>CLIDENTI - Clínica Dentária de Timon</t>
  </si>
  <si>
    <t>+55 99 3212-7144</t>
  </si>
  <si>
    <t>+559932127144</t>
  </si>
  <si>
    <t>R. Magalhães de Almeida, 240 - Centro, Timon - MA, 65630-290, Brasil</t>
  </si>
  <si>
    <t>-5.1006551</t>
  </si>
  <si>
    <t>-42.8259871</t>
  </si>
  <si>
    <t>https://www.google.com/maps/search/?api=1&amp;query=CLIDENTI%20-%20Cl%C3%ADnica%20Dent%C3%A1ria%20de%20Timon&amp;query_place_id=ChIJebjyBgO5jAcR0nLXyIvU6zQ</t>
  </si>
  <si>
    <t>R. Magalhães de Almeida, 240</t>
  </si>
  <si>
    <t>Associação Saraiva Jiu-Jitsu</t>
  </si>
  <si>
    <t>+55 99 98808-8510</t>
  </si>
  <si>
    <t>+5599988088510</t>
  </si>
  <si>
    <t>R. Benedito Leite - Centro, Timon - MA, 65630-320, Brasil</t>
  </si>
  <si>
    <t>-5.103452</t>
  </si>
  <si>
    <t>-42.8282815</t>
  </si>
  <si>
    <t>https://www.google.com/maps/search/?api=1&amp;query=Associa%C3%A7%C3%A3o%20Saraiva%20Jiu-Jitsu&amp;query_place_id=ChIJvegkAAA3jgcR6xpNx0ECjlg</t>
  </si>
  <si>
    <t>R. Benedito Leite</t>
  </si>
  <si>
    <t>HINODE: FRANCISCA MATOS (CONSULTORA/VENDEDORA) HINODE: CELIO MATOS (consultor/vendedor)</t>
  </si>
  <si>
    <t>+55 86 98872-0710</t>
  </si>
  <si>
    <t>+5586988720710</t>
  </si>
  <si>
    <t>https://www.google.com/maps/search/?api=1&amp;query=HINODE%3A%20FRANCISCA%20MATOS%20(CONSULTORA%2FVENDEDORA)%20HINODE%3A%20CELIO%20MATOS%20(consultor%2Fvendedor)&amp;query_place_id=ChIJJ684VH45jgcRypCEjeZWJb0</t>
  </si>
  <si>
    <t>Academia Club Fitness</t>
  </si>
  <si>
    <t>+55 99 3212-5397</t>
  </si>
  <si>
    <t>+559932125397</t>
  </si>
  <si>
    <t>R. José Simões Pedreira, 814 - Centro, Timon - MA, 65630-020, Brasil</t>
  </si>
  <si>
    <t>-5.1039471</t>
  </si>
  <si>
    <t>-42.8274118</t>
  </si>
  <si>
    <t>https://www.google.com/maps/search/?api=1&amp;query=Academia%20Club%20Fitness&amp;query_place_id=ChIJCbivy6E3jgcRiZzGVpQGSSs</t>
  </si>
  <si>
    <t>R. José Simões Pedreira, 814</t>
  </si>
  <si>
    <t>Tany Ótica</t>
  </si>
  <si>
    <t>+55 86 98844-7467</t>
  </si>
  <si>
    <t>+5586988447467</t>
  </si>
  <si>
    <t>R. Aquiles Lisboa, 287 - Centro, Timon - MA, 65630-300, Brasil</t>
  </si>
  <si>
    <t>-5.10071</t>
  </si>
  <si>
    <t>-42.822032</t>
  </si>
  <si>
    <t>https://www.google.com/maps/search/?api=1&amp;query=Tany%20%C3%93tica&amp;query_place_id=ChIJGXP_fNg5jgcR11zvTQbpJj0</t>
  </si>
  <si>
    <t>R. Aquiles Lisboa, 287</t>
  </si>
  <si>
    <t>Teresina Centro</t>
  </si>
  <si>
    <t>R. 07 de Setembro - Centro, Timon - CE, 62670-000, Brasil</t>
  </si>
  <si>
    <t>-5.1029877</t>
  </si>
  <si>
    <t>-42.826466</t>
  </si>
  <si>
    <t>https://www.google.com/maps/search/?api=1&amp;query=Teresina%20Centro&amp;query_place_id=ChIJHfH7iJ83jgcR3vnExsNzvMk</t>
  </si>
  <si>
    <t>R. 07 de Setembro</t>
  </si>
  <si>
    <t>Ótica Mercadão</t>
  </si>
  <si>
    <t>+55 86 99492-4493</t>
  </si>
  <si>
    <t>+5586994924493</t>
  </si>
  <si>
    <t>Av. Pres. Médici, 1863 - Centro, Timon - MA, 65631-391, Brasil</t>
  </si>
  <si>
    <t>-5.1042969</t>
  </si>
  <si>
    <t>-42.8286392</t>
  </si>
  <si>
    <t>https://www.google.com/maps/search/?api=1&amp;query=%C3%93tica%20Mercad%C3%A3o&amp;query_place_id=ChIJM-NrJQc3jgcRapxdIyKFtKg</t>
  </si>
  <si>
    <t>Av. Pres. Médici, 1863</t>
  </si>
  <si>
    <t>Centro Médico Viver</t>
  </si>
  <si>
    <t>+55 99 98101-5756</t>
  </si>
  <si>
    <t>+5599981015756</t>
  </si>
  <si>
    <t>Av. Pres. Médici, 1600 - São Benedito, Timon - MA, 65636-246, Brasil</t>
  </si>
  <si>
    <t>-5.1019719</t>
  </si>
  <si>
    <t>-42.8293652</t>
  </si>
  <si>
    <t>https://www.google.com/maps/search/?api=1&amp;query=Centro%20M%C3%A9dico%20Viver&amp;query_place_id=ChIJNWcUNp83jgcRK7qvzHmbus0</t>
  </si>
  <si>
    <t>Av. Pres. Médici, 1600</t>
  </si>
  <si>
    <t>DROGASIL 24 HORAS TIMON 2</t>
  </si>
  <si>
    <t>+55 99 99121-1001</t>
  </si>
  <si>
    <t>+5599991211001</t>
  </si>
  <si>
    <t>Av. Pres. Médici, 1370 - Parque Piaui, Timon - MA, 65631-391, Brasil</t>
  </si>
  <si>
    <t>-5.100265</t>
  </si>
  <si>
    <t>-42.8293786</t>
  </si>
  <si>
    <t>https://www.google.com/maps/search/?api=1&amp;query=DROGASIL%2024%20HORAS%20TIMON%202&amp;query_place_id=ChIJv8zNzp43jgcRH5YLV1mQYI8</t>
  </si>
  <si>
    <t>Av. Pres. Médici, 1370</t>
  </si>
  <si>
    <t>Ambulatório Santa Fé</t>
  </si>
  <si>
    <t>Tv. Firmo Pedreira, 358-376 - São Benedito, Timon - MA, 65630-260, Brasil</t>
  </si>
  <si>
    <t>-5.1037548</t>
  </si>
  <si>
    <t>-42.8288252</t>
  </si>
  <si>
    <t>https://www.google.com/maps/search/?api=1&amp;query=Ambulat%C3%B3rio%20Santa%20F%C3%A9&amp;query_place_id=ChIJW4EY7KE3jgcRyMewz_kZQGA</t>
  </si>
  <si>
    <t>Tv. Firmo Pedreira, 358-376</t>
  </si>
  <si>
    <t>Lavita Laboratório</t>
  </si>
  <si>
    <t>-5.1053885</t>
  </si>
  <si>
    <t>-42.8341047</t>
  </si>
  <si>
    <t>https://www.google.com/maps/search/?api=1&amp;query=Lavita%20Laborat%C3%B3rio&amp;query_place_id=ChIJ___7NqM3jgcRrLBB5A31QbA</t>
  </si>
  <si>
    <t>Óticas Ester A Menina Dos Seus Olhos</t>
  </si>
  <si>
    <t>-5.1020577</t>
  </si>
  <si>
    <t>-42.8247679</t>
  </si>
  <si>
    <t>https://www.google.com/maps/search/?api=1&amp;query=%C3%93ticas%20Ester%20A%20Menina%20Dos%20Seus%20Olhos&amp;query_place_id=ChIJ0xsfYnU3jgcRzMiX-pwerfQ</t>
  </si>
  <si>
    <t>Clínica H+ Timon/MA</t>
  </si>
  <si>
    <t>+55 99 98477-1088</t>
  </si>
  <si>
    <t>+5599984771088</t>
  </si>
  <si>
    <t>R. José Simões Pedreira, 897 - Centro, Timon - MA, 65630-360, Brasil</t>
  </si>
  <si>
    <t>-5.1045522</t>
  </si>
  <si>
    <t>-42.8280833</t>
  </si>
  <si>
    <t>https://www.google.com/maps/search/?api=1&amp;query=Cl%C3%ADnica%20H%2B%20Timon%2FMA&amp;query_place_id=ChIJG6rQJpA3jgcRcjRtxtnsdE0</t>
  </si>
  <si>
    <t>R. José Simões Pedreira, 897</t>
  </si>
  <si>
    <t>Penitenciária Regional de Timon</t>
  </si>
  <si>
    <t>Av. Principal - Centro, Timon - MA, 65630-300, Brasil</t>
  </si>
  <si>
    <t>-5.1006811</t>
  </si>
  <si>
    <t>-42.833727</t>
  </si>
  <si>
    <t>https://www.google.com/maps/search/?api=1&amp;query=Penitenci%C3%A1ria%20Regional%20de%20Timon&amp;query_place_id=ChIJb8kWM5g3jgcRZy3Bh7UTAdM</t>
  </si>
  <si>
    <t>Av. Principal</t>
  </si>
  <si>
    <t>ÊH, DOUTOR - CLINICA POPULAR</t>
  </si>
  <si>
    <t>+55 99 98461-5628</t>
  </si>
  <si>
    <t>+5599984615628</t>
  </si>
  <si>
    <t>R. Benedito Leite, 1105 - Centro, Timon - MA, 65630-320, Brasil</t>
  </si>
  <si>
    <t>-5.1038318</t>
  </si>
  <si>
    <t>-42.8284873</t>
  </si>
  <si>
    <t>https://www.google.com/maps/search/?api=1&amp;query=%C3%8AH%2C%20DOUTOR%20-%20CLINICA%20POPULAR&amp;query_place_id=ChIJpQX2SrE3jgcRhKpFk8-OooI</t>
  </si>
  <si>
    <t>R. Benedito Leite, 1105</t>
  </si>
  <si>
    <t>Clínica Comed | Dr. Glausto Setúbal</t>
  </si>
  <si>
    <t>+55 99 98554-9029</t>
  </si>
  <si>
    <t>+5599985549029</t>
  </si>
  <si>
    <t>R. José Simões Pedreira, 223 - Centro, Timon - MA, 65630-360, Brasil</t>
  </si>
  <si>
    <t>-5.1020167</t>
  </si>
  <si>
    <t>-42.8216446</t>
  </si>
  <si>
    <t>https://www.google.com/maps/search/?api=1&amp;query=Cl%C3%ADnica%20Comed%20%7C%20Dr.%20Glausto%20Set%C3%BAbal&amp;query_place_id=ChIJsQYv46Y3jgcRiHwji11x44Y</t>
  </si>
  <si>
    <t>R. José Simões Pedreira, 223</t>
  </si>
  <si>
    <t>FLOR DE LIRA</t>
  </si>
  <si>
    <t>+55 86 98195-3400</t>
  </si>
  <si>
    <t>+5586981953400</t>
  </si>
  <si>
    <t>https://www.google.com/maps/search/?api=1&amp;query=FLOR%20DE%20LIRA&amp;query_place_id=ChIJJ1TMMUjvWwMRow6bqunS6Y4</t>
  </si>
  <si>
    <t>CT LEÕES DE JUDÁ BJJ</t>
  </si>
  <si>
    <t>+55 99 99901-3254</t>
  </si>
  <si>
    <t>+5599999013254</t>
  </si>
  <si>
    <t>R. Duque de Caxias, n° 790 - Mangueira, Timon - MA, 65630-526, Brasil</t>
  </si>
  <si>
    <t>-5.1057438</t>
  </si>
  <si>
    <t>-42.8222708</t>
  </si>
  <si>
    <t>https://www.google.com/maps/search/?api=1&amp;query=CT%20LE%C3%95ES%20DE%20JUD%C3%81%20BJJ&amp;query_place_id=ChIJvy2LQW43jgcRO1Pc0jBtw1o</t>
  </si>
  <si>
    <t>R. Duque de Caxias, n° 790</t>
  </si>
  <si>
    <t>Bárbara Berilo</t>
  </si>
  <si>
    <t>+55 86 99547-3517</t>
  </si>
  <si>
    <t>+5586995473517</t>
  </si>
  <si>
    <t>-5.1864402</t>
  </si>
  <si>
    <t>-42.9024646</t>
  </si>
  <si>
    <t>https://www.google.com/maps/search/?api=1&amp;query=B%C3%A1rbara%20Berilo&amp;query_place_id=ChIJfbNTb6k3jgcRIENlOddtm6I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</si>
</sst>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search/?api=1&amp;query=Casa%20Da%20Selagem%20Cosmeticos%20%26%20Sal%C3%A3o%20De%20Beleza&amp;query_place_id=ChIJpYEGjYg3jgcRaojtOfWhq2E" TargetMode="External"/><Relationship Id="rId194" Type="http://schemas.openxmlformats.org/officeDocument/2006/relationships/hyperlink" Target="https://www.google.com/maps/search/?api=1&amp;query=Studio%20Tain%C3%A1%20Karen&amp;query_place_id=ChIJ38jeRwA3jgcRzdgaZOYN96k" TargetMode="External"/><Relationship Id="rId193" Type="http://schemas.openxmlformats.org/officeDocument/2006/relationships/hyperlink" Target="https://www.google.com/maps/search/?api=1&amp;query=Sal%C3%A3o%20Novo%20Visual&amp;query_place_id=ChIJjfxzh1w2jgcR3EsDKpfkSw0" TargetMode="External"/><Relationship Id="rId192" Type="http://schemas.openxmlformats.org/officeDocument/2006/relationships/hyperlink" Target="https://www.google.com/maps/search/?api=1&amp;query=Espa%C3%A7o%20das%20unhas&amp;query_place_id=ChIJI8cXrStIjgcRvIKin0awtfE" TargetMode="External"/><Relationship Id="rId191" Type="http://schemas.openxmlformats.org/officeDocument/2006/relationships/hyperlink" Target="https://www.google.com/maps/search/?api=1&amp;query=BELLA%20ESTETICA&amp;query_place_id=ChIJVxweYnU3jgcRJdMEpNFV5Rs" TargetMode="External"/><Relationship Id="rId187" Type="http://schemas.openxmlformats.org/officeDocument/2006/relationships/hyperlink" Target="https://www.google.com/maps/search/?api=1&amp;query=Mulher%20Fina%20Est%C3%A9tica&amp;query_place_id=ChIJt2fzp4E3jgcRCEw-Pj4YmVM" TargetMode="External"/><Relationship Id="rId186" Type="http://schemas.openxmlformats.org/officeDocument/2006/relationships/hyperlink" Target="https://www.google.com/maps/search/?api=1&amp;query=Fernanda%20Valerio%20Studio%20de%20Manicure&amp;query_place_id=ChIJNa7Dgks3jgcRNqp1EEg-ErU" TargetMode="External"/><Relationship Id="rId185" Type="http://schemas.openxmlformats.org/officeDocument/2006/relationships/hyperlink" Target="https://www.google.com/maps/search/?api=1&amp;query=FRAN%20ROCHA%20-%20Depila%C3%A7%C3%A3o%20-%20Manicure%20-%20Produtos%20de%20Beleza&amp;query_place_id=ChIJAUUiUXo3jgcR2rO9uqWD4jQ" TargetMode="External"/><Relationship Id="rId184" Type="http://schemas.openxmlformats.org/officeDocument/2006/relationships/hyperlink" Target="https://www.google.com/maps/search/?api=1&amp;query=Madame's%20CABELO%20%26%20EST%C3%89TICA&amp;query_place_id=ChIJs3cgX5o3jgcRb4ahxsP59LY" TargetMode="External"/><Relationship Id="rId189" Type="http://schemas.openxmlformats.org/officeDocument/2006/relationships/hyperlink" Target="https://www.google.com/maps/search/?api=1&amp;query=Sal%C3%A3o%20VIP&amp;query_place_id=ChIJA8lmjZI5jgcRKmPmQw8t6ug" TargetMode="External"/><Relationship Id="rId188" Type="http://schemas.openxmlformats.org/officeDocument/2006/relationships/hyperlink" Target="https://www.google.com/maps/search/?api=1&amp;query=Studio%20de%20unhas%20Luz%20nails&amp;query_place_id=ChIJ904Dwn43jgcRBMpmgEKGkyw" TargetMode="External"/><Relationship Id="rId183" Type="http://schemas.openxmlformats.org/officeDocument/2006/relationships/hyperlink" Target="https://www.google.com/maps/search/?api=1&amp;query=Studio%20Nat%C3%A1lia%20G%C3%B3is&amp;query_place_id=ChIJU7njSW03jgcRnuC7xCJXreI" TargetMode="External"/><Relationship Id="rId182" Type="http://schemas.openxmlformats.org/officeDocument/2006/relationships/hyperlink" Target="https://www.google.com/maps/search/?api=1&amp;query=Studio%20Lbelly&amp;query_place_id=ChIJO1TpEgA3jgcR7hnBCayZHMo" TargetMode="External"/><Relationship Id="rId181" Type="http://schemas.openxmlformats.org/officeDocument/2006/relationships/hyperlink" Target="https://www.google.com/maps/search/?api=1&amp;query=Studio%20Thaty%20Hair&amp;query_place_id=ChIJEQC9rok3jgcRkdLuZ7_NT7U" TargetMode="External"/><Relationship Id="rId180" Type="http://schemas.openxmlformats.org/officeDocument/2006/relationships/hyperlink" Target="https://www.google.com/maps/search/?api=1&amp;query=Studio%20clarice%20costa&amp;query_place_id=ChIJJUviC6g3jgcRouh49cEkuKA" TargetMode="External"/><Relationship Id="rId176" Type="http://schemas.openxmlformats.org/officeDocument/2006/relationships/hyperlink" Target="https://www.google.com/maps/search/?api=1&amp;query=GABRIELY%20STUDIO&amp;query_place_id=ChIJa3B0lbU3jgcRjzVW_n7ZJ_E" TargetMode="External"/><Relationship Id="rId297" Type="http://schemas.openxmlformats.org/officeDocument/2006/relationships/hyperlink" Target="https://www.google.com/maps/search/?api=1&amp;query=Studio%20Larissa%20Fernanda&amp;query_place_id=ChIJq-NVa0M3jgcRS4OEx_4yUPM" TargetMode="External"/><Relationship Id="rId175" Type="http://schemas.openxmlformats.org/officeDocument/2006/relationships/hyperlink" Target="https://www.google.com/maps/search/?api=1&amp;query=Studio%20Debora%20Hair&amp;query_place_id=ChIJXXbI39A3jgcRABMnPIRMIqE" TargetMode="External"/><Relationship Id="rId296" Type="http://schemas.openxmlformats.org/officeDocument/2006/relationships/hyperlink" Target="https://www.google.com/maps/search/?api=1&amp;query=Centro%20de%20Especialidades%20Odontol%C3%B3gicas%20-%20CEO&amp;query_place_id=ChIJjYmKHnA3jgcR5-4vmp124tE" TargetMode="External"/><Relationship Id="rId174" Type="http://schemas.openxmlformats.org/officeDocument/2006/relationships/hyperlink" Target="https://www.google.com/maps/search/?api=1&amp;query=STUDIO%20S%C3%A2mea%20sousa%20lash%20designer&amp;query_place_id=ChIJWaQcCBI3jgcRDBKh689GQP4" TargetMode="External"/><Relationship Id="rId295" Type="http://schemas.openxmlformats.org/officeDocument/2006/relationships/hyperlink" Target="https://www.google.com/maps/search/?api=1&amp;query=ALERGOSTORE&amp;query_place_id=ChIJpZU6G985jgcRmVUtwuH-p3w" TargetMode="External"/><Relationship Id="rId173" Type="http://schemas.openxmlformats.org/officeDocument/2006/relationships/hyperlink" Target="https://www.google.com/maps/search/?api=1&amp;query=Espa%C3%A7o%20Suyane%20Veras&amp;query_place_id=ChIJj43g3HQ1jgcREtKqVYrKU10" TargetMode="External"/><Relationship Id="rId294" Type="http://schemas.openxmlformats.org/officeDocument/2006/relationships/hyperlink" Target="https://www.google.com/maps/search/?api=1&amp;query=Studio%20Paula%20Guimar%C3%A3es&amp;query_place_id=ChIJVXV8xmM3jgcRtRCTGVU9Cfo" TargetMode="External"/><Relationship Id="rId179" Type="http://schemas.openxmlformats.org/officeDocument/2006/relationships/hyperlink" Target="https://www.google.com/maps/search/?api=1&amp;query=Studio%20Braids%20Polyanna%20Taizy&amp;query_place_id=ChIJAz2BLAA3jgcRMK6U9bQ9FDg" TargetMode="External"/><Relationship Id="rId178" Type="http://schemas.openxmlformats.org/officeDocument/2006/relationships/hyperlink" Target="https://www.google.com/maps/search/?api=1&amp;query=Studio%20Mauriane%20Carvalho&amp;query_place_id=ChIJIeKuk1o3jgcR0henWcVsjEQ" TargetMode="External"/><Relationship Id="rId299" Type="http://schemas.openxmlformats.org/officeDocument/2006/relationships/hyperlink" Target="https://www.google.com/maps/search/?api=1&amp;query=Salles%20Hair&amp;query_place_id=ChIJqYX_m-s3jgcR9bjFjtjsQjs" TargetMode="External"/><Relationship Id="rId177" Type="http://schemas.openxmlformats.org/officeDocument/2006/relationships/hyperlink" Target="https://www.google.com/maps/search/?api=1&amp;query=Studio%20Jhoesley%20Julia%20Unhas%20e%20Cabelos&amp;query_place_id=ChIJme5ROhI3jgcR-SjW7wmAQtA" TargetMode="External"/><Relationship Id="rId298" Type="http://schemas.openxmlformats.org/officeDocument/2006/relationships/hyperlink" Target="https://www.google.com/maps/search/?api=1&amp;query=Studio%20Laura%20Yanessa&amp;query_place_id=ChIJXQ10ZhY3jgcRUAIyzDcQEtY" TargetMode="External"/><Relationship Id="rId198" Type="http://schemas.openxmlformats.org/officeDocument/2006/relationships/hyperlink" Target="https://www.google.com/maps/search/?api=1&amp;query=Studio%20Taynara%20Martins&amp;query_place_id=ChIJVWfBs6k3jgcRmFynfmwuFzE" TargetMode="External"/><Relationship Id="rId197" Type="http://schemas.openxmlformats.org/officeDocument/2006/relationships/hyperlink" Target="https://www.google.com/maps/search/?api=1&amp;query=Studio%20Ana%20Beatriz&amp;query_place_id=ChIJz_02pkw3jgcR9PhFC14ytxY" TargetMode="External"/><Relationship Id="rId196" Type="http://schemas.openxmlformats.org/officeDocument/2006/relationships/hyperlink" Target="https://www.google.com/maps/search/?api=1&amp;query=Nicole%20St%C3%BAdio%20De%20Beleza&amp;query_place_id=ChIJK8syK-03jgcRIRS84K5mdis" TargetMode="External"/><Relationship Id="rId195" Type="http://schemas.openxmlformats.org/officeDocument/2006/relationships/hyperlink" Target="https://www.google.com/maps/search/?api=1&amp;query=Studio%20R%26R&amp;query_place_id=ChIJcX8tNgA3jgcR5uHBF2BER1U" TargetMode="External"/><Relationship Id="rId199" Type="http://schemas.openxmlformats.org/officeDocument/2006/relationships/hyperlink" Target="https://www.google.com/maps/search/?api=1&amp;query=Brenda%20studio%20cilios%20sobrancelha&amp;query_place_id=ChIJ3WNMao03jgcRcrUKgPv3AR8" TargetMode="External"/><Relationship Id="rId150" Type="http://schemas.openxmlformats.org/officeDocument/2006/relationships/hyperlink" Target="https://www.google.com/maps/search/?api=1&amp;query=Studio%20Daniele%20Azevedo%20Beauty&amp;query_place_id=ChIJ0WAsMNU3jgcR0dqt6d-CncE" TargetMode="External"/><Relationship Id="rId271" Type="http://schemas.openxmlformats.org/officeDocument/2006/relationships/hyperlink" Target="https://www.google.com/maps/search/?api=1&amp;query=Seu%20Tavares%20Barbearia&amp;query_place_id=ChIJw-lfenU3jgcRGJn_n_s_uUM" TargetMode="External"/><Relationship Id="rId392" Type="http://schemas.openxmlformats.org/officeDocument/2006/relationships/hyperlink" Target="https://www.google.com/maps/search/?api=1&amp;query=Duda%20nails%20Studio&amp;query_place_id=ChIJP2SkKAA3jgcRRYfrueI0pNw" TargetMode="External"/><Relationship Id="rId270" Type="http://schemas.openxmlformats.org/officeDocument/2006/relationships/hyperlink" Target="https://www.google.com/maps/search/?api=1&amp;query=Studio%20Carmem%20Hair&amp;query_place_id=ChIJN5TyP8w3jgcRI6poh0IbO7I" TargetMode="External"/><Relationship Id="rId391" Type="http://schemas.openxmlformats.org/officeDocument/2006/relationships/hyperlink" Target="https://www.google.com/maps/search/?api=1&amp;query=Virtud's%20SB&amp;query_place_id=ChIJh4PEEDA3jgcRgRZ83d0e8Ug" TargetMode="External"/><Relationship Id="rId390" Type="http://schemas.openxmlformats.org/officeDocument/2006/relationships/hyperlink" Target="https://www.google.com/maps/search/?api=1&amp;query=Bil%20Studio%20Hair&amp;query_place_id=ChIJFcyhJRw3jgcR7qVdB-C74VQ" TargetMode="External"/><Relationship Id="rId1" Type="http://schemas.openxmlformats.org/officeDocument/2006/relationships/hyperlink" Target="https://www.google.com/maps/search/?api=1&amp;query=Studio%20Beleza%20Feminina&amp;query_place_id=ChIJ_UMW1SA4jgcRP4Jcy2YDfGc" TargetMode="External"/><Relationship Id="rId2" Type="http://schemas.openxmlformats.org/officeDocument/2006/relationships/hyperlink" Target="https://www.google.com/maps/search/?api=1&amp;query=Cei%C3%A7a%20Cabelos&amp;query_place_id=ChIJUceh0IU3jgcR_nuYAToSA_M" TargetMode="External"/><Relationship Id="rId3" Type="http://schemas.openxmlformats.org/officeDocument/2006/relationships/hyperlink" Target="https://www.google.com/maps/search/?api=1&amp;query=Espa%C3%A7o%20Shirley%20Reis&amp;query_place_id=ChIJgV7259lHjgcRuYD0IsriHuI" TargetMode="External"/><Relationship Id="rId149" Type="http://schemas.openxmlformats.org/officeDocument/2006/relationships/hyperlink" Target="https://www.google.com/maps/search/?api=1&amp;query=Studio%20formas%20%26%20fios&amp;query_place_id=ChIJV1TfjQs3jgcRoYwiuOmN3Tc" TargetMode="External"/><Relationship Id="rId4" Type="http://schemas.openxmlformats.org/officeDocument/2006/relationships/hyperlink" Target="https://www.google.com/maps/search/?api=1&amp;query=Studio%20Adna%20Marques%20%7C%20Sal%C3%A3o%20Cabelos&amp;query_place_id=ChIJ5yRj_vg3jgcRUyqCg_0AC0A" TargetMode="External"/><Relationship Id="rId148" Type="http://schemas.openxmlformats.org/officeDocument/2006/relationships/hyperlink" Target="https://www.google.com/maps/search/?api=1&amp;query=Studio_afro_hair&amp;query_place_id=ChIJ1-LI7dA3jgcRlrHUnQq2PVE" TargetMode="External"/><Relationship Id="rId269" Type="http://schemas.openxmlformats.org/officeDocument/2006/relationships/hyperlink" Target="https://www.google.com/maps/search/?api=1&amp;query=Graziele%20Rocha%20studio&amp;query_place_id=ChIJQdamzNk3jgcRJoUnEvP2uRY" TargetMode="External"/><Relationship Id="rId9" Type="http://schemas.openxmlformats.org/officeDocument/2006/relationships/hyperlink" Target="https://www.google.com/maps/search/?api=1&amp;query=STUDIO%20DE%20BELEZA%20Elayne%20%26%20Cristina&amp;query_place_id=ChIJDRlJSOpHjgcRx7c6Euz1UZY" TargetMode="External"/><Relationship Id="rId143" Type="http://schemas.openxmlformats.org/officeDocument/2006/relationships/hyperlink" Target="https://www.google.com/maps/search/?api=1&amp;query=Studio%20Taynara%20Silva&amp;query_place_id=ChIJf8n8xMg3jgcRfCuchQqgRtc" TargetMode="External"/><Relationship Id="rId264" Type="http://schemas.openxmlformats.org/officeDocument/2006/relationships/hyperlink" Target="https://www.google.com/maps/search/?api=1&amp;query=Jana%C3%ADna%20unha%20%26%20cabelos%20%2F%20Luastudio&amp;query_place_id=ChIJ9ff3w1A3jgcR3ynHxff3E8g" TargetMode="External"/><Relationship Id="rId385" Type="http://schemas.openxmlformats.org/officeDocument/2006/relationships/hyperlink" Target="https://www.google.com/maps/search/?api=1&amp;query=studio%20Eduarda%20nails%20designer&amp;query_place_id=ChIJtSx9RXI3jgcRHFV5QlQimLU" TargetMode="External"/><Relationship Id="rId142" Type="http://schemas.openxmlformats.org/officeDocument/2006/relationships/hyperlink" Target="https://www.google.com/maps/search/?api=1&amp;query=Studio%20Mycaelle%20Santos&amp;query_place_id=ChIJDdPiSQA3jgcRSwdDCfF4noU" TargetMode="External"/><Relationship Id="rId263" Type="http://schemas.openxmlformats.org/officeDocument/2006/relationships/hyperlink" Target="https://www.google.com/maps/search/?api=1&amp;query=Cantinho%20da%20Beleza&amp;query_place_id=ChIJNVRo5Jc3jgcRHzAw1vh6t6o" TargetMode="External"/><Relationship Id="rId384" Type="http://schemas.openxmlformats.org/officeDocument/2006/relationships/hyperlink" Target="https://www.google.com/maps/search/?api=1&amp;query=MB%20Studio&amp;query_place_id=ChIJF3Gl_Mo3jgcRJRWSPekZEDA" TargetMode="External"/><Relationship Id="rId141" Type="http://schemas.openxmlformats.org/officeDocument/2006/relationships/hyperlink" Target="https://www.google.com/maps/search/?api=1&amp;query=Studio%20Daniele%20aguiar&amp;query_place_id=ChIJLfd_WwA3jgcRPbRJ7DWuzEc" TargetMode="External"/><Relationship Id="rId262" Type="http://schemas.openxmlformats.org/officeDocument/2006/relationships/hyperlink" Target="https://www.google.com/maps/search/?api=1&amp;query=Studio%20Malu%20Oliveira&amp;query_place_id=ChIJ54WjOqA3jgcR1GYXfUxiMAo" TargetMode="External"/><Relationship Id="rId383" Type="http://schemas.openxmlformats.org/officeDocument/2006/relationships/hyperlink" Target="https://www.google.com/maps/search/?api=1&amp;query=Studio%20Nivyane%20Freitas&amp;query_place_id=ChIJQxAWMjA3jgcR3kZpXuac6wM" TargetMode="External"/><Relationship Id="rId140" Type="http://schemas.openxmlformats.org/officeDocument/2006/relationships/hyperlink" Target="https://www.google.com/maps/search/?api=1&amp;query=Deyse%20Unhas%20%26%20Sobrancelhas&amp;query_place_id=ChIJ8ZwssKU3jgcR961TcUx5eQA" TargetMode="External"/><Relationship Id="rId261" Type="http://schemas.openxmlformats.org/officeDocument/2006/relationships/hyperlink" Target="https://www.google.com/maps/search/?api=1&amp;query=Studio%20Jacyara%20Alves&amp;query_place_id=ChIJlzxjhSA1jgcRsqoU_vix4Tc" TargetMode="External"/><Relationship Id="rId382" Type="http://schemas.openxmlformats.org/officeDocument/2006/relationships/hyperlink" Target="https://www.google.com/maps/search/?api=1&amp;query=Micael%20Barbearia%20-%20Timon&amp;query_place_id=ChIJJ3aiWrRHjgcRLTTQowWu0l8" TargetMode="External"/><Relationship Id="rId5" Type="http://schemas.openxmlformats.org/officeDocument/2006/relationships/hyperlink" Target="https://www.google.com/maps/search/?api=1&amp;query=Simone%20Arag%C3%A3o%20-%20Cabelo%20e%20Est%C3%A9tica&amp;query_place_id=ChIJ45dDMXY3jgcRqUyWvZTfZDc" TargetMode="External"/><Relationship Id="rId147" Type="http://schemas.openxmlformats.org/officeDocument/2006/relationships/hyperlink" Target="https://www.google.com/maps/search/?api=1&amp;query=Sal%C3%A3o%20Fio%20a%20Perfil%20Cabelos&amp;query_place_id=ChIJbYiHawA3jgcRlDDAFN-sxw0" TargetMode="External"/><Relationship Id="rId268" Type="http://schemas.openxmlformats.org/officeDocument/2006/relationships/hyperlink" Target="https://www.google.com/maps/search/?api=1&amp;query=CASA%20PAULO%20E%20RAYNARA&amp;query_place_id=ChIJr7GnbAA5jgcRDwmL8gKOUTQ" TargetMode="External"/><Relationship Id="rId389" Type="http://schemas.openxmlformats.org/officeDocument/2006/relationships/hyperlink" Target="https://www.google.com/maps/search/?api=1&amp;query=Cleia%20Pinho%20Studio&amp;query_place_id=ChIJAXbHeVw2jgcRDucIvQ6wyhA" TargetMode="External"/><Relationship Id="rId6" Type="http://schemas.openxmlformats.org/officeDocument/2006/relationships/hyperlink" Target="https://www.google.com/maps/search/?api=1&amp;query=Studio%20E&amp;query_place_id=ChIJTbIXb_o3jgcRS9vCqltawsk" TargetMode="External"/><Relationship Id="rId146" Type="http://schemas.openxmlformats.org/officeDocument/2006/relationships/hyperlink" Target="https://www.google.com/maps/search/?api=1&amp;query=Studio%20MRodrigues&amp;query_place_id=ChIJlwVzyG03jgcRsqKTxTMNi70" TargetMode="External"/><Relationship Id="rId267" Type="http://schemas.openxmlformats.org/officeDocument/2006/relationships/hyperlink" Target="https://www.google.com/maps/search/?api=1&amp;query=Luziamakeup&amp;query_place_id=ChIJPxRKhiQ3jgcRnKMB29cuuJU" TargetMode="External"/><Relationship Id="rId388" Type="http://schemas.openxmlformats.org/officeDocument/2006/relationships/hyperlink" Target="https://www.google.com/maps/search/?api=1&amp;query=Studio_ArianeYasmin&amp;query_place_id=ChIJ_xcSQ901jgcRQODaXB3wWbA" TargetMode="External"/><Relationship Id="rId7" Type="http://schemas.openxmlformats.org/officeDocument/2006/relationships/hyperlink" Target="https://www.google.com/maps/search/?api=1&amp;query=Maria%20cabelos&amp;query_place_id=ChIJDUo1BR5JjgcRVT_xwMireMc" TargetMode="External"/><Relationship Id="rId145" Type="http://schemas.openxmlformats.org/officeDocument/2006/relationships/hyperlink" Target="https://www.google.com/maps/search/?api=1&amp;query=Studio%20Silvana%20Marreiros&amp;query_place_id=ChIJw5WNw0g3jgcR2yAm9C3kwDs" TargetMode="External"/><Relationship Id="rId266" Type="http://schemas.openxmlformats.org/officeDocument/2006/relationships/hyperlink" Target="https://www.google.com/maps/search/?api=1&amp;query=Ronnielly%20Bezerra%20Hair&amp;query_place_id=ChIJz6yINro3jgcR5tg0r6_BTts" TargetMode="External"/><Relationship Id="rId387" Type="http://schemas.openxmlformats.org/officeDocument/2006/relationships/hyperlink" Target="https://www.google.com/maps/search/?api=1&amp;query=Lobitos%20Cabelos&amp;query_place_id=ChIJX8iDXOQ3jgcRF-hvxW9dlUM" TargetMode="External"/><Relationship Id="rId8" Type="http://schemas.openxmlformats.org/officeDocument/2006/relationships/hyperlink" Target="https://www.google.com/maps/search/?api=1&amp;query=Lais%20dhimas%20Nails%20Designer&amp;query_place_id=ChIJcxXEheNHjgcR2ClyTsAosaw" TargetMode="External"/><Relationship Id="rId144" Type="http://schemas.openxmlformats.org/officeDocument/2006/relationships/hyperlink" Target="https://www.google.com/maps/search/?api=1&amp;query=Studio%20Cris%20Santos&amp;query_place_id=ChIJ--GsPJM3jgcRBGI2wp42AEA" TargetMode="External"/><Relationship Id="rId265" Type="http://schemas.openxmlformats.org/officeDocument/2006/relationships/hyperlink" Target="https://www.google.com/maps/search/?api=1&amp;query=ivanilda%20Haiy&amp;query_place_id=ChIJXyNXYgA3jgcRp6pbwOKeGBg" TargetMode="External"/><Relationship Id="rId386" Type="http://schemas.openxmlformats.org/officeDocument/2006/relationships/hyperlink" Target="https://www.google.com/maps/search/?api=1&amp;query=Studio%20Maysa%20Karine&amp;query_place_id=ChIJIV8_9Zg3jgcRTMxl_xaYtRY" TargetMode="External"/><Relationship Id="rId260" Type="http://schemas.openxmlformats.org/officeDocument/2006/relationships/hyperlink" Target="https://www.google.com/maps/search/?api=1&amp;query=Pen%C3%A9lope%20Charmosa&amp;query_place_id=ChIJp-SpZD03jgcR_DSY_QugNEs" TargetMode="External"/><Relationship Id="rId381" Type="http://schemas.openxmlformats.org/officeDocument/2006/relationships/hyperlink" Target="https://www.google.com/maps/search/?api=1&amp;query=Paloma%20Hechyllen%20Beauty&amp;query_place_id=ChIJ0-mz2BM3jgcRpwbgtP2D0IA" TargetMode="External"/><Relationship Id="rId380" Type="http://schemas.openxmlformats.org/officeDocument/2006/relationships/hyperlink" Target="https://www.google.com/maps/search/?api=1&amp;query=Fernanda%20Patr%C3%ADcia%20Concept&amp;query_place_id=ChIJY11CjDA3jgcR0141fG6pWDk" TargetMode="External"/><Relationship Id="rId139" Type="http://schemas.openxmlformats.org/officeDocument/2006/relationships/hyperlink" Target="https://www.google.com/maps/search/?api=1&amp;query=JN%20Studio&amp;query_place_id=ChIJ1a-0hWA2jgcR-1VF2N4NLeM" TargetMode="External"/><Relationship Id="rId138" Type="http://schemas.openxmlformats.org/officeDocument/2006/relationships/hyperlink" Target="https://www.google.com/maps/search/?api=1&amp;query=Sal%C3%A3o%20Novo%20Stilos&amp;query_place_id=ChIJ8bQFQFk2jgcRzZ8SUBzOMZc" TargetMode="External"/><Relationship Id="rId259" Type="http://schemas.openxmlformats.org/officeDocument/2006/relationships/hyperlink" Target="https://www.google.com/maps/search/?api=1&amp;query=Thais%20esteticista%20-%20sa%C3%BAde%20%26%20bem-estar&amp;query_place_id=ChIJ3dfgPZI3jgcRSITH7191LKk" TargetMode="External"/><Relationship Id="rId137" Type="http://schemas.openxmlformats.org/officeDocument/2006/relationships/hyperlink" Target="https://www.google.com/maps/search/?api=1&amp;query=Sal%C3%A3o%20Cana%C3%A3%20O%20Irm%C3%A3o&amp;query_place_id=ChIJmSqDZ7g3jgcRfEEvlK1Ct2c" TargetMode="External"/><Relationship Id="rId258" Type="http://schemas.openxmlformats.org/officeDocument/2006/relationships/hyperlink" Target="https://www.google.com/maps/search/?api=1&amp;query=Isolaser%20cl%C3%ADnica%20de%20depila%C3%A7%C3%A3o%20a%20laser&amp;query_place_id=ChIJLUs9HwA3jgcRVtrNjjxVPu4" TargetMode="External"/><Relationship Id="rId379" Type="http://schemas.openxmlformats.org/officeDocument/2006/relationships/hyperlink" Target="https://www.google.com/maps/search/?api=1&amp;query=Cleciane_cabelos&amp;query_place_id=ChIJ-9fMfAA5jgcRKD5EoqMRALk" TargetMode="External"/><Relationship Id="rId132" Type="http://schemas.openxmlformats.org/officeDocument/2006/relationships/hyperlink" Target="https://www.google.com/maps/search/?api=1&amp;query=Alciane%20Almeida%20Studio&amp;query_place_id=ChIJBSgYpD43jgcRkl4q5lkK2cQ" TargetMode="External"/><Relationship Id="rId253" Type="http://schemas.openxmlformats.org/officeDocument/2006/relationships/hyperlink" Target="https://www.google.com/maps/search/?api=1&amp;query=Casa%20do%20Biel&amp;query_place_id=ChIJkUqIPQA3jgcRROehb9iiqAY" TargetMode="External"/><Relationship Id="rId374" Type="http://schemas.openxmlformats.org/officeDocument/2006/relationships/hyperlink" Target="https://www.google.com/maps/search/?api=1&amp;query=Studio%20Raquel%20Gomes&amp;query_place_id=ChIJrwgpRwA3jgcRchq2qFzp9cY" TargetMode="External"/><Relationship Id="rId131" Type="http://schemas.openxmlformats.org/officeDocument/2006/relationships/hyperlink" Target="https://www.google.com/maps/search/?api=1&amp;query=Sal%C3%A3o%20das%20Estrelas&amp;query_place_id=ChIJq39DMPA3jgcRblqBoPHmnAo" TargetMode="External"/><Relationship Id="rId252" Type="http://schemas.openxmlformats.org/officeDocument/2006/relationships/hyperlink" Target="https://www.google.com/maps/search/?api=1&amp;query=Adriana%20Cabelos&amp;query_place_id=ChIJwcxzOHQ3jgcRLVE902fn4Oo" TargetMode="External"/><Relationship Id="rId373" Type="http://schemas.openxmlformats.org/officeDocument/2006/relationships/hyperlink" Target="https://www.google.com/maps/search/?api=1&amp;query=Beleza%20Feminina&amp;query_place_id=ChIJge2wCJc3jgcR0WGdqk4ZRBk" TargetMode="External"/><Relationship Id="rId130" Type="http://schemas.openxmlformats.org/officeDocument/2006/relationships/hyperlink" Target="https://www.google.com/maps/search/?api=1&amp;query=SAL%C3%83O%20TOP!%20(Joyce%20Alves%20)&amp;query_place_id=ChIJwel-Ilw2jgcRwT8LNHjdmaQ" TargetMode="External"/><Relationship Id="rId251" Type="http://schemas.openxmlformats.org/officeDocument/2006/relationships/hyperlink" Target="https://www.google.com/maps/search/?api=1&amp;query=StudionailMagdasousa&amp;query_place_id=ChIJe0uzVgA3jgcRfOBSTczKDv0" TargetMode="External"/><Relationship Id="rId372" Type="http://schemas.openxmlformats.org/officeDocument/2006/relationships/hyperlink" Target="https://www.google.com/maps/search/?api=1&amp;query=Studio%20Stefany&amp;query_place_id=ChIJnaLxRgA3jgcRaP_hlW2WLxE" TargetMode="External"/><Relationship Id="rId250" Type="http://schemas.openxmlformats.org/officeDocument/2006/relationships/hyperlink" Target="https://www.google.com/maps/search/?api=1&amp;query=STUDIO%20FABIANA%20ASSUN%C3%87%C3%83O&amp;query_place_id=ChIJm2hb86U3jgcR4ZN5vctYNqI" TargetMode="External"/><Relationship Id="rId371" Type="http://schemas.openxmlformats.org/officeDocument/2006/relationships/hyperlink" Target="https://www.google.com/maps/search/?api=1&amp;query=Studio.emilly%20B%C3%A1rbara&amp;query_place_id=ChIJYetMXOk3jgcRWLVuGXuXUPs" TargetMode="External"/><Relationship Id="rId136" Type="http://schemas.openxmlformats.org/officeDocument/2006/relationships/hyperlink" Target="https://www.google.com/maps/search/?api=1&amp;query=Salao%20divas&amp;query_place_id=ChIJl3slEJc3jgcRMXSNN2Gefv0" TargetMode="External"/><Relationship Id="rId257" Type="http://schemas.openxmlformats.org/officeDocument/2006/relationships/hyperlink" Target="https://www.google.com/maps/search/?api=1&amp;query=Ellen%20Nails&amp;query_place_id=ChIJlb1HBwA3jgcRs--oB3fU9-Y" TargetMode="External"/><Relationship Id="rId378" Type="http://schemas.openxmlformats.org/officeDocument/2006/relationships/hyperlink" Target="https://www.google.com/maps/search/?api=1&amp;query=STUDIO%20Stefanymotta___Nails&amp;query_place_id=ChIJWXwF1sg3jgcRW5aOpxGufAM" TargetMode="External"/><Relationship Id="rId135" Type="http://schemas.openxmlformats.org/officeDocument/2006/relationships/hyperlink" Target="https://www.google.com/maps/search/?api=1&amp;query=Studio%20Patr%C3%ADcia%20Moura%20(Beleza%20e%20Est%C3%A9tica).&amp;query_place_id=ChIJ0b-hYYU3jgcRccektJkINM4" TargetMode="External"/><Relationship Id="rId256" Type="http://schemas.openxmlformats.org/officeDocument/2006/relationships/hyperlink" Target="https://www.google.com/maps/search/?api=1&amp;query=Viviane%20Kamily%20Esthetics&amp;query_place_id=ChIJYYXkBAA3jgcRrDsJFmEw1lI" TargetMode="External"/><Relationship Id="rId377" Type="http://schemas.openxmlformats.org/officeDocument/2006/relationships/hyperlink" Target="https://www.google.com/maps/search/?api=1&amp;query=Studio%20Espelho%20Meu&amp;query_place_id=ChIJpZ0ce-c3jgcRtGpn0WIq60I" TargetMode="External"/><Relationship Id="rId134" Type="http://schemas.openxmlformats.org/officeDocument/2006/relationships/hyperlink" Target="https://www.google.com/maps/search/?api=1&amp;query=Studio%20Sandra%20Bastos%20Est%C3%A9tica%20de%20Unha&amp;query_place_id=ChIJy2pah583jgcRKJVmaAibP8A" TargetMode="External"/><Relationship Id="rId255" Type="http://schemas.openxmlformats.org/officeDocument/2006/relationships/hyperlink" Target="https://www.google.com/maps/search/?api=1&amp;query=Studio%20Beatryz%20Detona&amp;query_place_id=ChIJFbe2FQA3jgcRg4kSyit5GKI" TargetMode="External"/><Relationship Id="rId376" Type="http://schemas.openxmlformats.org/officeDocument/2006/relationships/hyperlink" Target="https://www.google.com/maps/search/?api=1&amp;query=LannyMaraBeauty&amp;query_place_id=ChIJHSIIAzZJjgcR-CIlySdZLaA" TargetMode="External"/><Relationship Id="rId133" Type="http://schemas.openxmlformats.org/officeDocument/2006/relationships/hyperlink" Target="https://www.google.com/maps/search/?api=1&amp;query=Const%C3%A2ncia%20Sal%C3%A3o%20e%20Atelier&amp;query_place_id=ChIJfxLb2XY3jgcRheS9oU1KUw4" TargetMode="External"/><Relationship Id="rId254" Type="http://schemas.openxmlformats.org/officeDocument/2006/relationships/hyperlink" Target="https://www.google.com/maps/search/?api=1&amp;query=mmbeleza_2021&amp;query_place_id=ChIJl_v3E6Y1jgcRXAIVFbf-y_Y" TargetMode="External"/><Relationship Id="rId375" Type="http://schemas.openxmlformats.org/officeDocument/2006/relationships/hyperlink" Target="https://www.google.com/maps/search/?api=1&amp;query=Skarlleth%20Oyama%20Beauty&amp;query_place_id=ChIJo3Hou6s5jgcR_KJvUiXwJmM" TargetMode="External"/><Relationship Id="rId172" Type="http://schemas.openxmlformats.org/officeDocument/2006/relationships/hyperlink" Target="https://www.google.com/maps/search/?api=1&amp;query=Rosinha%20cabelos&amp;query_place_id=ChIJj1vG0tg5jgcRrdfeFqAH9aA" TargetMode="External"/><Relationship Id="rId293" Type="http://schemas.openxmlformats.org/officeDocument/2006/relationships/hyperlink" Target="https://www.google.com/maps/search/?api=1&amp;query=Studio%20Mara%20Santos_makeup&amp;query_place_id=ChIJAUKrrtg3jgcRJ7-lnCyS2qI" TargetMode="External"/><Relationship Id="rId171" Type="http://schemas.openxmlformats.org/officeDocument/2006/relationships/hyperlink" Target="https://www.google.com/maps/search/?api=1&amp;query=STUDIO%20ANANDA%20CABELOS&amp;query_place_id=ChIJP18NFGQ3jgcRmBVlkdOvPHo" TargetMode="External"/><Relationship Id="rId292" Type="http://schemas.openxmlformats.org/officeDocument/2006/relationships/hyperlink" Target="https://www.google.com/maps/search/?api=1&amp;query=Studio%20Nanda%20Sousa&amp;query_place_id=ChIJsU0rbwA3jgcRoncWaXQO3f0" TargetMode="External"/><Relationship Id="rId170" Type="http://schemas.openxmlformats.org/officeDocument/2006/relationships/hyperlink" Target="https://www.google.com/maps/search/?api=1&amp;query=Espa%C3%A7o%20preciosa&amp;query_place_id=ChIJB3U6UjU3jgcRLk2uEy3q2K4" TargetMode="External"/><Relationship Id="rId291" Type="http://schemas.openxmlformats.org/officeDocument/2006/relationships/hyperlink" Target="https://www.google.com/maps/search/?api=1&amp;query=Lc%20Studio%20espa%C3%A7o%20mulher&amp;query_place_id=ChIJvbg7Vy43jgcRBC-_RcqhS8w" TargetMode="External"/><Relationship Id="rId290" Type="http://schemas.openxmlformats.org/officeDocument/2006/relationships/hyperlink" Target="https://www.google.com/maps/search/?api=1&amp;query=Studio%20MC%20Hair&amp;query_place_id=ChIJIT4m4vQ5jgcR8yrFq7HHBO8" TargetMode="External"/><Relationship Id="rId165" Type="http://schemas.openxmlformats.org/officeDocument/2006/relationships/hyperlink" Target="https://www.google.com/maps/search/?api=1&amp;query=Studio%20Josania%20Bezerra&amp;query_place_id=ChIJD2ea0r83jgcRaNY_lYDq5WE" TargetMode="External"/><Relationship Id="rId286" Type="http://schemas.openxmlformats.org/officeDocument/2006/relationships/hyperlink" Target="https://www.google.com/maps/search/?api=1&amp;query=Amanda%20Gaby%20Beauty&amp;query_place_id=ChIJsz0i5XA3jgcRLi53WT8qaBI" TargetMode="External"/><Relationship Id="rId164" Type="http://schemas.openxmlformats.org/officeDocument/2006/relationships/hyperlink" Target="https://www.google.com/maps/search/?api=1&amp;query=Studio%20Luciana%20Rillena&amp;query_place_id=ChIJPR9AhiI3jgcRVUtIdWv1hOw" TargetMode="External"/><Relationship Id="rId285" Type="http://schemas.openxmlformats.org/officeDocument/2006/relationships/hyperlink" Target="https://www.google.com/maps/search/?api=1&amp;query=Studio%20Diva%20Timon&amp;query_place_id=ChIJ-SaDmKg3jgcRw9QBy0jhlv4" TargetMode="External"/><Relationship Id="rId163" Type="http://schemas.openxmlformats.org/officeDocument/2006/relationships/hyperlink" Target="https://www.google.com/maps/search/?api=1&amp;query=Studio%20Andressa%20Brand%C3%A3o&amp;query_place_id=ChIJORrcVjg3jgcRkF35GGe25Ho" TargetMode="External"/><Relationship Id="rId284" Type="http://schemas.openxmlformats.org/officeDocument/2006/relationships/hyperlink" Target="https://www.google.com/maps/search/?api=1&amp;query=Est%C3%BCdyo%20Marcielle%20Sousa&amp;query_place_id=ChIJF1aKUyw3jgcRtXw1UNKiVsI" TargetMode="External"/><Relationship Id="rId162" Type="http://schemas.openxmlformats.org/officeDocument/2006/relationships/hyperlink" Target="https://www.google.com/maps/search/?api=1&amp;query=Helena%20Est%C3%A9tica&amp;query_place_id=ChIJd8Jq71U3jgcRLf9qIeWKoiE" TargetMode="External"/><Relationship Id="rId283" Type="http://schemas.openxmlformats.org/officeDocument/2006/relationships/hyperlink" Target="https://www.google.com/maps/search/?api=1&amp;query=St%C3%BAdio%20Nelcy_AfroBraids&amp;query_place_id=ChIJTSeHXGQ3jgcRLBvrbNvPm8w" TargetMode="External"/><Relationship Id="rId169" Type="http://schemas.openxmlformats.org/officeDocument/2006/relationships/hyperlink" Target="https://www.google.com/maps/search/?api=1&amp;query=Espa%C3%A7o%20Rita%20Costa&amp;query_place_id=ChIJL0oAl5M3jgcRvSNFtzl5L3A" TargetMode="External"/><Relationship Id="rId168" Type="http://schemas.openxmlformats.org/officeDocument/2006/relationships/hyperlink" Target="https://www.google.com/maps/search/?api=1&amp;query=Depila%C3%A7%C3%A3o%20Est%C3%A9tica%20Design%20de%20Sobrancelhas%20-%20Studio%20Arte%20do%20Corpo&amp;query_place_id=ChIJcbKVGxw3jgcR5WUE8nVokZc" TargetMode="External"/><Relationship Id="rId289" Type="http://schemas.openxmlformats.org/officeDocument/2006/relationships/hyperlink" Target="https://www.google.com/maps/search/?api=1&amp;query=Val%20Colares%20Depila%C3%A7%C3%A3o%20em%20Timon%20%7C%20Rainha%20da%20Cera&amp;query_place_id=ChIJK0Me_mI3jgcRASTxBHd_h1M" TargetMode="External"/><Relationship Id="rId167" Type="http://schemas.openxmlformats.org/officeDocument/2006/relationships/hyperlink" Target="https://www.google.com/maps/search/?api=1&amp;query=Sal%C3%A3o%20de%20beleza%20Nenzinha&amp;query_place_id=ChIJB8CSOwA3jgcRUL6tE6GLKTE" TargetMode="External"/><Relationship Id="rId288" Type="http://schemas.openxmlformats.org/officeDocument/2006/relationships/hyperlink" Target="https://www.google.com/maps/search/?api=1&amp;query=Ana%20Walerya%20Beauty&amp;query_place_id=ChIJnc0A-PI3jgcRlV_ObO7vRqQ" TargetMode="External"/><Relationship Id="rId166" Type="http://schemas.openxmlformats.org/officeDocument/2006/relationships/hyperlink" Target="https://www.google.com/maps/search/?api=1&amp;query=Aline%20Kerly%20Studio&amp;query_place_id=ChIJ2bCthRQ3jgcR3srkqSNbR4w" TargetMode="External"/><Relationship Id="rId287" Type="http://schemas.openxmlformats.org/officeDocument/2006/relationships/hyperlink" Target="https://www.google.com/maps/search/?api=1&amp;query=Yvanasouza.studio&amp;query_place_id=ChIJh4a-tD03jgcRIYatpXAGWmk" TargetMode="External"/><Relationship Id="rId161" Type="http://schemas.openxmlformats.org/officeDocument/2006/relationships/hyperlink" Target="https://www.google.com/maps/search/?api=1&amp;query=Studio%20Gabrielly%20Slan&amp;query_place_id=ChIJ3RrBQbI3jgcRyVBCbIGJILc" TargetMode="External"/><Relationship Id="rId282" Type="http://schemas.openxmlformats.org/officeDocument/2006/relationships/hyperlink" Target="https://www.google.com/maps/search/?api=1&amp;query=Est%C3%BAdio%20Sabrina%20Fernandes&amp;query_place_id=ChIJ29os_UA3jgcRvwKc549IzEc" TargetMode="External"/><Relationship Id="rId160" Type="http://schemas.openxmlformats.org/officeDocument/2006/relationships/hyperlink" Target="https://www.google.com/maps/search/?api=1&amp;query=Dhylvana%20Brown%20sal%C3%A3o%20de%20beleza&amp;query_place_id=ChIJY2-tDYk5jgcR4j1HHE5LQbY" TargetMode="External"/><Relationship Id="rId281" Type="http://schemas.openxmlformats.org/officeDocument/2006/relationships/hyperlink" Target="https://www.google.com/maps/search/?api=1&amp;query=Studio%20P%F0%9F%A7%9C%E2%80%8D%E2%99%80%EF%B8%8F&amp;query_place_id=ChIJR7q7VqM3jgcRmk-A3eN7RF8" TargetMode="External"/><Relationship Id="rId280" Type="http://schemas.openxmlformats.org/officeDocument/2006/relationships/hyperlink" Target="https://www.google.com/maps/search/?api=1&amp;query=Mar%20e%20Bronze&amp;query_place_id=ChIJzRf6ukU3jgcRV7cpHfjsBhg" TargetMode="External"/><Relationship Id="rId159" Type="http://schemas.openxmlformats.org/officeDocument/2006/relationships/hyperlink" Target="https://www.google.com/maps/search/?api=1&amp;query=Instituti%20De%20Beleza%20Labelle&amp;query_place_id=ChIJg-EZa583jgcRymSDJBtTJzI" TargetMode="External"/><Relationship Id="rId154" Type="http://schemas.openxmlformats.org/officeDocument/2006/relationships/hyperlink" Target="https://www.google.com/maps/search/?api=1&amp;query=Sal%C3%A3o%20a%20poderosa&amp;query_place_id=ChIJXRljNf83jgcRO3yk82IS8y4" TargetMode="External"/><Relationship Id="rId275" Type="http://schemas.openxmlformats.org/officeDocument/2006/relationships/hyperlink" Target="https://www.google.com/maps/search/?api=1&amp;query=Studio%20Patr%C3%ADcia%20Oliveira%20Beleza%20e%20Est%C3%A9tica&amp;query_place_id=ChIJxaLtdFU3jgcR8JNJlbSCDTM" TargetMode="External"/><Relationship Id="rId396" Type="http://schemas.openxmlformats.org/officeDocument/2006/relationships/hyperlink" Target="https://www.google.com/maps/search/?api=1&amp;query=L%C3%ADvia%20nail%20beauty&amp;query_place_id=ChIJY4CIhZY3jgcRW_n0D9a9bRg" TargetMode="External"/><Relationship Id="rId153" Type="http://schemas.openxmlformats.org/officeDocument/2006/relationships/hyperlink" Target="https://www.google.com/maps/search/?api=1&amp;query=Beleza%20Vip&amp;query_place_id=ChIJ-QSBoLg3jgcRtzYxmqooH1U" TargetMode="External"/><Relationship Id="rId274" Type="http://schemas.openxmlformats.org/officeDocument/2006/relationships/hyperlink" Target="https://www.google.com/maps/search/?api=1&amp;query=Studio%20Lady%20Day&amp;query_place_id=ChIJ3SGN4IU3jgcRlYxyIvl9Ync" TargetMode="External"/><Relationship Id="rId395" Type="http://schemas.openxmlformats.org/officeDocument/2006/relationships/hyperlink" Target="https://www.google.com/maps/search/?api=1&amp;query=Jhacy%20Unhas&amp;query_place_id=ChIJE27wgYs3jgcRcWXZRTHGWU8" TargetMode="External"/><Relationship Id="rId152" Type="http://schemas.openxmlformats.org/officeDocument/2006/relationships/hyperlink" Target="https://www.google.com/maps/search/?api=1&amp;query=Ms%20Studio%20Haiir&amp;query_place_id=ChIJg_3Ug0s3jgcRTRCVdim4sdE" TargetMode="External"/><Relationship Id="rId273" Type="http://schemas.openxmlformats.org/officeDocument/2006/relationships/hyperlink" Target="https://www.google.com/maps/search/?api=1&amp;query=Studio%20Realizy&amp;query_place_id=ChIJseTf0Sk3jgcRtlSJLoMRMWc" TargetMode="External"/><Relationship Id="rId394" Type="http://schemas.openxmlformats.org/officeDocument/2006/relationships/hyperlink" Target="https://www.google.com/maps/search/?api=1&amp;query=St%C3%BAdio%20Eloah%20%F0%9F%92%87%F0%9F%8F%BB%E2%80%8D%E2%99%80%EF%B8%8F&amp;query_place_id=ChIJWwmSUgA3jgcRYI-Ddeshh2Y" TargetMode="External"/><Relationship Id="rId151" Type="http://schemas.openxmlformats.org/officeDocument/2006/relationships/hyperlink" Target="https://www.google.com/maps/search/?api=1&amp;query=Creuza%20SALON&amp;query_place_id=ChIJ6Wf5CuU3jgcRBMr8ccla8rY" TargetMode="External"/><Relationship Id="rId272" Type="http://schemas.openxmlformats.org/officeDocument/2006/relationships/hyperlink" Target="https://www.google.com/maps/search/?api=1&amp;query=Cl%C3%ADnica%20Dayana%20Andrade&amp;query_place_id=ChIJA4YR9Qo3jgcRQZpIUB_-DRs" TargetMode="External"/><Relationship Id="rId393" Type="http://schemas.openxmlformats.org/officeDocument/2006/relationships/hyperlink" Target="https://www.google.com/maps/search/?api=1&amp;query=Studio%20Eduarda%20nails&amp;query_place_id=ChIJrUSZ8pc3jgcRDTo09o-_5pY" TargetMode="External"/><Relationship Id="rId158" Type="http://schemas.openxmlformats.org/officeDocument/2006/relationships/hyperlink" Target="https://www.google.com/maps/search/?api=1&amp;query=Studio%20Maria%20Ramos&amp;query_place_id=ChIJTQ3-1yk3jgcRZEahy7leS-c" TargetMode="External"/><Relationship Id="rId279" Type="http://schemas.openxmlformats.org/officeDocument/2006/relationships/hyperlink" Target="https://www.google.com/maps/search/?api=1&amp;query=St%C3%BAdio%20Rosiane%20Meneses&amp;query_place_id=ChIJFS_Nbw43jgcRWdJAhiljBGA" TargetMode="External"/><Relationship Id="rId157" Type="http://schemas.openxmlformats.org/officeDocument/2006/relationships/hyperlink" Target="https://www.google.com/maps/search/?api=1&amp;query=AG.STUDIO&amp;query_place_id=ChIJsQ3NtQc3jgcRsxJe7JOiCSc" TargetMode="External"/><Relationship Id="rId278" Type="http://schemas.openxmlformats.org/officeDocument/2006/relationships/hyperlink" Target="https://www.google.com/maps/search/?api=1&amp;query=Elyenna%20Cabelos&amp;query_place_id=ChIJbw2j0yM3jgcREw9Zp_F4_Pg" TargetMode="External"/><Relationship Id="rId399" Type="http://schemas.openxmlformats.org/officeDocument/2006/relationships/hyperlink" Target="https://www.google.com/maps/search/?api=1&amp;query=Studio%20Larissa%20Gomes&amp;query_place_id=ChIJ-anp4k03jgcRznWZpeDeMXQ" TargetMode="External"/><Relationship Id="rId156" Type="http://schemas.openxmlformats.org/officeDocument/2006/relationships/hyperlink" Target="https://www.google.com/maps/search/?api=1&amp;query=Centro%20de%20beleza%20for%20men&amp;query_place_id=ChIJ8df88JE5jgcRA7zWqeQPJTM" TargetMode="External"/><Relationship Id="rId277" Type="http://schemas.openxmlformats.org/officeDocument/2006/relationships/hyperlink" Target="https://www.google.com/maps/search/?api=1&amp;query=Studio%20Lurdynha%20Moreira&amp;query_place_id=ChIJjRNPt0Q3jgcRJ7kibVtxwfM" TargetMode="External"/><Relationship Id="rId398" Type="http://schemas.openxmlformats.org/officeDocument/2006/relationships/hyperlink" Target="https://www.google.com/maps/search/?api=1&amp;query=St%C3%BAdio%20Eloah&amp;query_place_id=ChIJ85vkQQA3jgcRDk4EVai-bh0" TargetMode="External"/><Relationship Id="rId155" Type="http://schemas.openxmlformats.org/officeDocument/2006/relationships/hyperlink" Target="https://www.google.com/maps/search/?api=1&amp;query=Studio%20D%C3%A9bora%20Veloso&amp;query_place_id=ChIJNeBpizA3jgcRFO0DJkdMXT0" TargetMode="External"/><Relationship Id="rId276" Type="http://schemas.openxmlformats.org/officeDocument/2006/relationships/hyperlink" Target="https://www.google.com/maps/search/?api=1&amp;query=Leyla%20Nunes%20-%20Hair%20studio&amp;query_place_id=ChIJvSWtoas3jgcRjfrql02JCFY" TargetMode="External"/><Relationship Id="rId397" Type="http://schemas.openxmlformats.org/officeDocument/2006/relationships/hyperlink" Target="https://www.google.com/maps/search/?api=1&amp;query=DEPILA%C3%87%C3%83O%20POLIANA%20SAMPAIO&amp;query_place_id=ChIJCYZYpGk3jgcRpqeZG2aVuGI" TargetMode="External"/><Relationship Id="rId40" Type="http://schemas.openxmlformats.org/officeDocument/2006/relationships/hyperlink" Target="https://www.google.com/maps/search/?api=1&amp;query=Beauty%20Concept%20Timon%20-%20Centro%20de%20Beleza&amp;query_place_id=ChIJ9SJMB443jgcRdEetXpBPDzc" TargetMode="External"/><Relationship Id="rId42" Type="http://schemas.openxmlformats.org/officeDocument/2006/relationships/hyperlink" Target="https://www.google.com/maps/search/?api=1&amp;query=Sal%C3%A3o%20Ess%C3%AAncia%20da%20Beleza&amp;query_place_id=ChIJd2_rLCE4jgcRvQ9q1hygZn0" TargetMode="External"/><Relationship Id="rId41" Type="http://schemas.openxmlformats.org/officeDocument/2006/relationships/hyperlink" Target="https://www.google.com/maps/search/?api=1&amp;query=Joice%20Marques%20Est%C3%A9tica&amp;query_place_id=ChIJG-q6T9k3jgcRRNyvWslDd0c" TargetMode="External"/><Relationship Id="rId44" Type="http://schemas.openxmlformats.org/officeDocument/2006/relationships/hyperlink" Target="https://www.google.com/maps/search/?api=1&amp;query=Darllene%20Kbelos&amp;query_place_id=ChIJg-WNl1I2jgcRg8cnlkcZG9Y" TargetMode="External"/><Relationship Id="rId43" Type="http://schemas.openxmlformats.org/officeDocument/2006/relationships/hyperlink" Target="https://www.google.com/maps/search/?api=1&amp;query=Diego%20In%C3%A1cio%20hair%20style&amp;query_place_id=ChIJPYQXmcM3jgcRHmKNeFAK3dE" TargetMode="External"/><Relationship Id="rId46" Type="http://schemas.openxmlformats.org/officeDocument/2006/relationships/hyperlink" Target="https://www.google.com/maps/search/?api=1&amp;query=Ellen%20Cabelos&amp;query_place_id=ChIJ70LXLEM2jgcR-I_B0xzM0so" TargetMode="External"/><Relationship Id="rId45" Type="http://schemas.openxmlformats.org/officeDocument/2006/relationships/hyperlink" Target="https://www.google.com/maps/search/?api=1&amp;query=OFICINA%20DO%20CABELO&amp;query_place_id=ChIJSddVsfA3jgcR894VYt-fgCg" TargetMode="External"/><Relationship Id="rId48" Type="http://schemas.openxmlformats.org/officeDocument/2006/relationships/hyperlink" Target="https://www.google.com/maps/search/?api=1&amp;query=Fazenda%20Nova&amp;query_place_id=ChIJf_9XTgC7jwcR53AXFoZKC6g" TargetMode="External"/><Relationship Id="rId47" Type="http://schemas.openxmlformats.org/officeDocument/2006/relationships/hyperlink" Target="https://www.google.com/maps/search/?api=1&amp;query=Sal%C3%A3o%20Status&amp;query_place_id=ChIJK8EGNZk3jgcREwS58GXV55o" TargetMode="External"/><Relationship Id="rId49" Type="http://schemas.openxmlformats.org/officeDocument/2006/relationships/hyperlink" Target="https://www.google.com/maps/search/?api=1&amp;query=Studio%20S%20-%20Shirlaine%20Cabelos&amp;query_place_id=ChIJ22ZlZlg2jgcR5HYvVnm6Wdg" TargetMode="External"/><Relationship Id="rId31" Type="http://schemas.openxmlformats.org/officeDocument/2006/relationships/hyperlink" Target="https://www.google.com/maps/search/?api=1&amp;query=Rafas%20cabelos&amp;query_place_id=ChIJtT1V64E3jgcRuSbVA0HOvLI" TargetMode="External"/><Relationship Id="rId30" Type="http://schemas.openxmlformats.org/officeDocument/2006/relationships/hyperlink" Target="https://www.google.com/maps/search/?api=1&amp;query=Espa%C3%A7o%20Raynara%20Carvalho&amp;query_place_id=ChIJvbBE3mo3jgcRfRIKxo-rZDA" TargetMode="External"/><Relationship Id="rId33" Type="http://schemas.openxmlformats.org/officeDocument/2006/relationships/hyperlink" Target="https://www.google.com/maps/search/?api=1&amp;query=Espa%C3%A7o%20da%20beleza&amp;query_place_id=ChIJSYDWURY3jgcRWjv_LOrbMEY" TargetMode="External"/><Relationship Id="rId32" Type="http://schemas.openxmlformats.org/officeDocument/2006/relationships/hyperlink" Target="https://www.google.com/maps/search/?api=1&amp;query=RM%20Cabelos%20e%20Est%C3%A9tica&amp;query_place_id=ChIJFzUBG483jgcRRIJiQPCPF0c" TargetMode="External"/><Relationship Id="rId35" Type="http://schemas.openxmlformats.org/officeDocument/2006/relationships/hyperlink" Target="https://www.google.com/maps/search/?api=1&amp;query=Sal%C3%A3o%20Espa%C3%A7o%20Beleza%20Mais&amp;query_place_id=ChIJyzMsE1E3jgcR6wzkxyMfAnE" TargetMode="External"/><Relationship Id="rId34" Type="http://schemas.openxmlformats.org/officeDocument/2006/relationships/hyperlink" Target="https://www.google.com/maps/search/?api=1&amp;query=Espa%C3%A7o%20das%20unhas&amp;query_place_id=ChIJ6wRhdn1JjgcRDJ4gnc_6TMo" TargetMode="External"/><Relationship Id="rId37" Type="http://schemas.openxmlformats.org/officeDocument/2006/relationships/hyperlink" Target="https://www.google.com/maps/search/?api=1&amp;query=Sal%C3%A3o%20de%20Beleza%20Kaprich%20%26%20Cia&amp;query_place_id=ChIJjelIpps3jgcR2OFy6r3VW-0" TargetMode="External"/><Relationship Id="rId36" Type="http://schemas.openxmlformats.org/officeDocument/2006/relationships/hyperlink" Target="https://www.google.com/maps/search/?api=1&amp;query=Oficina%20da%20Beleza&amp;query_place_id=ChIJq65DCJc3jgcRx1Af9tMEQAY" TargetMode="External"/><Relationship Id="rId39" Type="http://schemas.openxmlformats.org/officeDocument/2006/relationships/hyperlink" Target="https://www.google.com/maps/search/?api=1&amp;query=Studio%20Fabiana%20Rocha&amp;query_place_id=ChIJqa3aloM3jgcRfNkqXNu5Azc" TargetMode="External"/><Relationship Id="rId38" Type="http://schemas.openxmlformats.org/officeDocument/2006/relationships/hyperlink" Target="https://www.google.com/maps/search/?api=1&amp;query=Vanessa%20colares&amp;query_place_id=ChIJx2bcUrQ3jgcR2AXfopsNQs4" TargetMode="External"/><Relationship Id="rId20" Type="http://schemas.openxmlformats.org/officeDocument/2006/relationships/hyperlink" Target="https://www.google.com/maps/search/?api=1&amp;query=Neta%20Nery%20Studio%20De%20Beleza&amp;query_place_id=ChIJhe9zAn43jgcRRvEqd9LCX-A" TargetMode="External"/><Relationship Id="rId22" Type="http://schemas.openxmlformats.org/officeDocument/2006/relationships/hyperlink" Target="https://www.google.com/maps/search/?api=1&amp;query=Prime%20Concept%20Studio&amp;query_place_id=ChIJP11McIk3jgcRAKlq1A0rMXY" TargetMode="External"/><Relationship Id="rId21" Type="http://schemas.openxmlformats.org/officeDocument/2006/relationships/hyperlink" Target="https://www.google.com/maps/search/?api=1&amp;query=Diely%20cabelos&amp;query_place_id=ChIJbUJpZ2xJjgcReflhuiOT-20" TargetMode="External"/><Relationship Id="rId24" Type="http://schemas.openxmlformats.org/officeDocument/2006/relationships/hyperlink" Target="https://www.google.com/maps/search/?api=1&amp;query=Terapia%20Capilar%20em%20Timon%20-%20Solange%20Cabelos&amp;query_place_id=ChIJdwT4U8Q3jgcRwkACv6LkgJE" TargetMode="External"/><Relationship Id="rId23" Type="http://schemas.openxmlformats.org/officeDocument/2006/relationships/hyperlink" Target="https://www.google.com/maps/search/?api=1&amp;query=Bem%20Bonita%20Cabelos%20%26%20Estetica&amp;query_place_id=ChIJTaPmgV43jgcRo3tSdID6_SI" TargetMode="External"/><Relationship Id="rId409" Type="http://schemas.openxmlformats.org/officeDocument/2006/relationships/hyperlink" Target="https://www.google.com/maps/search/?api=1&amp;query=Tha%C3%ADs%20Gabriela%20Nail%20designer&amp;query_place_id=ChIJ4_uMVTI3jgcRMmM3dm0XsPs" TargetMode="External"/><Relationship Id="rId404" Type="http://schemas.openxmlformats.org/officeDocument/2006/relationships/hyperlink" Target="https://www.google.com/maps/search/?api=1&amp;query=S%C3%A1%20est%C3%A9tica%20e%20beleza&amp;query_place_id=ChIJ3RkpTgE3jgcRSDf3Hpf4lao" TargetMode="External"/><Relationship Id="rId403" Type="http://schemas.openxmlformats.org/officeDocument/2006/relationships/hyperlink" Target="https://www.google.com/maps/search/?api=1&amp;query=Studio%20Raylanne%20Souto&amp;query_place_id=ChIJWSyEMgA3jgcRwoweYqMwVg0" TargetMode="External"/><Relationship Id="rId402" Type="http://schemas.openxmlformats.org/officeDocument/2006/relationships/hyperlink" Target="https://www.google.com/maps/search/?api=1&amp;query=Nandanaildesing&amp;query_place_id=ChIJveAhtXQ3jgcRYilWIBpwf5I" TargetMode="External"/><Relationship Id="rId401" Type="http://schemas.openxmlformats.org/officeDocument/2006/relationships/hyperlink" Target="https://www.google.com/maps/search/?api=1&amp;query=Cilios%20Studio%20da%20Paty%202&amp;query_place_id=ChIJoU-KGAo3jgcRGp0m233iERM" TargetMode="External"/><Relationship Id="rId408" Type="http://schemas.openxmlformats.org/officeDocument/2006/relationships/hyperlink" Target="https://www.google.com/maps/search/?api=1&amp;query=Amparo%20cabelos&amp;query_place_id=ChIJC0QGkEg1jgcRf7MuicdbEM4" TargetMode="External"/><Relationship Id="rId407" Type="http://schemas.openxmlformats.org/officeDocument/2006/relationships/hyperlink" Target="https://www.google.com/maps/search/?api=1&amp;query=Leyla%20cabelos&amp;query_place_id=ChIJWaBQ2Gk3jgcRYm4ovOCXz10" TargetMode="External"/><Relationship Id="rId406" Type="http://schemas.openxmlformats.org/officeDocument/2006/relationships/hyperlink" Target="https://www.google.com/maps/search/?api=1&amp;query=Studio%20Hanna%20beauty&amp;query_place_id=ChIJLTbA59U3jgcRCGAiSbKlAiE" TargetMode="External"/><Relationship Id="rId405" Type="http://schemas.openxmlformats.org/officeDocument/2006/relationships/hyperlink" Target="https://www.google.com/maps/search/?api=1&amp;query=Studio%20Byana%20Santana&amp;query_place_id=ChIJoZfPpXA3jgcRB1TGEcvmytU" TargetMode="External"/><Relationship Id="rId26" Type="http://schemas.openxmlformats.org/officeDocument/2006/relationships/hyperlink" Target="https://www.google.com/maps/search/?api=1&amp;query=Studio%20Dani%20Hair&amp;query_place_id=ChIJD2f7s2c5jgcR5HJxAC--VBM" TargetMode="External"/><Relationship Id="rId25" Type="http://schemas.openxmlformats.org/officeDocument/2006/relationships/hyperlink" Target="https://www.google.com/maps/search/?api=1&amp;query=Studio%20Lina%20Assuncao&amp;query_place_id=ChIJ0dk9erI3jgcRwvri-elrB3Y" TargetMode="External"/><Relationship Id="rId28" Type="http://schemas.openxmlformats.org/officeDocument/2006/relationships/hyperlink" Target="https://www.google.com/maps/search/?api=1&amp;query=Joyce%20K%C2%B4Belos&amp;query_place_id=ChIJWRQdP143jgcR8bfbjcbkPqU" TargetMode="External"/><Relationship Id="rId27" Type="http://schemas.openxmlformats.org/officeDocument/2006/relationships/hyperlink" Target="https://www.google.com/maps/search/?api=1&amp;query=Mara%26Cabelos&amp;query_place_id=ChIJQ57NWB04jgcRcsJ9zdhi6N0" TargetMode="External"/><Relationship Id="rId400" Type="http://schemas.openxmlformats.org/officeDocument/2006/relationships/hyperlink" Target="https://www.google.com/maps/search/?api=1&amp;query=Studio%20Ana%20K%C3%A1ssia%20Coimbra&amp;query_place_id=ChIJPfQJLuU3jgcRRS_2SNcnrdw" TargetMode="External"/><Relationship Id="rId29" Type="http://schemas.openxmlformats.org/officeDocument/2006/relationships/hyperlink" Target="https://www.google.com/maps/search/?api=1&amp;query=Sal%C3%A3o%20Social&amp;query_place_id=ChIJGaqCxLc3jgcRAWM10ZpgQyA" TargetMode="External"/><Relationship Id="rId11" Type="http://schemas.openxmlformats.org/officeDocument/2006/relationships/hyperlink" Target="https://www.google.com/maps/search/?api=1&amp;query=Karynna%20costa%20studio%20de%20beleza&amp;query_place_id=ChIJaxbHvPhHjgcR9ECuLBreAEw" TargetMode="External"/><Relationship Id="rId10" Type="http://schemas.openxmlformats.org/officeDocument/2006/relationships/hyperlink" Target="https://www.google.com/maps/search/?api=1&amp;query=Studio%20Grasy%20Costa&amp;query_place_id=ChIJm5asBg1HjgcRnQ-ReTPkSCc" TargetMode="External"/><Relationship Id="rId13" Type="http://schemas.openxmlformats.org/officeDocument/2006/relationships/hyperlink" Target="https://www.google.com/maps/search/?api=1&amp;query=Espa%C3%A7o%20Laura%20Valentina%20Sal%C3%A3o%20de%20Beleza&amp;query_place_id=ChIJjbMNpGhHjgcRPL5artwVVeU" TargetMode="External"/><Relationship Id="rId12" Type="http://schemas.openxmlformats.org/officeDocument/2006/relationships/hyperlink" Target="https://www.google.com/maps/search/?api=1&amp;query=Studio%20Nathaly%20Nails&amp;query_place_id=ChIJ-9w0x5tHjgcRq4YoG1vX-Go" TargetMode="External"/><Relationship Id="rId15" Type="http://schemas.openxmlformats.org/officeDocument/2006/relationships/hyperlink" Target="https://www.google.com/maps/search/?api=1&amp;query=Est%C3%BAdio%20de%20bela%20e%20ensino&amp;query_place_id=ChIJhb5aQCxHjgcRxHxyyvNMWEE" TargetMode="External"/><Relationship Id="rId14" Type="http://schemas.openxmlformats.org/officeDocument/2006/relationships/hyperlink" Target="https://www.google.com/maps/search/?api=1&amp;query=Studio%20Fontinele%20beleza%20feminina&amp;query_place_id=ChIJmdZTpio3jgcRNdk8Kqg1uRM" TargetMode="External"/><Relationship Id="rId17" Type="http://schemas.openxmlformats.org/officeDocument/2006/relationships/hyperlink" Target="https://www.google.com/maps/search/?api=1&amp;query=Studio%20Scheylla%20Hair&amp;query_place_id=ChIJO-_rz743jgcR7xJHs7ISpzE" TargetMode="External"/><Relationship Id="rId16" Type="http://schemas.openxmlformats.org/officeDocument/2006/relationships/hyperlink" Target="https://www.google.com/maps/search/?api=1&amp;query=Studio%20De%20Beleza%20Emanuele%20Alves&amp;query_place_id=ChIJXbvgridJjgcRIoYINxAnvQw" TargetMode="External"/><Relationship Id="rId19" Type="http://schemas.openxmlformats.org/officeDocument/2006/relationships/hyperlink" Target="https://www.google.com/maps/search/?api=1&amp;query=STUDIO%20ELINE%20RAQUEL&amp;query_place_id=ChIJM0qS5Ms3jgcRG7uKEBakFkY" TargetMode="External"/><Relationship Id="rId18" Type="http://schemas.openxmlformats.org/officeDocument/2006/relationships/hyperlink" Target="https://www.google.com/maps/search/?api=1&amp;query=Studio%20Nohara%20Rocha&amp;query_place_id=ChIJqcfAsM03jgcRK6Ht3hVqwQg" TargetMode="External"/><Relationship Id="rId84" Type="http://schemas.openxmlformats.org/officeDocument/2006/relationships/hyperlink" Target="https://www.google.com/maps/search/?api=1&amp;query=Sal%C3%A3o%20LR%20Beleza%20renovada&amp;query_place_id=ChIJIeuIvPBJjgcRG6ZQjHh1uRo" TargetMode="External"/><Relationship Id="rId83" Type="http://schemas.openxmlformats.org/officeDocument/2006/relationships/hyperlink" Target="https://www.google.com/maps/search/?api=1&amp;query=Studio%20Larissa%20Raquel&amp;query_place_id=ChIJUZrEEetJjgcRC267FKAHGY4" TargetMode="External"/><Relationship Id="rId86" Type="http://schemas.openxmlformats.org/officeDocument/2006/relationships/hyperlink" Target="https://www.google.com/maps/search/?api=1&amp;query=Lais%20Hair&amp;query_place_id=ChIJJTn-oGtJjgcRRgGcSHiR5wM" TargetMode="External"/><Relationship Id="rId85" Type="http://schemas.openxmlformats.org/officeDocument/2006/relationships/hyperlink" Target="https://www.google.com/maps/search/?api=1&amp;query=Rainha%20Das%20Tran%C3%A7as&amp;query_place_id=ChIJ37H_BypJjgcRFXHXdWHWtTQ" TargetMode="External"/><Relationship Id="rId88" Type="http://schemas.openxmlformats.org/officeDocument/2006/relationships/hyperlink" Target="https://www.google.com/maps/search/?api=1&amp;query=Espa%C3%A7o%20Unhas%20e%20Sobrancelhas&amp;query_place_id=ChIJ_dPsb-03jgcR0hib0RLMpmg" TargetMode="External"/><Relationship Id="rId87" Type="http://schemas.openxmlformats.org/officeDocument/2006/relationships/hyperlink" Target="https://www.google.com/maps/search/?api=1&amp;query=Amanda%20Silva%20Studio%20Beauty&amp;query_place_id=ChIJ75RlY2NHjgcRkUhHLvs0T1o" TargetMode="External"/><Relationship Id="rId89" Type="http://schemas.openxmlformats.org/officeDocument/2006/relationships/hyperlink" Target="https://www.google.com/maps/search/?api=1&amp;query=Espa%C3%A7o%20Brenda%20Guedes&amp;query_place_id=ChIJaR0jows3jgcRjB5GvpiB8tE" TargetMode="External"/><Relationship Id="rId80" Type="http://schemas.openxmlformats.org/officeDocument/2006/relationships/hyperlink" Target="https://www.google.com/maps/search/?api=1&amp;query=DAYANE%20LIMA%20Nails%20designer&amp;query_place_id=ChIJ84fc7OtHjgcR1nOH6OzDa-c" TargetMode="External"/><Relationship Id="rId82" Type="http://schemas.openxmlformats.org/officeDocument/2006/relationships/hyperlink" Target="https://www.google.com/maps/search/?api=1&amp;query=Enny%20Ferreira%20Designer&amp;query_place_id=ChIJxVzeUp5HjgcRsQIh0I59Gkg" TargetMode="External"/><Relationship Id="rId81" Type="http://schemas.openxmlformats.org/officeDocument/2006/relationships/hyperlink" Target="https://www.google.com/maps/search/?api=1&amp;query=Susu_tran%C3%A7as&amp;query_place_id=ChIJ9wuzVwBHjgcRs43swNvD1fY" TargetMode="External"/><Relationship Id="rId73" Type="http://schemas.openxmlformats.org/officeDocument/2006/relationships/hyperlink" Target="https://www.google.com/maps/search/?api=1&amp;query=Sal%C3%A3o%20Edna%20Cavalcante%20Hair&amp;query_place_id=ChIJ-90AVAA3jgcRacttWHR2F4E" TargetMode="External"/><Relationship Id="rId72" Type="http://schemas.openxmlformats.org/officeDocument/2006/relationships/hyperlink" Target="https://www.google.com/maps/search/?api=1&amp;query=Espa%C3%A7o%20Taty%20cabelos&amp;query_place_id=ChIJ0zj1vQI3jgcR10DDXgeUm40" TargetMode="External"/><Relationship Id="rId75" Type="http://schemas.openxmlformats.org/officeDocument/2006/relationships/hyperlink" Target="https://www.google.com/maps/search/?api=1&amp;query=Espa%C3%A7o%20kinhadocarmo&amp;query_place_id=ChIJJ4X-MgBJjgcRSAXftj8ifhI" TargetMode="External"/><Relationship Id="rId74" Type="http://schemas.openxmlformats.org/officeDocument/2006/relationships/hyperlink" Target="https://www.google.com/maps/search/?api=1&amp;query=ESPA%C3%87O%20ADRIANA&amp;query_place_id=ChIJIyeal6E3jgcRq9HN95YM5jA" TargetMode="External"/><Relationship Id="rId77" Type="http://schemas.openxmlformats.org/officeDocument/2006/relationships/hyperlink" Target="https://www.google.com/maps/search/?api=1&amp;query=Femme%20Fashion%20Hair%20-%20Timon&amp;query_place_id=ChIJeZAyeus3jgcRMQxkhsbrVBk" TargetMode="External"/><Relationship Id="rId76" Type="http://schemas.openxmlformats.org/officeDocument/2006/relationships/hyperlink" Target="https://www.google.com/maps/search/?api=1&amp;query=Sal%C3%A3o%20Popular&amp;query_place_id=ChIJh0xKCu43jgcRhrHNWNOKphM" TargetMode="External"/><Relationship Id="rId79" Type="http://schemas.openxmlformats.org/officeDocument/2006/relationships/hyperlink" Target="https://www.google.com/maps/search/?api=1&amp;query=Studio%20Naytalla%20Cristina&amp;query_place_id=ChIJUYVBWmk3jgcRkEPpVDGJdu8" TargetMode="External"/><Relationship Id="rId78" Type="http://schemas.openxmlformats.org/officeDocument/2006/relationships/hyperlink" Target="https://www.google.com/maps/search/?api=1&amp;query=Studio%20Samanta%20Val%C3%A9ria&amp;query_place_id=ChIJk71ZHDk3jgcR62rECQGXd1E" TargetMode="External"/><Relationship Id="rId71" Type="http://schemas.openxmlformats.org/officeDocument/2006/relationships/hyperlink" Target="https://www.google.com/maps/search/?api=1&amp;query=Est%C3%BAdio%20K%C3%81TIA%20HAIR&amp;query_place_id=ChIJ7bo6jPI3jgcRx2MuilrZx70" TargetMode="External"/><Relationship Id="rId70" Type="http://schemas.openxmlformats.org/officeDocument/2006/relationships/hyperlink" Target="https://www.google.com/maps/search/?api=1&amp;query=Espa%C3%A7o%20Aline%20Cabelos&amp;query_place_id=ChIJISA9MwA3jgcRqmBL91OlC2w" TargetMode="External"/><Relationship Id="rId62" Type="http://schemas.openxmlformats.org/officeDocument/2006/relationships/hyperlink" Target="https://www.google.com/maps/search/?api=1&amp;query=Espa%C3%A7o%20Fernanda%20Fernandes&amp;query_place_id=ChIJ_wGz6Bs4jgcRRqyb4U0xTZ0" TargetMode="External"/><Relationship Id="rId61" Type="http://schemas.openxmlformats.org/officeDocument/2006/relationships/hyperlink" Target="https://www.google.com/maps/search/?api=1&amp;query=Espa%C3%A7o%20Mulher&amp;query_place_id=ChIJsY_iZIk3jgcRqnmv-ob4I14" TargetMode="External"/><Relationship Id="rId64" Type="http://schemas.openxmlformats.org/officeDocument/2006/relationships/hyperlink" Target="https://www.google.com/maps/search/?api=1&amp;query=ESPA%C3%87O%20GEH&amp;query_place_id=ChIJhegL_t03jgcRhP60S5OjVRs" TargetMode="External"/><Relationship Id="rId63" Type="http://schemas.openxmlformats.org/officeDocument/2006/relationships/hyperlink" Target="https://www.google.com/maps/search/?api=1&amp;query=Studio%20Flavinha%20Cabelos&amp;query_place_id=ChIJ2futrAQ3jgcRA9ekI9Cal_4" TargetMode="External"/><Relationship Id="rId66" Type="http://schemas.openxmlformats.org/officeDocument/2006/relationships/hyperlink" Target="https://www.google.com/maps/search/?api=1&amp;query=Allure%20Espa%C3%A7o%20de%20Beleza%20e%20Bronze&amp;query_place_id=ChIJ5WCqQLk3jgcRrEyK1HyOoFI" TargetMode="External"/><Relationship Id="rId65" Type="http://schemas.openxmlformats.org/officeDocument/2006/relationships/hyperlink" Target="https://www.google.com/maps/search/?api=1&amp;query=Terra%C3%A7o%20da%20Beleza&amp;query_place_id=ChIJFRLidRA3jgcRaStMgrTxPD4" TargetMode="External"/><Relationship Id="rId68" Type="http://schemas.openxmlformats.org/officeDocument/2006/relationships/hyperlink" Target="https://www.google.com/maps/search/?api=1&amp;query=Studio%20de%20beleza%20garothynha&amp;query_place_id=ChIJDS_uvuk3jgcRzI625O7JnLA" TargetMode="External"/><Relationship Id="rId67" Type="http://schemas.openxmlformats.org/officeDocument/2006/relationships/hyperlink" Target="https://www.google.com/maps/search/?api=1&amp;query=Espa%C3%A7o%20Gospel&amp;query_place_id=ChIJD_IQRgA3jgcRgGaOl8tTOKI" TargetMode="External"/><Relationship Id="rId60" Type="http://schemas.openxmlformats.org/officeDocument/2006/relationships/hyperlink" Target="https://www.google.com/maps/search/?api=1&amp;query=Marluce%20Hair&amp;query_place_id=ChIJv2hSKJ03jgcRv-lf-8P81j8" TargetMode="External"/><Relationship Id="rId69" Type="http://schemas.openxmlformats.org/officeDocument/2006/relationships/hyperlink" Target="https://www.google.com/maps/search/?api=1&amp;query=Espa%C3%A7o%20de%20Beleza%20Carmem%20Leal&amp;query_place_id=ChIJEY8zWjQ3jgcRJPAlaRvPT2I" TargetMode="External"/><Relationship Id="rId51" Type="http://schemas.openxmlformats.org/officeDocument/2006/relationships/hyperlink" Target="https://www.google.com/maps/search/?api=1&amp;query=Liso%20Exclusivo%20S.C%20e%20Simone%20Cabelos&amp;query_place_id=ChIJD0XPqUU3jgcRxOzC72-H7Qs" TargetMode="External"/><Relationship Id="rId50" Type="http://schemas.openxmlformats.org/officeDocument/2006/relationships/hyperlink" Target="https://www.google.com/maps/search/?api=1&amp;query=Ds%20studio&amp;query_place_id=ChIJ2QaLeTE3jgcRABz7Xj6ARxs" TargetMode="External"/><Relationship Id="rId53" Type="http://schemas.openxmlformats.org/officeDocument/2006/relationships/hyperlink" Target="https://www.google.com/maps/search/?api=1&amp;query=Raquel%20Guimar%C3%A3es&amp;query_place_id=ChIJvf5fk7Y3jgcREEfEtRS8gjM" TargetMode="External"/><Relationship Id="rId52" Type="http://schemas.openxmlformats.org/officeDocument/2006/relationships/hyperlink" Target="https://www.google.com/maps/search/?api=1&amp;query=Beleza%20Mais%20Brasil&amp;query_place_id=ChIJ381k8uY3jgcRJW0lupuvVEU" TargetMode="External"/><Relationship Id="rId55" Type="http://schemas.openxmlformats.org/officeDocument/2006/relationships/hyperlink" Target="https://www.google.com/maps/search/?api=1&amp;query=Ericka%20Sousa%20-%20Espa%C3%A7o%20de%20Beleza&amp;query_place_id=ChIJOeiT9yZNjgcRqhngiZKXRY4" TargetMode="External"/><Relationship Id="rId54" Type="http://schemas.openxmlformats.org/officeDocument/2006/relationships/hyperlink" Target="https://www.google.com/maps/search/?api=1&amp;query=Espa%C3%A7o%20Super%20Bonita&amp;query_place_id=ChIJ6U2bcAA3jgcRttAhftn-bII" TargetMode="External"/><Relationship Id="rId57" Type="http://schemas.openxmlformats.org/officeDocument/2006/relationships/hyperlink" Target="https://www.google.com/maps/search/?api=1&amp;query=Sal%C3%A3o%20Flex%20Santos&amp;query_place_id=ChIJxRkJQsY3jgcREAlFBTKnnLY" TargetMode="External"/><Relationship Id="rId56" Type="http://schemas.openxmlformats.org/officeDocument/2006/relationships/hyperlink" Target="https://www.google.com/maps/search/?api=1&amp;query=Leidiane%20nails%20Desagner&amp;query_place_id=ChIJeQfENQC1jwcRSbRWx5sKmt0" TargetMode="External"/><Relationship Id="rId59" Type="http://schemas.openxmlformats.org/officeDocument/2006/relationships/hyperlink" Target="https://www.google.com/maps/search/?api=1&amp;query=Espa%C3%A7o%20Raimunda%20Dias&amp;query_place_id=ChIJZ8ThAT83jgcRQKxeRj8TNv0" TargetMode="External"/><Relationship Id="rId58" Type="http://schemas.openxmlformats.org/officeDocument/2006/relationships/hyperlink" Target="https://www.google.com/maps/search/?api=1&amp;query=Studio%20Maryze%20K'BELOS&amp;query_place_id=ChIJc9oHXTk3jgcRIbWWwZKmHwA" TargetMode="External"/><Relationship Id="rId107" Type="http://schemas.openxmlformats.org/officeDocument/2006/relationships/hyperlink" Target="https://www.google.com/maps/search/?api=1&amp;query=ST%C3%9ADIO%20AYLLA%20ASSUN%C3%87%C3%83O&amp;query_place_id=ChIJLwk_N4I3jgcRyBJPGiBmmFg" TargetMode="External"/><Relationship Id="rId228" Type="http://schemas.openxmlformats.org/officeDocument/2006/relationships/hyperlink" Target="https://www.google.com/maps/search/?api=1&amp;query=Dra.%20Rayanne%20Lima&amp;query_place_id=ChIJT-AxK2s3jgcRPpmgsY4lTuo" TargetMode="External"/><Relationship Id="rId349" Type="http://schemas.openxmlformats.org/officeDocument/2006/relationships/hyperlink" Target="https://www.google.com/maps/search/?api=1&amp;query=Concei%C3%A7%C3%A3o%20Siqueira%20Nail%20Designer&amp;query_place_id=ChIJL4lm17M3jgcR-mSwQ9CiA5Q" TargetMode="External"/><Relationship Id="rId106" Type="http://schemas.openxmlformats.org/officeDocument/2006/relationships/hyperlink" Target="https://www.google.com/maps/search/?api=1&amp;query=Espa%C3%A7o%20Magnifica&amp;query_place_id=ChIJSZaJOo43jgcRhsFQDFZu7h4" TargetMode="External"/><Relationship Id="rId227" Type="http://schemas.openxmlformats.org/officeDocument/2006/relationships/hyperlink" Target="https://www.google.com/maps/search/?api=1&amp;query=Lidia%20Monteiro%20Est%C3%A9tica&amp;query_place_id=ChIJb__lQuU3jgcRRScdOrIDf3E" TargetMode="External"/><Relationship Id="rId348" Type="http://schemas.openxmlformats.org/officeDocument/2006/relationships/hyperlink" Target="https://www.google.com/maps/search/?api=1&amp;query=LC%20Beaty%20Designer&amp;query_place_id=ChIJ--RtBtc3jgcRIh0PKRofP0U" TargetMode="External"/><Relationship Id="rId469" Type="http://schemas.openxmlformats.org/officeDocument/2006/relationships/hyperlink" Target="https://www.google.com/maps/search/?api=1&amp;query=Ambulat%C3%B3rio%20Santa%20F%C3%A9&amp;query_place_id=ChIJW4EY7KE3jgcRyMewz_kZQGA" TargetMode="External"/><Relationship Id="rId105" Type="http://schemas.openxmlformats.org/officeDocument/2006/relationships/hyperlink" Target="https://www.google.com/maps/search/?api=1&amp;query=Studio%20Carla%20Hair&amp;query_place_id=ChIJeXDqqRA4jgcRgWI8r2qu3gE" TargetMode="External"/><Relationship Id="rId226" Type="http://schemas.openxmlformats.org/officeDocument/2006/relationships/hyperlink" Target="https://www.google.com/maps/search/?api=1&amp;query=Extens%C3%A3o%20de%20Cilios%20e%20Sobrancelhas%20Timon%20-%20Studio%20Sara%20Gon%C3%A7alves&amp;query_place_id=ChIJJUwQ89M3jgcRU6MjzPNuWDo" TargetMode="External"/><Relationship Id="rId347" Type="http://schemas.openxmlformats.org/officeDocument/2006/relationships/hyperlink" Target="https://www.google.com/maps/search/?api=1&amp;query=Pamella%20Nails%20Artes&amp;query_place_id=ChIJVcYwYgA3jgcRPWKEJfPvulM" TargetMode="External"/><Relationship Id="rId468" Type="http://schemas.openxmlformats.org/officeDocument/2006/relationships/hyperlink" Target="https://www.google.com/maps/search/?api=1&amp;query=DROGASIL%2024%20HORAS%20TIMON%202&amp;query_place_id=ChIJv8zNzp43jgcRH5YLV1mQYI8" TargetMode="External"/><Relationship Id="rId104" Type="http://schemas.openxmlformats.org/officeDocument/2006/relationships/hyperlink" Target="https://www.google.com/maps/search/?api=1&amp;query=Bronze%20Della's%20-Bronzeamento%20%26%20est%C3%A9tica&amp;query_place_id=ChIJ4XKKSs83jgcRgxwYi_VXqDI" TargetMode="External"/><Relationship Id="rId225" Type="http://schemas.openxmlformats.org/officeDocument/2006/relationships/hyperlink" Target="https://www.google.com/maps/search/?api=1&amp;query=Rg%20Studio%20-%20C%C3%ADlios%20e%20sobrancelhas&amp;query_place_id=ChIJ4Ww_fuUxjgcRcT3ZZI-wuP8" TargetMode="External"/><Relationship Id="rId346" Type="http://schemas.openxmlformats.org/officeDocument/2006/relationships/hyperlink" Target="https://www.google.com/maps/search/?api=1&amp;query=Samara%20Ara%C3%BAjo%20Nail%20Designer&amp;query_place_id=ChIJ933si6xJjgcRb9lMwN_JOj4" TargetMode="External"/><Relationship Id="rId467" Type="http://schemas.openxmlformats.org/officeDocument/2006/relationships/hyperlink" Target="https://www.google.com/maps/search/?api=1&amp;query=Centro%20M%C3%A9dico%20Viver&amp;query_place_id=ChIJNWcUNp83jgcRK7qvzHmbus0" TargetMode="External"/><Relationship Id="rId109" Type="http://schemas.openxmlformats.org/officeDocument/2006/relationships/hyperlink" Target="https://www.google.com/maps/search/?api=1&amp;query=Salao%20Cabelos%20e%20Beleza&amp;query_place_id=ChIJ30Y3jzg3jgcReK8OIRnI0vU" TargetMode="External"/><Relationship Id="rId108" Type="http://schemas.openxmlformats.org/officeDocument/2006/relationships/hyperlink" Target="https://www.google.com/maps/search/?api=1&amp;query=%C3%82ngela%20Sousa%20Beauty%20Studio&amp;query_place_id=ChIJG6pBNHU3jgcR0IredBAT4Io" TargetMode="External"/><Relationship Id="rId229" Type="http://schemas.openxmlformats.org/officeDocument/2006/relationships/hyperlink" Target="https://www.google.com/maps/search/?api=1&amp;query=Valteisa%20torres%20sobrancelha&amp;query_place_id=ChIJRYrTFQA3jgcRrKb4WZatqzE" TargetMode="External"/><Relationship Id="rId220" Type="http://schemas.openxmlformats.org/officeDocument/2006/relationships/hyperlink" Target="https://www.google.com/maps/search/?api=1&amp;query=centrodebelezaglyrocha&amp;query_place_id=ChIJG2K80JI3jgcRJ0SgPsUE14A" TargetMode="External"/><Relationship Id="rId341" Type="http://schemas.openxmlformats.org/officeDocument/2006/relationships/hyperlink" Target="https://www.google.com/maps/search/?api=1&amp;query=LM_esmalteria&amp;query_place_id=ChIJPfwDMfQ3jgcRJ9b5jPpb-fo" TargetMode="External"/><Relationship Id="rId462" Type="http://schemas.openxmlformats.org/officeDocument/2006/relationships/hyperlink" Target="https://www.google.com/maps/search/?api=1&amp;query=HINODE%3A%20FRANCISCA%20MATOS%20(CONSULTORA%2FVENDEDORA)%20HINODE%3A%20CELIO%20MATOS%20(consultor%2Fvendedor)&amp;query_place_id=ChIJJ684VH45jgcRypCEjeZWJb0" TargetMode="External"/><Relationship Id="rId340" Type="http://schemas.openxmlformats.org/officeDocument/2006/relationships/hyperlink" Target="https://www.google.com/maps/search/?api=1&amp;query=Studio%20Fran%20Rocha&amp;query_place_id=ChIJkYPZCgBJjgcR0NguP8v1Lno" TargetMode="External"/><Relationship Id="rId461" Type="http://schemas.openxmlformats.org/officeDocument/2006/relationships/hyperlink" Target="https://www.google.com/maps/search/?api=1&amp;query=Associa%C3%A7%C3%A3o%20Saraiva%20Jiu-Jitsu&amp;query_place_id=ChIJvegkAAA3jgcR6xpNx0ECjlg" TargetMode="External"/><Relationship Id="rId460" Type="http://schemas.openxmlformats.org/officeDocument/2006/relationships/hyperlink" Target="https://www.google.com/maps/search/?api=1&amp;query=CLIDENTI%20-%20Cl%C3%ADnica%20Dent%C3%A1ria%20de%20Timon&amp;query_place_id=ChIJebjyBgO5jAcR0nLXyIvU6zQ" TargetMode="External"/><Relationship Id="rId103" Type="http://schemas.openxmlformats.org/officeDocument/2006/relationships/hyperlink" Target="https://www.google.com/maps/search/?api=1&amp;query=Studio%20Viana%20Cabelos&amp;query_place_id=ChIJOVOOlqA3jgcRTD2g4FYu_lQ" TargetMode="External"/><Relationship Id="rId224" Type="http://schemas.openxmlformats.org/officeDocument/2006/relationships/hyperlink" Target="https://www.google.com/maps/search/?api=1&amp;query=Studio%20Wandr%C3%A9a%20Katherine&amp;query_place_id=ChIJMSf7pv03jgcRWrACRG3Q5b0" TargetMode="External"/><Relationship Id="rId345" Type="http://schemas.openxmlformats.org/officeDocument/2006/relationships/hyperlink" Target="https://www.google.com/maps/search/?api=1&amp;query=Resid%C3%AAncia%20COCAIS&amp;query_place_id=ChIJfazUamhJjgcRSEOPoZVYvQ0" TargetMode="External"/><Relationship Id="rId466" Type="http://schemas.openxmlformats.org/officeDocument/2006/relationships/hyperlink" Target="https://www.google.com/maps/search/?api=1&amp;query=%C3%93tica%20Mercad%C3%A3o&amp;query_place_id=ChIJM-NrJQc3jgcRapxdIyKFtKg" TargetMode="External"/><Relationship Id="rId102" Type="http://schemas.openxmlformats.org/officeDocument/2006/relationships/hyperlink" Target="https://www.google.com/maps/search/?api=1&amp;query=Merm%C3%A3%20Barbearia%20e%20Sal%C3%A3o&amp;query_place_id=ChIJZZyIuZQ3jgcRFUTFCIA9Ixc" TargetMode="External"/><Relationship Id="rId223" Type="http://schemas.openxmlformats.org/officeDocument/2006/relationships/hyperlink" Target="https://www.google.com/maps/search/?api=1&amp;query=Studio%20Tchesca%20Silva&amp;query_place_id=ChIJAxXi6yQ3jgcR9iGG7N-hahY" TargetMode="External"/><Relationship Id="rId344" Type="http://schemas.openxmlformats.org/officeDocument/2006/relationships/hyperlink" Target="https://www.google.com/maps/search/?api=1&amp;query=Elizama%20%7C%20Manicure%20e%20Pedicure&amp;query_place_id=ChIJn15Utqk3jgcRiLk7H187P6M" TargetMode="External"/><Relationship Id="rId465" Type="http://schemas.openxmlformats.org/officeDocument/2006/relationships/hyperlink" Target="https://www.google.com/maps/search/?api=1&amp;query=Teresina%20Centro&amp;query_place_id=ChIJHfH7iJ83jgcR3vnExsNzvMk" TargetMode="External"/><Relationship Id="rId101" Type="http://schemas.openxmlformats.org/officeDocument/2006/relationships/hyperlink" Target="https://www.google.com/maps/search/?api=1&amp;query=Sal%C3%A3o%20vip&amp;query_place_id=ChIJKbAFO3c5jgcRnlh--maiYT4" TargetMode="External"/><Relationship Id="rId222" Type="http://schemas.openxmlformats.org/officeDocument/2006/relationships/hyperlink" Target="https://www.google.com/maps/search/?api=1&amp;query=Studio%20Erika%20Santiago&amp;query_place_id=ChIJw3Nph_k3jgcRMpY3R68S2uY" TargetMode="External"/><Relationship Id="rId343" Type="http://schemas.openxmlformats.org/officeDocument/2006/relationships/hyperlink" Target="https://www.google.com/maps/search/?api=1&amp;query=Studio%20Sandielly%20Santos&amp;query_place_id=ChIJ9TmSbgA3jgcRlcD0i3JndbY" TargetMode="External"/><Relationship Id="rId464" Type="http://schemas.openxmlformats.org/officeDocument/2006/relationships/hyperlink" Target="https://www.google.com/maps/search/?api=1&amp;query=Tany%20%C3%93tica&amp;query_place_id=ChIJGXP_fNg5jgcR11zvTQbpJj0" TargetMode="External"/><Relationship Id="rId100" Type="http://schemas.openxmlformats.org/officeDocument/2006/relationships/hyperlink" Target="https://www.google.com/maps/search/?api=1&amp;query=AC%20Studio&amp;query_place_id=ChIJH9Hp04g3jgcRt-N_SxY0n6U" TargetMode="External"/><Relationship Id="rId221" Type="http://schemas.openxmlformats.org/officeDocument/2006/relationships/hyperlink" Target="https://www.google.com/maps/search/?api=1&amp;query=Studio%20paix%C3%A3o&amp;query_place_id=ChIJoZPGRQA3jgcRmimDRohe5Fg" TargetMode="External"/><Relationship Id="rId342" Type="http://schemas.openxmlformats.org/officeDocument/2006/relationships/hyperlink" Target="https://www.google.com/maps/search/?api=1&amp;query=J%C3%B4h&amp;query_place_id=ChIJQ93uhlE3jgcROKpkLLtsBi8" TargetMode="External"/><Relationship Id="rId463" Type="http://schemas.openxmlformats.org/officeDocument/2006/relationships/hyperlink" Target="https://www.google.com/maps/search/?api=1&amp;query=Academia%20Club%20Fitness&amp;query_place_id=ChIJCbivy6E3jgcRiZzGVpQGSSs" TargetMode="External"/><Relationship Id="rId217" Type="http://schemas.openxmlformats.org/officeDocument/2006/relationships/hyperlink" Target="https://www.google.com/maps/search/?api=1&amp;query=Sal%C3%A3o%20VAVA&amp;query_place_id=ChIJe743Tcw3jgcR0TzPYyTbt8Q" TargetMode="External"/><Relationship Id="rId338" Type="http://schemas.openxmlformats.org/officeDocument/2006/relationships/hyperlink" Target="https://www.google.com/maps/search/?api=1&amp;query=Jos%C3%A9lia%20Lima%20Manicure%20e%20Pedicure&amp;query_place_id=ChIJvbG7EGw3jgcRaEuNTqX2mpY" TargetMode="External"/><Relationship Id="rId459" Type="http://schemas.openxmlformats.org/officeDocument/2006/relationships/hyperlink" Target="https://www.google.com/maps/search/?api=1&amp;query=JAQUELINE%20LESSA&amp;query_place_id=ChIJOcOYLWRtPWQRUVYPpkGDQZ4" TargetMode="External"/><Relationship Id="rId216" Type="http://schemas.openxmlformats.org/officeDocument/2006/relationships/hyperlink" Target="https://www.google.com/maps/search/?api=1&amp;query=Sal%C3%A3o%20REAL&amp;query_place_id=ChIJz4c2aAo3jgcRJk1Cj8qtHEA" TargetMode="External"/><Relationship Id="rId337" Type="http://schemas.openxmlformats.org/officeDocument/2006/relationships/hyperlink" Target="https://www.google.com/maps/search/?api=1&amp;query=DepilFit&amp;query_place_id=ChIJjYTuO5Y3jgcRHGNOO4wNVvE" TargetMode="External"/><Relationship Id="rId458" Type="http://schemas.openxmlformats.org/officeDocument/2006/relationships/hyperlink" Target="https://www.google.com/maps/search/?api=1&amp;query=Denis%20Barbearia&amp;query_place_id=ChIJge4EzUs3jgcRsvig_bZ9TlM" TargetMode="External"/><Relationship Id="rId215" Type="http://schemas.openxmlformats.org/officeDocument/2006/relationships/hyperlink" Target="https://www.google.com/maps/search/?api=1&amp;query=Sal%C3%A3o%20Lenny%20Styllus%20Cabelos%20%26%20Cia&amp;query_place_id=ChIJYVsvB7I3jgcRgxKx_tw4jfY" TargetMode="External"/><Relationship Id="rId336" Type="http://schemas.openxmlformats.org/officeDocument/2006/relationships/hyperlink" Target="https://www.google.com/maps/search/?api=1&amp;query=Evelyn%20manicure&amp;query_place_id=ChIJrVXzdHBJjgcRExbGzczMxaQ" TargetMode="External"/><Relationship Id="rId457" Type="http://schemas.openxmlformats.org/officeDocument/2006/relationships/hyperlink" Target="https://www.google.com/maps/search/?api=1&amp;query=Barbearia%20O%20Foco%20%C3%89%20O%20Corte&amp;query_place_id=ChIJndGxghw3jgcRgap2h40ZSsI" TargetMode="External"/><Relationship Id="rId214" Type="http://schemas.openxmlformats.org/officeDocument/2006/relationships/hyperlink" Target="https://www.google.com/maps/search/?api=1&amp;query=Sal%C3%A3o%20Jeito%20de%20Mulher%20-%20Linda%20e%20Charmosa&amp;query_place_id=ChIJl5GKWtU3jgcRl7nGkd_Qos8" TargetMode="External"/><Relationship Id="rId335" Type="http://schemas.openxmlformats.org/officeDocument/2006/relationships/hyperlink" Target="https://www.google.com/maps/search/?api=1&amp;query=Cynara%20nails&amp;query_place_id=ChIJUYMbEzFJjgcRGgo4mm5UNz4" TargetMode="External"/><Relationship Id="rId456" Type="http://schemas.openxmlformats.org/officeDocument/2006/relationships/hyperlink" Target="https://www.google.com/maps/search/?api=1&amp;query=Clinica%20Ciclo%20Sa%C3%BAde%20da%20Mulher&amp;query_place_id=ChIJr-OBd9M3jgcRHLFevtMKWYw" TargetMode="External"/><Relationship Id="rId219" Type="http://schemas.openxmlformats.org/officeDocument/2006/relationships/hyperlink" Target="https://www.google.com/maps/search/?api=1&amp;query=Espa%C3%A7o%20Barbearia&amp;query_place_id=ChIJ551gi7A3jgcRRB-s61sOtvM" TargetMode="External"/><Relationship Id="rId218" Type="http://schemas.openxmlformats.org/officeDocument/2006/relationships/hyperlink" Target="https://www.google.com/maps/search/?api=1&amp;query=Studio%20Neyde%20Cabelos&amp;query_place_id=ChIJhdkibAA3jgcRjsVikknk2cI" TargetMode="External"/><Relationship Id="rId339" Type="http://schemas.openxmlformats.org/officeDocument/2006/relationships/hyperlink" Target="https://www.google.com/maps/search/?api=1&amp;query=Sobrancelhas%20Design%20Nay&amp;query_place_id=ChIJr4kU4sE3jgcRboG0xNiGWAw" TargetMode="External"/><Relationship Id="rId330" Type="http://schemas.openxmlformats.org/officeDocument/2006/relationships/hyperlink" Target="https://www.google.com/maps/search/?api=1&amp;query=Yanna%20nail%20designer&amp;query_place_id=ChIJXev6mwE3jgcRsqksCA4uygI" TargetMode="External"/><Relationship Id="rId451" Type="http://schemas.openxmlformats.org/officeDocument/2006/relationships/hyperlink" Target="https://www.google.com/maps/search/?api=1&amp;query=Yara%20Carvalho%20Cosm%C3%A9ticos%20%26%20Perfumaria&amp;query_place_id=ChIJP5em1RQ3jgcRI_lQCqC7w9o" TargetMode="External"/><Relationship Id="rId450" Type="http://schemas.openxmlformats.org/officeDocument/2006/relationships/hyperlink" Target="https://www.google.com/maps/search/?api=1&amp;query=Divare%20Cosm%C3%A9ticos&amp;query_place_id=ChIJSyZrt3g3jgcR2q-CunApX4I" TargetMode="External"/><Relationship Id="rId213" Type="http://schemas.openxmlformats.org/officeDocument/2006/relationships/hyperlink" Target="https://www.google.com/maps/search/?api=1&amp;query=Studio%20Deborah%20Farias&amp;query_place_id=ChIJpQsCQAA3jgcRZ6DdRu8eDVo" TargetMode="External"/><Relationship Id="rId334" Type="http://schemas.openxmlformats.org/officeDocument/2006/relationships/hyperlink" Target="https://www.google.com/maps/search/?api=1&amp;query=Lm_esmalteria&amp;query_place_id=ChIJEYNVdgA3jgcRRDzI_jcyDzg" TargetMode="External"/><Relationship Id="rId455" Type="http://schemas.openxmlformats.org/officeDocument/2006/relationships/hyperlink" Target="https://www.google.com/maps/search/?api=1&amp;query=Salve%20Barbearia%20-%20Timon&amp;query_place_id=ChIJeSrQlY83jgcRdvXX1gOGgV8" TargetMode="External"/><Relationship Id="rId212" Type="http://schemas.openxmlformats.org/officeDocument/2006/relationships/hyperlink" Target="https://www.google.com/maps/search/?api=1&amp;query=Studio%20Vit%C3%B3ria%20Rebeca&amp;query_place_id=ChIJ_djnHwA3jgcRVIjpxMsWrj8" TargetMode="External"/><Relationship Id="rId333" Type="http://schemas.openxmlformats.org/officeDocument/2006/relationships/hyperlink" Target="https://www.google.com/maps/search/?api=1&amp;query=Casa%20dallu&amp;query_place_id=ChIJqT1obAA3jgcR18_fPJz6lRc" TargetMode="External"/><Relationship Id="rId454" Type="http://schemas.openxmlformats.org/officeDocument/2006/relationships/hyperlink" Target="https://www.google.com/maps/search/?api=1&amp;query=HC%20barbearia&amp;query_place_id=ChIJjS99iP03jgcREW5Jnf3qu_I" TargetMode="External"/><Relationship Id="rId211" Type="http://schemas.openxmlformats.org/officeDocument/2006/relationships/hyperlink" Target="https://www.google.com/maps/search/?api=1&amp;query=Espa%C3%A7o%20Mulher&amp;query_place_id=ChIJ-dmoX8w3jgcR1kXc0KAfmNg" TargetMode="External"/><Relationship Id="rId332" Type="http://schemas.openxmlformats.org/officeDocument/2006/relationships/hyperlink" Target="https://www.google.com/maps/search/?api=1&amp;query=Cl%C3%A1udia%20Maria%20Manicure%2C%20P%C3%A9dicure%20e%20Nails%20Designer&amp;query_place_id=ChIJbX1zwbk3jgcRPNvAGQjlPWE" TargetMode="External"/><Relationship Id="rId453" Type="http://schemas.openxmlformats.org/officeDocument/2006/relationships/hyperlink" Target="https://www.google.com/maps/search/?api=1&amp;query=Master%20Cosm%C3%A9ticos&amp;query_place_id=ChIJG88lKcI3jgcRXsQ_s0wD2iU" TargetMode="External"/><Relationship Id="rId210" Type="http://schemas.openxmlformats.org/officeDocument/2006/relationships/hyperlink" Target="https://www.google.com/maps/search/?api=1&amp;query=Espa%C3%A7o%20Angel&amp;query_place_id=ChIJWVpsXPk3jgcRbuXUsG8EWmw" TargetMode="External"/><Relationship Id="rId331" Type="http://schemas.openxmlformats.org/officeDocument/2006/relationships/hyperlink" Target="https://www.google.com/maps/search/?api=1&amp;query=Manicure%20E%20P%C3%A9%20decure%20K%C3%A1tia&amp;query_place_id=ChIJ_VGSzWk3jgcRVTkzSOluPEs" TargetMode="External"/><Relationship Id="rId452" Type="http://schemas.openxmlformats.org/officeDocument/2006/relationships/hyperlink" Target="https://www.google.com/maps/search/?api=1&amp;query=Belo%20Visual&amp;query_place_id=ChIJ-w-ztJ43jgcRrqTPbb1X5o0" TargetMode="External"/><Relationship Id="rId370" Type="http://schemas.openxmlformats.org/officeDocument/2006/relationships/hyperlink" Target="https://www.google.com/maps/search/?api=1&amp;query=Fiorellas%20Beauty&amp;query_place_id=ChIJrQgmnvU3jgcR4UXXPgbEM0g" TargetMode="External"/><Relationship Id="rId129" Type="http://schemas.openxmlformats.org/officeDocument/2006/relationships/hyperlink" Target="https://www.google.com/maps/search/?api=1&amp;query=Girlene%20beauty%20Studio&amp;query_place_id=ChIJ0dMu6H83jgcRFfJJcFrO_ME" TargetMode="External"/><Relationship Id="rId128" Type="http://schemas.openxmlformats.org/officeDocument/2006/relationships/hyperlink" Target="https://www.google.com/maps/search/?api=1&amp;query=Studio%20Lenna%20Carvalho&amp;query_place_id=ChIJkxnrAlw2jgcR2cM1RghDHM0" TargetMode="External"/><Relationship Id="rId249" Type="http://schemas.openxmlformats.org/officeDocument/2006/relationships/hyperlink" Target="https://www.google.com/maps/search/?api=1&amp;query=Studio%20jhacy%20Unhas&amp;query_place_id=ChIJ-wXpCWM3jgcRknV0ueEWU-4" TargetMode="External"/><Relationship Id="rId127" Type="http://schemas.openxmlformats.org/officeDocument/2006/relationships/hyperlink" Target="https://www.google.com/maps/search/?api=1&amp;query=Erika%20Rayane%20Beauty%20Studio&amp;query_place_id=ChIJUSil6443jgcRwfTNY-3ptJs" TargetMode="External"/><Relationship Id="rId248" Type="http://schemas.openxmlformats.org/officeDocument/2006/relationships/hyperlink" Target="https://www.google.com/maps/search/?api=1&amp;query=Studio%20Leandro%20Portillo&amp;query_place_id=ChIJoyVAi1k1jgcR47aTAUVyypc" TargetMode="External"/><Relationship Id="rId369" Type="http://schemas.openxmlformats.org/officeDocument/2006/relationships/hyperlink" Target="https://www.google.com/maps/search/?api=1&amp;query=Studio%20Pamela%20Nunes&amp;query_place_id=ChIJSTaDnTY3jgcRbcXAX-iQ-JU" TargetMode="External"/><Relationship Id="rId126" Type="http://schemas.openxmlformats.org/officeDocument/2006/relationships/hyperlink" Target="https://www.google.com/maps/search/?api=1&amp;query=Aline%20Carvalho%20Beauty&amp;query_place_id=ChIJO1kkcdk3jgcR8_kMiDOFLsM" TargetMode="External"/><Relationship Id="rId247" Type="http://schemas.openxmlformats.org/officeDocument/2006/relationships/hyperlink" Target="https://www.google.com/maps/search/?api=1&amp;query=Studio%20Gizeuda%20Silva&amp;query_place_id=ChIJCQMKnJA3jgcRlWfvD18apeU" TargetMode="External"/><Relationship Id="rId368" Type="http://schemas.openxmlformats.org/officeDocument/2006/relationships/hyperlink" Target="https://www.google.com/maps/search/?api=1&amp;query=Marsala%20BEAUTY&amp;query_place_id=ChIJubtpeqQ3jgcRVzHxaBLAGps" TargetMode="External"/><Relationship Id="rId121" Type="http://schemas.openxmlformats.org/officeDocument/2006/relationships/hyperlink" Target="https://www.google.com/maps/search/?api=1&amp;query=Studio%20Via%20Bella&amp;query_place_id=ChIJQ0QT55s5jgcRkAekoaEuF8k" TargetMode="External"/><Relationship Id="rId242" Type="http://schemas.openxmlformats.org/officeDocument/2006/relationships/hyperlink" Target="https://www.google.com/maps/search/?api=1&amp;query=Carlinha%20Cabelo's&amp;query_place_id=ChIJc-YsMKA3jgcRkALfdU3KmSo" TargetMode="External"/><Relationship Id="rId363" Type="http://schemas.openxmlformats.org/officeDocument/2006/relationships/hyperlink" Target="https://www.google.com/maps/search/?api=1&amp;query=Kelson%20Beauty%20Hair&amp;query_place_id=ChIJN3KfdQY3jgcReRChDNxcajo" TargetMode="External"/><Relationship Id="rId120" Type="http://schemas.openxmlformats.org/officeDocument/2006/relationships/hyperlink" Target="https://www.google.com/maps/search/?api=1&amp;query=Katriely%20Studio%202&amp;query_place_id=ChIJ6QNxQwA3jgcRpW5zZEbo3Lo" TargetMode="External"/><Relationship Id="rId241" Type="http://schemas.openxmlformats.org/officeDocument/2006/relationships/hyperlink" Target="https://www.google.com/maps/search/?api=1&amp;query=Soberana%20Beauty&amp;query_place_id=ChIJw23yIqg3jgcRc7PK6XD4XNw" TargetMode="External"/><Relationship Id="rId362" Type="http://schemas.openxmlformats.org/officeDocument/2006/relationships/hyperlink" Target="https://www.google.com/maps/search/?api=1&amp;query=Studio%20Josania%20Bezerra&amp;query_place_id=ChIJd4CPCZA3jgcRfNRvtL7oCEA" TargetMode="External"/><Relationship Id="rId240" Type="http://schemas.openxmlformats.org/officeDocument/2006/relationships/hyperlink" Target="https://www.google.com/maps/search/?api=1&amp;query=RK%20Cabelos&amp;query_place_id=ChIJ3Tq3DJ43jgcRAJ42OUYuXUM" TargetMode="External"/><Relationship Id="rId361" Type="http://schemas.openxmlformats.org/officeDocument/2006/relationships/hyperlink" Target="https://www.google.com/maps/search/?api=1&amp;query=Studio%20Mariellyportela&amp;query_place_id=ChIJ9QvmTAA3jgcR0cRnSYg6Luw" TargetMode="External"/><Relationship Id="rId360" Type="http://schemas.openxmlformats.org/officeDocument/2006/relationships/hyperlink" Target="https://www.google.com/maps/search/?api=1&amp;query=Jenyffer%20Fernanda%20studio&amp;query_place_id=ChIJOyI7RAA3jgcRsKoJOM9FxXA" TargetMode="External"/><Relationship Id="rId125" Type="http://schemas.openxmlformats.org/officeDocument/2006/relationships/hyperlink" Target="https://www.google.com/maps/search/?api=1&amp;query=Spa%C3%A7o%20Bellita%20Est%C3%A9tica%20Cosm%C3%A9ticos%20e%20cabelo&amp;query_place_id=ChIJxWdRXAk3jgcRSuGteNJoAQs" TargetMode="External"/><Relationship Id="rId246" Type="http://schemas.openxmlformats.org/officeDocument/2006/relationships/hyperlink" Target="https://www.google.com/maps/search/?api=1&amp;query=Estudio%20D&amp;query_place_id=ChIJwTJDsy83jgcRcs3PCAvze3w" TargetMode="External"/><Relationship Id="rId367" Type="http://schemas.openxmlformats.org/officeDocument/2006/relationships/hyperlink" Target="https://www.google.com/maps/search/?api=1&amp;query=Studio%20Rayane%20Binacet&amp;query_place_id=ChIJ79oCTo03jgcRmTOFfiCmyBc" TargetMode="External"/><Relationship Id="rId124" Type="http://schemas.openxmlformats.org/officeDocument/2006/relationships/hyperlink" Target="https://www.google.com/maps/search/?api=1&amp;query=Jordania%20Soares%20Studio%20de%20Beleza&amp;query_place_id=ChIJv3UcrSA3jgcRZe088DChxmA" TargetMode="External"/><Relationship Id="rId245" Type="http://schemas.openxmlformats.org/officeDocument/2006/relationships/hyperlink" Target="https://www.google.com/maps/search/?api=1&amp;query=Amanda%20Melo%20Studio%20Hair&amp;query_place_id=ChIJz9DiGwA3jgcRPzE2EX2267k" TargetMode="External"/><Relationship Id="rId366" Type="http://schemas.openxmlformats.org/officeDocument/2006/relationships/hyperlink" Target="https://www.google.com/maps/search/?api=1&amp;query=AMO%20BRONZE%20(BRONZEAMENTO%20%26%20BELEZA)&amp;query_place_id=ChIJycc03Fg3jgcRhuW3agHeu5k" TargetMode="External"/><Relationship Id="rId123" Type="http://schemas.openxmlformats.org/officeDocument/2006/relationships/hyperlink" Target="https://www.google.com/maps/search/?api=1&amp;query=Adriana%20Cabelos&amp;query_place_id=ChIJ-2m3nIM3jgcR65OKqGTPo5M" TargetMode="External"/><Relationship Id="rId244" Type="http://schemas.openxmlformats.org/officeDocument/2006/relationships/hyperlink" Target="https://www.google.com/maps/search/?api=1&amp;query=Thayse%20Silva%20Nail%20Designer&amp;query_place_id=ChIJWXfDfdk3jgcReTqlJaQik0U" TargetMode="External"/><Relationship Id="rId365" Type="http://schemas.openxmlformats.org/officeDocument/2006/relationships/hyperlink" Target="https://www.google.com/maps/search/?api=1&amp;query=Studio%20Gabi%20Alves&amp;query_place_id=ChIJHaf2Axg3jgcRjUfGAWUBO4M" TargetMode="External"/><Relationship Id="rId122" Type="http://schemas.openxmlformats.org/officeDocument/2006/relationships/hyperlink" Target="https://www.google.com/maps/search/?api=1&amp;query=Marlene%20Cabelos%20Sal%C3%A3o%20De%20Beleza&amp;query_place_id=ChIJSaL5NYM3jgcRJ6UhAHrrr68" TargetMode="External"/><Relationship Id="rId243" Type="http://schemas.openxmlformats.org/officeDocument/2006/relationships/hyperlink" Target="https://www.google.com/maps/search/?api=1&amp;query=Studio%20Auana%20Maria&amp;query_place_id=ChIJg1oda3Q3jgcRPVosSLUrVXM" TargetMode="External"/><Relationship Id="rId364" Type="http://schemas.openxmlformats.org/officeDocument/2006/relationships/hyperlink" Target="https://www.google.com/maps/search/?api=1&amp;query=Aylla%20Cabelos&amp;query_place_id=ChIJlfVoXKQ3jgcRNaQgqUPJvz0" TargetMode="External"/><Relationship Id="rId95" Type="http://schemas.openxmlformats.org/officeDocument/2006/relationships/hyperlink" Target="https://www.google.com/maps/search/?api=1&amp;query=Espa%C3%A7o%20Dr%C2%AA.%20Christiane%20Lacerda&amp;query_place_id=ChIJZdkTxQw3jgcRt4rPfjS_xSU" TargetMode="External"/><Relationship Id="rId94" Type="http://schemas.openxmlformats.org/officeDocument/2006/relationships/hyperlink" Target="https://www.google.com/maps/search/?api=1&amp;query=Espa%C3%A7o%20do%20Revendedor%20Grupo%20Botic%C3%A1rio&amp;query_place_id=ChIJtUJAmH43jgcRsK_1SHwkk4s" TargetMode="External"/><Relationship Id="rId97" Type="http://schemas.openxmlformats.org/officeDocument/2006/relationships/hyperlink" Target="https://www.google.com/maps/search/?api=1&amp;query=Studio%20GABRIELE%20TRINDADE&amp;query_place_id=ChIJH8KEPyA3jgcRcfHcj1KypKY" TargetMode="External"/><Relationship Id="rId96" Type="http://schemas.openxmlformats.org/officeDocument/2006/relationships/hyperlink" Target="https://www.google.com/maps/search/?api=1&amp;query=Let%C3%ADcia%20Hashiguchi%20Nail%20Designer&amp;query_place_id=ChIJH8394dY3jgcRWHAi5ib2ZiQ" TargetMode="External"/><Relationship Id="rId99" Type="http://schemas.openxmlformats.org/officeDocument/2006/relationships/hyperlink" Target="https://www.google.com/maps/search/?api=1&amp;query=Studio%20Modelo&amp;query_place_id=ChIJ1XACNks3jgcRoQM7hqIvUi4" TargetMode="External"/><Relationship Id="rId98" Type="http://schemas.openxmlformats.org/officeDocument/2006/relationships/hyperlink" Target="https://www.google.com/maps/search/?api=1&amp;query=Ana%20Cabelos&amp;query_place_id=ChIJpSJaxYc3jgcRH29sBLaUayg" TargetMode="External"/><Relationship Id="rId91" Type="http://schemas.openxmlformats.org/officeDocument/2006/relationships/hyperlink" Target="https://www.google.com/maps/search/?api=1&amp;query=Camila%20Sousa%20Micropigmenta%C3%A7%C3%A3o&amp;query_place_id=ChIJib2kTQA3jgcRzU_WZlg_4Ew" TargetMode="External"/><Relationship Id="rId90" Type="http://schemas.openxmlformats.org/officeDocument/2006/relationships/hyperlink" Target="https://www.google.com/maps/search/?api=1&amp;query=Studio%20Laiza%20Minelle&amp;query_place_id=ChIJ8wcKAoY3jgcRF3iGG29EGHM" TargetMode="External"/><Relationship Id="rId93" Type="http://schemas.openxmlformats.org/officeDocument/2006/relationships/hyperlink" Target="https://www.google.com/maps/search/?api=1&amp;query=Mistura%20de%20cores%20esmaltearia%20%F0%9F%8F%BC&amp;query_place_id=ChIJj7HHHSA3jgcRtGlQeeXHJyM" TargetMode="External"/><Relationship Id="rId92" Type="http://schemas.openxmlformats.org/officeDocument/2006/relationships/hyperlink" Target="https://www.google.com/maps/search/?api=1&amp;query=Studio%20Gabriela%20Rocha&amp;query_place_id=ChIJQeCMymw3jgcRpSHhfOjGg6w" TargetMode="External"/><Relationship Id="rId118" Type="http://schemas.openxmlformats.org/officeDocument/2006/relationships/hyperlink" Target="https://www.google.com/maps/search/?api=1&amp;query=Amanda%20Silva%20Studio%20Beauty&amp;query_place_id=ChIJFXGrfAA3jgcRe58CcaU0Yc4" TargetMode="External"/><Relationship Id="rId239" Type="http://schemas.openxmlformats.org/officeDocument/2006/relationships/hyperlink" Target="https://www.google.com/maps/search/?api=1&amp;query=Arte%20da%20beleza%20-%20Rildo%20Gomes&amp;query_place_id=ChIJ7QTYdHXVGmMRxriHRLkeS7g" TargetMode="External"/><Relationship Id="rId117" Type="http://schemas.openxmlformats.org/officeDocument/2006/relationships/hyperlink" Target="https://www.google.com/maps/search/?api=1&amp;query=Linda%20Cosm%C3%A9ticos%20e%20Sal%C3%A3o%20de%20beleza&amp;query_place_id=ChIJqYjSC603jgcR5UsWfdn3TBU" TargetMode="External"/><Relationship Id="rId238" Type="http://schemas.openxmlformats.org/officeDocument/2006/relationships/hyperlink" Target="https://www.google.com/maps/search/?api=1&amp;query=CENTRO%20M%C3%89DICO%20S%C3%83O%20RAFAEL%20-%20TIMON&amp;query_place_id=ChIJvWFoN6M3jgcRzDTjI7yetFY" TargetMode="External"/><Relationship Id="rId359" Type="http://schemas.openxmlformats.org/officeDocument/2006/relationships/hyperlink" Target="https://www.google.com/maps/search/?api=1&amp;query=Kamilla%20Arocho%20Depila%C3%A7%C3%A3o%20Profissional%20Timon%20Maranh%C3%A3o&amp;query_place_id=ChIJx-55J-Q3jgcRV4YH_dZMmcI" TargetMode="External"/><Relationship Id="rId116" Type="http://schemas.openxmlformats.org/officeDocument/2006/relationships/hyperlink" Target="https://www.google.com/maps/search/?api=1&amp;query=Studio%20Mary%20Araujo&amp;query_place_id=ChIJ4T86OgA3jgcR8IMqVmsq8HA" TargetMode="External"/><Relationship Id="rId237" Type="http://schemas.openxmlformats.org/officeDocument/2006/relationships/hyperlink" Target="https://www.google.com/maps/search/?api=1&amp;query=Clinicapilar%20Est%C3%A9tica%20e%20Cursos&amp;query_place_id=ChIJKUOqcJ43jgcR3_qJ0ikqeNU" TargetMode="External"/><Relationship Id="rId358" Type="http://schemas.openxmlformats.org/officeDocument/2006/relationships/hyperlink" Target="https://www.google.com/maps/search/?api=1&amp;query=Super%20Bella%20espa%C3%A7o%20de%20beleza&amp;query_place_id=ChIJaw4uEgA3jgcRUnT9aYVOw78" TargetMode="External"/><Relationship Id="rId479" Type="http://schemas.openxmlformats.org/officeDocument/2006/relationships/drawing" Target="../drawings/drawing1.xml"/><Relationship Id="rId115" Type="http://schemas.openxmlformats.org/officeDocument/2006/relationships/hyperlink" Target="https://www.google.com/maps/search/?api=1&amp;query=Studio%20Ewerton%20Gomes&amp;query_place_id=ChIJA__HftA3jgcRSrbHc4NDLz0" TargetMode="External"/><Relationship Id="rId236" Type="http://schemas.openxmlformats.org/officeDocument/2006/relationships/hyperlink" Target="https://www.google.com/maps/search/?api=1&amp;query=Studio%20Sabrina%20Mary&amp;query_place_id=ChIJHSsu_Fc3jgcRxk6aLARseBk" TargetMode="External"/><Relationship Id="rId357" Type="http://schemas.openxmlformats.org/officeDocument/2006/relationships/hyperlink" Target="https://www.google.com/maps/search/?api=1&amp;query=Amanda%20Espa%C3%A7o%20de%20Beleza&amp;query_place_id=ChIJPWMedoQ3jgcR2saEAIu6CVo" TargetMode="External"/><Relationship Id="rId478" Type="http://schemas.openxmlformats.org/officeDocument/2006/relationships/hyperlink" Target="https://www.google.com/maps/search/?api=1&amp;query=B%C3%A1rbara%20Berilo&amp;query_place_id=ChIJfbNTb6k3jgcRIENlOddtm6I" TargetMode="External"/><Relationship Id="rId119" Type="http://schemas.openxmlformats.org/officeDocument/2006/relationships/hyperlink" Target="https://www.google.com/maps/search/?api=1&amp;query=Ros%C3%A2ngela%20Cabelos&amp;query_place_id=ChIJiUdBKyc4jgcRcTSW0Mjblzk" TargetMode="External"/><Relationship Id="rId110" Type="http://schemas.openxmlformats.org/officeDocument/2006/relationships/hyperlink" Target="https://www.google.com/maps/search/?api=1&amp;query=Studio%20Luana%20Vanessa&amp;query_place_id=ChIJH48OL083jgcR4L9JN3f5-IA" TargetMode="External"/><Relationship Id="rId231" Type="http://schemas.openxmlformats.org/officeDocument/2006/relationships/hyperlink" Target="https://www.google.com/maps/search/?api=1&amp;query=Rayara%20Binacet%20Makeup&amp;query_place_id=ChIJr9hWzJs3jgcRXAdWqzmL_Kg" TargetMode="External"/><Relationship Id="rId352" Type="http://schemas.openxmlformats.org/officeDocument/2006/relationships/hyperlink" Target="https://www.google.com/maps/search/?api=1&amp;query=Sal%C3%A3o%20Novo%20Visual&amp;query_place_id=ChIJ0xT9vdg3jgcRBW3Nw21FQ7U" TargetMode="External"/><Relationship Id="rId473" Type="http://schemas.openxmlformats.org/officeDocument/2006/relationships/hyperlink" Target="https://www.google.com/maps/search/?api=1&amp;query=Penitenci%C3%A1ria%20Regional%20de%20Timon&amp;query_place_id=ChIJb8kWM5g3jgcRZy3Bh7UTAdM" TargetMode="External"/><Relationship Id="rId230" Type="http://schemas.openxmlformats.org/officeDocument/2006/relationships/hyperlink" Target="https://www.google.com/maps/search/?api=1&amp;query=Cl%C3%ADnica%20Talita%20Mota&amp;query_place_id=ChIJSWvdtJg3jgcRJMsweIP2kM8" TargetMode="External"/><Relationship Id="rId351" Type="http://schemas.openxmlformats.org/officeDocument/2006/relationships/hyperlink" Target="https://www.google.com/maps/search/?api=1&amp;query=Rosilda%20cabelos&amp;query_place_id=ChIJ39ugojw3jgcRrqK9l_Uonrw" TargetMode="External"/><Relationship Id="rId472" Type="http://schemas.openxmlformats.org/officeDocument/2006/relationships/hyperlink" Target="https://www.google.com/maps/search/?api=1&amp;query=Cl%C3%ADnica%20H%2B%20Timon%2FMA&amp;query_place_id=ChIJG6rQJpA3jgcRcjRtxtnsdE0" TargetMode="External"/><Relationship Id="rId350" Type="http://schemas.openxmlformats.org/officeDocument/2006/relationships/hyperlink" Target="https://www.google.com/maps/search/?api=1&amp;query=Tauane%20Nails&amp;query_place_id=ChIJcYI7W_E3jgcRLf-8xdCuMsk" TargetMode="External"/><Relationship Id="rId471" Type="http://schemas.openxmlformats.org/officeDocument/2006/relationships/hyperlink" Target="https://www.google.com/maps/search/?api=1&amp;query=%C3%93ticas%20Ester%20A%20Menina%20Dos%20Seus%20Olhos&amp;query_place_id=ChIJ0xsfYnU3jgcRzMiX-pwerfQ" TargetMode="External"/><Relationship Id="rId470" Type="http://schemas.openxmlformats.org/officeDocument/2006/relationships/hyperlink" Target="https://www.google.com/maps/search/?api=1&amp;query=Lavita%20Laborat%C3%B3rio&amp;query_place_id=ChIJ___7NqM3jgcRrLBB5A31QbA" TargetMode="External"/><Relationship Id="rId114" Type="http://schemas.openxmlformats.org/officeDocument/2006/relationships/hyperlink" Target="https://www.google.com/maps/search/?api=1&amp;query=Studio%20Elenir%20Oliveira&amp;query_place_id=ChIJCbLe9ow3jgcRi0K8IC4dQ0Y" TargetMode="External"/><Relationship Id="rId235" Type="http://schemas.openxmlformats.org/officeDocument/2006/relationships/hyperlink" Target="https://www.google.com/maps/search/?api=1&amp;query=Jc_cuidado.e.beleza&amp;query_place_id=ChIJU8_TWAs3jgcRc-BOXbs-MNA" TargetMode="External"/><Relationship Id="rId356" Type="http://schemas.openxmlformats.org/officeDocument/2006/relationships/hyperlink" Target="https://www.google.com/maps/search/?api=1&amp;query=Anna%20Paula%20unhas&amp;query_place_id=ChIJC3o9cHI3jgcRfAw8k8bUgy8" TargetMode="External"/><Relationship Id="rId477" Type="http://schemas.openxmlformats.org/officeDocument/2006/relationships/hyperlink" Target="https://www.google.com/maps/search/?api=1&amp;query=CT%20LE%C3%95ES%20DE%20JUD%C3%81%20BJJ&amp;query_place_id=ChIJvy2LQW43jgcRO1Pc0jBtw1o" TargetMode="External"/><Relationship Id="rId113" Type="http://schemas.openxmlformats.org/officeDocument/2006/relationships/hyperlink" Target="https://www.google.com/maps/search/?api=1&amp;query=Sal%C3%A3o%20Jeito%20De%20Mulher&amp;query_place_id=ChIJC7lrbKA3jgcRXiKRVeMXGGU" TargetMode="External"/><Relationship Id="rId234" Type="http://schemas.openxmlformats.org/officeDocument/2006/relationships/hyperlink" Target="https://www.google.com/maps/search/?api=1&amp;query=Taynarasampaio&amp;query_place_id=ChIJN0mKzR0xjgcR4ii23xIuwfc" TargetMode="External"/><Relationship Id="rId355" Type="http://schemas.openxmlformats.org/officeDocument/2006/relationships/hyperlink" Target="https://www.google.com/maps/search/?api=1&amp;query=Ts%20beauty&amp;query_place_id=ChIJQzSgCwA3jgcRfzrW8qa15qU" TargetMode="External"/><Relationship Id="rId476" Type="http://schemas.openxmlformats.org/officeDocument/2006/relationships/hyperlink" Target="https://www.google.com/maps/search/?api=1&amp;query=FLOR%20DE%20LIRA&amp;query_place_id=ChIJJ1TMMUjvWwMRow6bqunS6Y4" TargetMode="External"/><Relationship Id="rId112" Type="http://schemas.openxmlformats.org/officeDocument/2006/relationships/hyperlink" Target="https://www.google.com/maps/search/?api=1&amp;query=Maria%20Bonita%20Beauty&amp;query_place_id=ChIJM-ksOgU3jgcRLtow96ZFXlE" TargetMode="External"/><Relationship Id="rId233" Type="http://schemas.openxmlformats.org/officeDocument/2006/relationships/hyperlink" Target="https://www.google.com/maps/search/?api=1&amp;query=isa&amp;query_place_id=ChIJS_EFheI3jgcRYeYQmgf8wsA" TargetMode="External"/><Relationship Id="rId354" Type="http://schemas.openxmlformats.org/officeDocument/2006/relationships/hyperlink" Target="https://www.google.com/maps/search/?api=1&amp;query=Ivone%20Cabelos&amp;query_place_id=ChIJ43kUbgA3jgcRdQtizGGupY4" TargetMode="External"/><Relationship Id="rId475" Type="http://schemas.openxmlformats.org/officeDocument/2006/relationships/hyperlink" Target="https://www.google.com/maps/search/?api=1&amp;query=Cl%C3%ADnica%20Comed%20%7C%20Dr.%20Glausto%20Set%C3%BAbal&amp;query_place_id=ChIJsQYv46Y3jgcRiHwji11x44Y" TargetMode="External"/><Relationship Id="rId111" Type="http://schemas.openxmlformats.org/officeDocument/2006/relationships/hyperlink" Target="https://www.google.com/maps/search/?api=1&amp;query=Celysandra%20Rodrigues%20Studio%20Hair&amp;query_place_id=ChIJWUXclKI3jgcRpDaUsDAqEg4" TargetMode="External"/><Relationship Id="rId232" Type="http://schemas.openxmlformats.org/officeDocument/2006/relationships/hyperlink" Target="https://www.google.com/maps/search/?api=1&amp;query=angelica%20sousa%20lash&amp;query_place_id=ChIJMRFoyTRJjgcRCZU_EvtoDLw" TargetMode="External"/><Relationship Id="rId353" Type="http://schemas.openxmlformats.org/officeDocument/2006/relationships/hyperlink" Target="https://www.google.com/maps/search/?api=1&amp;query=Sara%20Holanda%20Hair&amp;query_place_id=ChIJOR2aYSQ3jgcRsL-0i-qDO-U" TargetMode="External"/><Relationship Id="rId474" Type="http://schemas.openxmlformats.org/officeDocument/2006/relationships/hyperlink" Target="https://www.google.com/maps/search/?api=1&amp;query=%C3%8AH%2C%20DOUTOR%20-%20CLINICA%20POPULAR&amp;query_place_id=ChIJpQX2SrE3jgcRhKpFk8-OooI" TargetMode="External"/><Relationship Id="rId305" Type="http://schemas.openxmlformats.org/officeDocument/2006/relationships/hyperlink" Target="https://www.google.com/maps/search/?api=1&amp;query=Neuda%20cabelos&amp;query_place_id=ChIJmdyIgzk3jgcRdTCZI1Jc2p0" TargetMode="External"/><Relationship Id="rId426" Type="http://schemas.openxmlformats.org/officeDocument/2006/relationships/hyperlink" Target="https://www.google.com/maps/search/?api=1&amp;query=VS%20design%20(Vit%C3%B3ria%20Santos)&amp;query_place_id=ChIJU9cz3L43jgcR0pzjLTY1p2M" TargetMode="External"/><Relationship Id="rId304" Type="http://schemas.openxmlformats.org/officeDocument/2006/relationships/hyperlink" Target="https://www.google.com/maps/search/?api=1&amp;query=Claudiane%20Cabelos&amp;query_place_id=ChIJ0d8YF_U3jgcRGTQi_QpZiZI" TargetMode="External"/><Relationship Id="rId425" Type="http://schemas.openxmlformats.org/officeDocument/2006/relationships/hyperlink" Target="https://www.google.com/maps/search/?api=1&amp;query=Ac%20Studio%20Lash%20Design&amp;query_place_id=ChIJGcu9dQA3jgcRRxzN2sNaKRo" TargetMode="External"/><Relationship Id="rId303" Type="http://schemas.openxmlformats.org/officeDocument/2006/relationships/hyperlink" Target="https://www.google.com/maps/search/?api=1&amp;query=Ana%20Cabelos&amp;query_place_id=ChIJXyQTe7c3jgcRfEvDms-KWCQ" TargetMode="External"/><Relationship Id="rId424" Type="http://schemas.openxmlformats.org/officeDocument/2006/relationships/hyperlink" Target="https://www.google.com/maps/search/?api=1&amp;query=Studio%20Samila%20Sousa%20nails&amp;query_place_id=ChIJZY51Wk43jgcRkiQYFisT8TU" TargetMode="External"/><Relationship Id="rId302" Type="http://schemas.openxmlformats.org/officeDocument/2006/relationships/hyperlink" Target="https://www.google.com/maps/search/?api=1&amp;query=LU%60CABELOS&amp;query_place_id=ChIJgy_NrrA3jgcRxJyt5rTB7vg" TargetMode="External"/><Relationship Id="rId423" Type="http://schemas.openxmlformats.org/officeDocument/2006/relationships/hyperlink" Target="https://www.google.com/maps/search/?api=1&amp;query=Sal%C3%A3o%20do%20Chico%20Igo&amp;query_place_id=ChIJge-hB9U3jgcRqn0GCE9f5gA" TargetMode="External"/><Relationship Id="rId309" Type="http://schemas.openxmlformats.org/officeDocument/2006/relationships/hyperlink" Target="https://www.google.com/maps/search/?api=1&amp;query=Maisa%20Galv%C3%A3o%20Studio&amp;query_place_id=ChIJVf7Qr9s5jgcR4QqruoMNsBI" TargetMode="External"/><Relationship Id="rId308" Type="http://schemas.openxmlformats.org/officeDocument/2006/relationships/hyperlink" Target="https://www.google.com/maps/search/?api=1&amp;query=Studio%20Linda%20Mulher&amp;query_place_id=ChIJB2ACeVw2jgcRwt6JFJB3dso" TargetMode="External"/><Relationship Id="rId429" Type="http://schemas.openxmlformats.org/officeDocument/2006/relationships/hyperlink" Target="https://www.google.com/maps/search/?api=1&amp;query=Viviane%20Lopes%20unhas&amp;query_place_id=ChIJf6FM1hw3jgcRRNJ6ZU6cPiA" TargetMode="External"/><Relationship Id="rId307" Type="http://schemas.openxmlformats.org/officeDocument/2006/relationships/hyperlink" Target="https://www.google.com/maps/search/?api=1&amp;query=Studio%20Leandro%20Portillo&amp;query_place_id=ChIJLVTgTAA3jgcRHg3vWt_7aKE" TargetMode="External"/><Relationship Id="rId428" Type="http://schemas.openxmlformats.org/officeDocument/2006/relationships/hyperlink" Target="https://www.google.com/maps/search/?api=1&amp;query=Duda%20cabelo&amp;query_place_id=ChIJL33vSjI3jgcR5GDAND5Y3d4" TargetMode="External"/><Relationship Id="rId306" Type="http://schemas.openxmlformats.org/officeDocument/2006/relationships/hyperlink" Target="https://www.google.com/maps/search/?api=1&amp;query=Studio%20Samia%20Fernandes&amp;query_place_id=ChIJ6838mxg3jgcRPOfm8j0kT_g" TargetMode="External"/><Relationship Id="rId427" Type="http://schemas.openxmlformats.org/officeDocument/2006/relationships/hyperlink" Target="https://www.google.com/maps/search/?api=1&amp;query=MP_BEAUTY&amp;query_place_id=ChIJrajxQR03jgcRZbdtZ3FpdPE" TargetMode="External"/><Relationship Id="rId301" Type="http://schemas.openxmlformats.org/officeDocument/2006/relationships/hyperlink" Target="https://www.google.com/maps/search/?api=1&amp;query=Esmalteria%20da%20Mary%20e%20Elves%20Hair&amp;query_place_id=ChIJhUCoxN83jgcRn55WAnld5hU" TargetMode="External"/><Relationship Id="rId422" Type="http://schemas.openxmlformats.org/officeDocument/2006/relationships/hyperlink" Target="https://www.google.com/maps/search/?api=1&amp;query=Studio%20Joyce%20Alves&amp;query_place_id=ChIJu4H_3083jgcR5ws6oIA-28c" TargetMode="External"/><Relationship Id="rId300" Type="http://schemas.openxmlformats.org/officeDocument/2006/relationships/hyperlink" Target="https://www.google.com/maps/search/?api=1&amp;query=D%C3%B4ra%20Cabelos&amp;query_place_id=ChIJK1w_TI03jgcRytEq59iq5-w" TargetMode="External"/><Relationship Id="rId421" Type="http://schemas.openxmlformats.org/officeDocument/2006/relationships/hyperlink" Target="https://www.google.com/maps/search/?api=1&amp;query=Marias%20Esmalteria&amp;query_place_id=ChIJ4cU80Yw3jgcRbf6wnwC6zWc" TargetMode="External"/><Relationship Id="rId420" Type="http://schemas.openxmlformats.org/officeDocument/2006/relationships/hyperlink" Target="https://www.google.com/maps/search/?api=1&amp;query=Studiohelennails&amp;query_place_id=ChIJz5mOSQA3jgcRve_0PRlj43o" TargetMode="External"/><Relationship Id="rId415" Type="http://schemas.openxmlformats.org/officeDocument/2006/relationships/hyperlink" Target="https://www.google.com/maps/search/?api=1&amp;query=LR%20Concept&amp;query_place_id=ChIJ-4oRYNg3jgcRyyktdBppcgg" TargetMode="External"/><Relationship Id="rId414" Type="http://schemas.openxmlformats.org/officeDocument/2006/relationships/hyperlink" Target="https://www.google.com/maps/search/?api=1&amp;query=coimbra_lashdesigner&amp;query_place_id=ChIJnSSO8F03jgcRgU07WvmdLbY" TargetMode="External"/><Relationship Id="rId413" Type="http://schemas.openxmlformats.org/officeDocument/2006/relationships/hyperlink" Target="https://www.google.com/maps/search/?api=1&amp;query=Studio%20Fabi%20Oliveira&amp;query_place_id=ChIJk110Rlw2jgcRR83O83ox3OI" TargetMode="External"/><Relationship Id="rId412" Type="http://schemas.openxmlformats.org/officeDocument/2006/relationships/hyperlink" Target="https://www.google.com/maps/search/?api=1&amp;query=Vit%C3%B3ria%20Moura%20Nail%20Designer&amp;query_place_id=ChIJ2bxL1z83jgcRggF30cNT2lI" TargetMode="External"/><Relationship Id="rId419" Type="http://schemas.openxmlformats.org/officeDocument/2006/relationships/hyperlink" Target="https://www.google.com/maps/search/?api=1&amp;query=Studio%20Cleycianny%20silva&amp;query_place_id=ChIJKX7ZVgA3jgcRZ7qbwUqa6z0" TargetMode="External"/><Relationship Id="rId418" Type="http://schemas.openxmlformats.org/officeDocument/2006/relationships/hyperlink" Target="https://www.google.com/maps/search/?api=1&amp;query=Studio%20universo%20feminino&amp;query_place_id=ChIJTZ_XAwA3jgcRnO4aK_Gxqxo" TargetMode="External"/><Relationship Id="rId417" Type="http://schemas.openxmlformats.org/officeDocument/2006/relationships/hyperlink" Target="https://www.google.com/maps/search/?api=1&amp;query=Samara%20Ribeiro%20nail%20designer&amp;query_place_id=ChIJa9PSihU3jgcRdvOdeoaueQk" TargetMode="External"/><Relationship Id="rId416" Type="http://schemas.openxmlformats.org/officeDocument/2006/relationships/hyperlink" Target="https://www.google.com/maps/search/?api=1&amp;query=Ranny%20Sousa&amp;query_place_id=ChIJt2tK9zU1jgcReYp9_ovQoio" TargetMode="External"/><Relationship Id="rId411" Type="http://schemas.openxmlformats.org/officeDocument/2006/relationships/hyperlink" Target="https://www.google.com/maps/search/?api=1&amp;query=Studio%20Raylanne%20Souto%20Lash%20designer%20_Cilios%20e%20Sobrancelhas&amp;query_place_id=ChIJAVLaHgA3jgcRE0tqEzy2FxE" TargetMode="External"/><Relationship Id="rId410" Type="http://schemas.openxmlformats.org/officeDocument/2006/relationships/hyperlink" Target="https://www.google.com/maps/search/?api=1&amp;query=Mr%20Unhas%20%26%20Sabrancelhas&amp;query_place_id=ChIJPw2IQ1g2jgcRJGwhZdeNMQk" TargetMode="External"/><Relationship Id="rId206" Type="http://schemas.openxmlformats.org/officeDocument/2006/relationships/hyperlink" Target="https://www.google.com/maps/search/?api=1&amp;query=Studio%20ally%20maike%20up&amp;query_place_id=ChIJl22maQA5jgcRulg6P9vXe-I" TargetMode="External"/><Relationship Id="rId327" Type="http://schemas.openxmlformats.org/officeDocument/2006/relationships/hyperlink" Target="https://www.google.com/maps/search/?api=1&amp;query=Esmalteria%20qual%20sua%20cor&amp;query_place_id=ChIJlfVaFzI3jgcRkj6EzwHM4QA" TargetMode="External"/><Relationship Id="rId448" Type="http://schemas.openxmlformats.org/officeDocument/2006/relationships/hyperlink" Target="https://www.google.com/maps/search/?api=1&amp;query=Studio%20giselly%20moura&amp;query_place_id=ChIJwbKgBQA3jgcR3PaV8ClLKj4" TargetMode="External"/><Relationship Id="rId205" Type="http://schemas.openxmlformats.org/officeDocument/2006/relationships/hyperlink" Target="https://www.google.com/maps/search/?api=1&amp;query=studio%20nathy%20lash%20desig&amp;query_place_id=ChIJdxHWLmg3jgcR3RU3TNXGTzE" TargetMode="External"/><Relationship Id="rId326" Type="http://schemas.openxmlformats.org/officeDocument/2006/relationships/hyperlink" Target="https://www.google.com/maps/search/?api=1&amp;query=RAQUEL%20CABELOS&amp;query_place_id=ChIJF-3381Q3jgcRrwX2SY6UqDg" TargetMode="External"/><Relationship Id="rId447" Type="http://schemas.openxmlformats.org/officeDocument/2006/relationships/hyperlink" Target="https://www.google.com/maps/search/?api=1&amp;query=Studio%20Marias&amp;query_place_id=ChIJmz97DXs3jgcR_yPxcT4Ly_8" TargetMode="External"/><Relationship Id="rId204" Type="http://schemas.openxmlformats.org/officeDocument/2006/relationships/hyperlink" Target="https://www.google.com/maps/search/?api=1&amp;query=Studio%20Auriane%20silva&amp;query_place_id=ChIJo93mvUg5jgcRJFDzNZAC1r4" TargetMode="External"/><Relationship Id="rId325" Type="http://schemas.openxmlformats.org/officeDocument/2006/relationships/hyperlink" Target="https://www.google.com/maps/search/?api=1&amp;query=GEYLSON%20CABELOS&amp;query_place_id=ChIJja63O0o3jgcRQ27S7sqnU6Q" TargetMode="External"/><Relationship Id="rId446" Type="http://schemas.openxmlformats.org/officeDocument/2006/relationships/hyperlink" Target="https://www.google.com/maps/search/?api=1&amp;query=Luciana%20Rillena%20Beleza%20Est%C3%A9tica&amp;query_place_id=ChIJ_9Av_bY3jgcRKSyiRXu7f3Q" TargetMode="External"/><Relationship Id="rId203" Type="http://schemas.openxmlformats.org/officeDocument/2006/relationships/hyperlink" Target="https://www.google.com/maps/search/?api=1&amp;query=STUDIO%20Gorete%20Rodrigues&amp;query_place_id=ChIJ7Wze5h84jgcR6HhF8q5J40s" TargetMode="External"/><Relationship Id="rId324" Type="http://schemas.openxmlformats.org/officeDocument/2006/relationships/hyperlink" Target="https://www.google.com/maps/search/?api=1&amp;query=Viviane%20Moraes%20Beauty&amp;query_place_id=ChIJN3gyZsU3jgcRSlQV-WLVubk" TargetMode="External"/><Relationship Id="rId445" Type="http://schemas.openxmlformats.org/officeDocument/2006/relationships/hyperlink" Target="https://www.google.com/maps/search/?api=1&amp;query=Studio%20BRmark'S&amp;query_place_id=ChIJLxFVxPM3jgcRhlYDVlRd2AE" TargetMode="External"/><Relationship Id="rId209" Type="http://schemas.openxmlformats.org/officeDocument/2006/relationships/hyperlink" Target="https://www.google.com/maps/search/?api=1&amp;query=Studio%20Suyane%20Veras&amp;query_place_id=ChIJecF33_w3jgcRoCCEui-Q__s" TargetMode="External"/><Relationship Id="rId208" Type="http://schemas.openxmlformats.org/officeDocument/2006/relationships/hyperlink" Target="https://www.google.com/maps/search/?api=1&amp;query=Espa%C3%A7o%20Cabelos&amp;query_place_id=ChIJSRJ48Lo3jgcRksHIfmctVwg" TargetMode="External"/><Relationship Id="rId329" Type="http://schemas.openxmlformats.org/officeDocument/2006/relationships/hyperlink" Target="https://www.google.com/maps/search/?api=1&amp;query=Nath%C3%A1lia%20Sobrancelhas&amp;query_place_id=ChIJZ07qZgY3jgcRb8JKG7PBTA0" TargetMode="External"/><Relationship Id="rId207" Type="http://schemas.openxmlformats.org/officeDocument/2006/relationships/hyperlink" Target="https://www.google.com/maps/search/?api=1&amp;query=Sol%20%26%20Bronze%20-%20Espa%C3%A7o%20da%20Beleza&amp;query_place_id=ChIJQVLTQJ83jgcRQKorUD5kvKE" TargetMode="External"/><Relationship Id="rId328" Type="http://schemas.openxmlformats.org/officeDocument/2006/relationships/hyperlink" Target="https://www.google.com/maps/search/?api=1&amp;query=Danni%20Silva%20Nails%20Designer&amp;query_place_id=ChIJ536aEzo3jgcRULdepmfUyks" TargetMode="External"/><Relationship Id="rId449" Type="http://schemas.openxmlformats.org/officeDocument/2006/relationships/hyperlink" Target="https://www.google.com/maps/search/?api=1&amp;query=Espa%C3%A7olaser%20Timon&amp;query_place_id=ChIJNybQMAA3jgcRodr3-fpgoZg" TargetMode="External"/><Relationship Id="rId440" Type="http://schemas.openxmlformats.org/officeDocument/2006/relationships/hyperlink" Target="https://www.google.com/maps/search/?api=1&amp;query=UBS%20-%20Padre%20Delfino&amp;query_place_id=ChIJZ5BiqTY3jgcRBrs25gM2UXA" TargetMode="External"/><Relationship Id="rId202" Type="http://schemas.openxmlformats.org/officeDocument/2006/relationships/hyperlink" Target="https://www.google.com/maps/search/?api=1&amp;query=SAL%C3%83O%20SUPER%20CORTE&amp;query_place_id=ChIJjdy6N4g3jgcRyDoOKeMYsCM" TargetMode="External"/><Relationship Id="rId323" Type="http://schemas.openxmlformats.org/officeDocument/2006/relationships/hyperlink" Target="https://www.google.com/maps/search/?api=1&amp;query=In%C3%AAs%20Ara%C3%BAjo%20Lesh%20designer&amp;query_place_id=ChIJb8b7xxxJjgcR2eg5wghqIaU" TargetMode="External"/><Relationship Id="rId444" Type="http://schemas.openxmlformats.org/officeDocument/2006/relationships/hyperlink" Target="https://www.google.com/maps/search/?api=1&amp;query=Studio%20Gabriele%20Trindade&amp;query_place_id=ChIJ6ZePdgA3jgcR0RPDz50jM3w" TargetMode="External"/><Relationship Id="rId201" Type="http://schemas.openxmlformats.org/officeDocument/2006/relationships/hyperlink" Target="https://www.google.com/maps/search/?api=1&amp;query=Fran%20Studio%20nails&amp;query_place_id=ChIJbe1xt8Q3jgcRuoyDLOkNzis" TargetMode="External"/><Relationship Id="rId322" Type="http://schemas.openxmlformats.org/officeDocument/2006/relationships/hyperlink" Target="https://www.google.com/maps/search/?api=1&amp;query=Silvana%20manicure%20%26%20pedicure&amp;query_place_id=ChIJh8CIcQBJjgcRSa1OyXpv2vs" TargetMode="External"/><Relationship Id="rId443" Type="http://schemas.openxmlformats.org/officeDocument/2006/relationships/hyperlink" Target="https://www.google.com/maps/search/?api=1&amp;query=Central%20de%20Est%C3%A9tica%20Aromas%20e%20Sensibilidades&amp;query_place_id=ChIJd8UWB4s3jgcRdf-cuwKKQb4" TargetMode="External"/><Relationship Id="rId200" Type="http://schemas.openxmlformats.org/officeDocument/2006/relationships/hyperlink" Target="https://www.google.com/maps/search/?api=1&amp;query=Joyce%20Cunha%20Studio&amp;query_place_id=ChIJ3acodwA3jgcRSHav4rXhYMc" TargetMode="External"/><Relationship Id="rId321" Type="http://schemas.openxmlformats.org/officeDocument/2006/relationships/hyperlink" Target="https://www.google.com/maps/search/?api=1&amp;query=Leon%C3%A1ria%20Monteiro&amp;query_place_id=ChIJ1SpNP0M3jgcR0_YI0tb9Cgo" TargetMode="External"/><Relationship Id="rId442" Type="http://schemas.openxmlformats.org/officeDocument/2006/relationships/hyperlink" Target="https://www.google.com/maps/search/?api=1&amp;query=Studio%20Amanda%20Crispim&amp;query_place_id=ChIJL4UfbMM3jgcRTuuxRVNe-ig" TargetMode="External"/><Relationship Id="rId320" Type="http://schemas.openxmlformats.org/officeDocument/2006/relationships/hyperlink" Target="https://www.google.com/maps/search/?api=1&amp;query=DS%20Daiana%20soares%20studio&amp;query_place_id=ChIJsUE094s3jgcRTexIgJ2zQWU" TargetMode="External"/><Relationship Id="rId441" Type="http://schemas.openxmlformats.org/officeDocument/2006/relationships/hyperlink" Target="https://www.google.com/maps/search/?api=1&amp;query=Pedro%20Cabelos%20UNISSEX&amp;query_place_id=ChIJRXt3Cpw3jgcRsWcHOR7mSko" TargetMode="External"/><Relationship Id="rId316" Type="http://schemas.openxmlformats.org/officeDocument/2006/relationships/hyperlink" Target="https://www.google.com/maps/search/?api=1&amp;query=Casa%20da%20Thassia&amp;query_place_id=ChIJp64g4LQ3jgcR5rqb65ZifCc" TargetMode="External"/><Relationship Id="rId437" Type="http://schemas.openxmlformats.org/officeDocument/2006/relationships/hyperlink" Target="https://www.google.com/maps/search/?api=1&amp;query=Clin%20Multfisio&amp;query_place_id=ChIJ3S7ayGM3jgcRsfvtd29GZC0" TargetMode="External"/><Relationship Id="rId315" Type="http://schemas.openxmlformats.org/officeDocument/2006/relationships/hyperlink" Target="https://www.google.com/maps/search/?api=1&amp;query=Studio%20Rosa%20P%C3%A2mara&amp;query_place_id=ChIJewWIflk3jgcRmKNHRmYQeno" TargetMode="External"/><Relationship Id="rId436" Type="http://schemas.openxmlformats.org/officeDocument/2006/relationships/hyperlink" Target="https://www.google.com/maps/search/?api=1&amp;query=Lu%20cosm%C3%A9ticos&amp;query_place_id=ChIJb-zpWJQ3jgcR9wz4TckP4xc" TargetMode="External"/><Relationship Id="rId314" Type="http://schemas.openxmlformats.org/officeDocument/2006/relationships/hyperlink" Target="https://www.google.com/maps/search/?api=1&amp;query=Studio%20Vit%C3%B3ria%20Silva&amp;query_place_id=ChIJLUEx62I3jgcR5jJnMg1meSg" TargetMode="External"/><Relationship Id="rId435" Type="http://schemas.openxmlformats.org/officeDocument/2006/relationships/hyperlink" Target="https://www.google.com/maps/search/?api=1&amp;query=Tatiara%20Binacet%20-%20Est%C3%A9tica%20Facial%20e%20Corporal&amp;query_place_id=ChIJwxWWalY3jgcRH3mVm3C5aZE" TargetMode="External"/><Relationship Id="rId313" Type="http://schemas.openxmlformats.org/officeDocument/2006/relationships/hyperlink" Target="https://www.google.com/maps/search/?api=1&amp;query=Studio%20bel%C3%ADssima&amp;query_place_id=ChIJCarrKPA3jgcRE9a8_efQ3DQ" TargetMode="External"/><Relationship Id="rId434" Type="http://schemas.openxmlformats.org/officeDocument/2006/relationships/hyperlink" Target="https://www.google.com/maps/search/?api=1&amp;query=Fernanda%20Oliveira%20Nails&amp;query_place_id=ChIJC1UMg4VI0EQR-hyJ_1ArqW0" TargetMode="External"/><Relationship Id="rId319" Type="http://schemas.openxmlformats.org/officeDocument/2006/relationships/hyperlink" Target="https://www.google.com/maps/search/?api=1&amp;query=Rose%20esmalteria&amp;query_place_id=ChIJe9N11dI5jgcRADSelMZ_K1A" TargetMode="External"/><Relationship Id="rId318" Type="http://schemas.openxmlformats.org/officeDocument/2006/relationships/hyperlink" Target="https://www.google.com/maps/search/?api=1&amp;query=nsnailsdesigner&amp;query_place_id=ChIJIU_obwA3jgcR2d-u_UJYU14" TargetMode="External"/><Relationship Id="rId439" Type="http://schemas.openxmlformats.org/officeDocument/2006/relationships/hyperlink" Target="https://www.google.com/maps/search/?api=1&amp;query=CT%20VIRTUS&amp;query_place_id=ChIJ9_sgdwA3jgcR8oDmAfM9yS0" TargetMode="External"/><Relationship Id="rId317" Type="http://schemas.openxmlformats.org/officeDocument/2006/relationships/hyperlink" Target="https://www.google.com/maps/search/?api=1&amp;query=CAPRICHOSAS%20UNHAS&amp;query_place_id=ChIJ0a6-yYo3jgcRHm8xRZc2dyo" TargetMode="External"/><Relationship Id="rId438" Type="http://schemas.openxmlformats.org/officeDocument/2006/relationships/hyperlink" Target="https://www.google.com/maps/search/?api=1&amp;query=Circuito%20de%20Treinamento&amp;query_place_id=ChIJawdj0Ig3jgcRbRb4Hz_TlDQ" TargetMode="External"/><Relationship Id="rId312" Type="http://schemas.openxmlformats.org/officeDocument/2006/relationships/hyperlink" Target="https://www.google.com/maps/search/?api=1&amp;query=Studio%20ARAG%C3%83O&amp;query_place_id=ChIJy-hsGus3jgcR36UNt1KzwqI" TargetMode="External"/><Relationship Id="rId433" Type="http://schemas.openxmlformats.org/officeDocument/2006/relationships/hyperlink" Target="https://www.google.com/maps/search/?api=1&amp;query=Resid%C3%AAncia%20da%20Day&amp;query_place_id=ChIJ6ZDfK4Q3jgcRZKA1RZwaudI" TargetMode="External"/><Relationship Id="rId311" Type="http://schemas.openxmlformats.org/officeDocument/2006/relationships/hyperlink" Target="https://www.google.com/maps/search/?api=1&amp;query=Studioalicenailld&amp;query_place_id=ChIJSY_xFQA3jgcRA_6vUVgh_VY" TargetMode="External"/><Relationship Id="rId432" Type="http://schemas.openxmlformats.org/officeDocument/2006/relationships/hyperlink" Target="https://www.google.com/maps/search/?api=1&amp;query=Minhas%20Unhas%20Meu%20Humor&amp;query_place_id=ChIJpUMODk03jgcR1cdCWzg9arE" TargetMode="External"/><Relationship Id="rId310" Type="http://schemas.openxmlformats.org/officeDocument/2006/relationships/hyperlink" Target="https://www.google.com/maps/search/?api=1&amp;query=Madames%20cabelo&amp;query_place_id=ChIJEy2YIDI3jgcR4jNcrIUm5GM" TargetMode="External"/><Relationship Id="rId431" Type="http://schemas.openxmlformats.org/officeDocument/2006/relationships/hyperlink" Target="https://www.google.com/maps/search/?api=1&amp;query=Ana.depill&amp;query_place_id=ChIJlX3HR2o3jgcRXu8ByBkdb9Y" TargetMode="External"/><Relationship Id="rId430" Type="http://schemas.openxmlformats.org/officeDocument/2006/relationships/hyperlink" Target="https://www.google.com/maps/search/?api=1&amp;query=Lu%20M%C3%A3os%20E%20P%C3%A9s&amp;query_place_id=ChIJgbt09lg2jgcRr1Hie33kE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5.38"/>
    <col customWidth="1" min="10" max="10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 t="s">
        <v>16</v>
      </c>
      <c r="J2" s="3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3" t="str">
        <f>IFERROR(__xludf.DUMMYFUNCTION("AI(""Preencha um valor adequado para esta célula com base no contexto da tabela"")"),"Timon - MA")</f>
        <v>Timon - MA</v>
      </c>
      <c r="H3" s="2" t="s">
        <v>23</v>
      </c>
      <c r="I3" s="1" t="s">
        <v>24</v>
      </c>
      <c r="J3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3" t="str">
        <f>IFERROR(__xludf.DUMMYFUNCTION("AI(""Preencha um valor adequado para esta célula com base no contexto da tabela"")"),"Timon - MA")</f>
        <v>Timon - MA</v>
      </c>
      <c r="H4" s="2" t="s">
        <v>31</v>
      </c>
      <c r="I4" s="1" t="s">
        <v>32</v>
      </c>
      <c r="J4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" t="str">
        <f>IFERROR(__xludf.DUMMYFUNCTION("AI(""Preencha um valor adequado para esta célula com base no contexto da tabela"")"),"Timon - MA")</f>
        <v>Timon - MA</v>
      </c>
      <c r="H5" s="2" t="s">
        <v>39</v>
      </c>
      <c r="I5" s="1" t="s">
        <v>40</v>
      </c>
      <c r="J5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3" t="str">
        <f>IFERROR(__xludf.DUMMYFUNCTION("AI(""Preencha um valor adequado para esta célula com base no contexto da tabela"")"),"Timon - MA")</f>
        <v>Timon - MA</v>
      </c>
      <c r="H6" s="2" t="s">
        <v>47</v>
      </c>
      <c r="I6" s="1" t="s">
        <v>48</v>
      </c>
      <c r="J6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Beleza""))"),"Clínica de Estética")</f>
        <v>Clínica de Estética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3" t="str">
        <f>IFERROR(__xludf.DUMMYFUNCTION("AI(""Preencha um valor adequado para esta célula com base no contexto da tabela"")"),"Timon - MA")</f>
        <v>Timon - MA</v>
      </c>
      <c r="H7" s="2" t="s">
        <v>55</v>
      </c>
      <c r="I7" s="1" t="s">
        <v>56</v>
      </c>
      <c r="J7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57</v>
      </c>
      <c r="D8" s="1" t="s">
        <v>58</v>
      </c>
      <c r="E8" s="1" t="s">
        <v>59</v>
      </c>
      <c r="F8" s="1" t="s">
        <v>60</v>
      </c>
      <c r="G8" s="3" t="str">
        <f>IFERROR(__xludf.DUMMYFUNCTION("AI(""Preencha um valor adequado para esta célula com base no contexto da tabela"")"),"Timon - MA")</f>
        <v>Timon - MA</v>
      </c>
      <c r="H8" s="2" t="s">
        <v>61</v>
      </c>
      <c r="I8" s="1" t="s">
        <v>62</v>
      </c>
      <c r="J8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63</v>
      </c>
      <c r="D9" s="1" t="s">
        <v>64</v>
      </c>
      <c r="E9" s="1" t="s">
        <v>65</v>
      </c>
      <c r="F9" s="1" t="s">
        <v>66</v>
      </c>
      <c r="G9" s="3" t="str">
        <f>IFERROR(__xludf.DUMMYFUNCTION("AI(""Preencha um valor adequado para esta célula com base no contexto da tabela"")"),"Timon - MA")</f>
        <v>Timon - MA</v>
      </c>
      <c r="H9" s="2" t="s">
        <v>67</v>
      </c>
      <c r="I9" s="1" t="s">
        <v>68</v>
      </c>
      <c r="J9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Beleza""))"),"Manicure - Esmalteria")</f>
        <v>Manicure - Esmalteria</v>
      </c>
    </row>
    <row r="10">
      <c r="A10" s="1" t="s">
        <v>69</v>
      </c>
      <c r="D10" s="1" t="s">
        <v>70</v>
      </c>
      <c r="E10" s="1" t="s">
        <v>71</v>
      </c>
      <c r="F10" s="1" t="s">
        <v>72</v>
      </c>
      <c r="G10" s="3" t="str">
        <f>IFERROR(__xludf.DUMMYFUNCTION("AI(""Preencha um valor adequado para esta célula com base no contexto da tabela"")"),"Timon - MA")</f>
        <v>Timon - MA</v>
      </c>
      <c r="H10" s="2" t="s">
        <v>73</v>
      </c>
      <c r="I10" s="1" t="s">
        <v>74</v>
      </c>
      <c r="J10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Beleza""))"),"Salão de Beleza")</f>
        <v>Salão de Beleza</v>
      </c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80</v>
      </c>
      <c r="G11" s="3" t="str">
        <f>IFERROR(__xludf.DUMMYFUNCTION("AI(""Preencha um valor adequado para esta célula com base no contexto da tabela"")"),"Timon - MA")</f>
        <v>Timon - MA</v>
      </c>
      <c r="H11" s="2" t="s">
        <v>81</v>
      </c>
      <c r="I11" s="1" t="s">
        <v>82</v>
      </c>
      <c r="J11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2">
      <c r="A12" s="1" t="s">
        <v>83</v>
      </c>
      <c r="D12" s="1" t="s">
        <v>84</v>
      </c>
      <c r="E12" s="1" t="s">
        <v>85</v>
      </c>
      <c r="F12" s="1" t="s">
        <v>86</v>
      </c>
      <c r="G12" s="3" t="str">
        <f>IFERROR(__xludf.DUMMYFUNCTION("AI(""Preencha um valor adequado para esta célula com base no contexto da tabela"")"),"Timon - MA")</f>
        <v>Timon - MA</v>
      </c>
      <c r="H12" s="2" t="s">
        <v>87</v>
      </c>
      <c r="I12" s="1" t="s">
        <v>88</v>
      </c>
      <c r="J12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3" t="str">
        <f>IFERROR(__xludf.DUMMYFUNCTION("AI(""Preencha um valor adequado para esta célula com base no contexto da tabela"")"),"Timon - MA")</f>
        <v>Timon - MA</v>
      </c>
      <c r="H13" s="2" t="s">
        <v>95</v>
      </c>
      <c r="I13" s="1" t="s">
        <v>96</v>
      </c>
      <c r="J13" s="3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Beleza""))"),"Manicure - Esmalteria")</f>
        <v>Manicure - Esmalteria</v>
      </c>
    </row>
    <row r="14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102</v>
      </c>
      <c r="G14" s="3" t="str">
        <f>IFERROR(__xludf.DUMMYFUNCTION("AI(""Preencha um valor adequado para esta célula com base no contexto da tabela"")"),"Timon - MA")</f>
        <v>Timon - MA</v>
      </c>
      <c r="H14" s="2" t="s">
        <v>103</v>
      </c>
      <c r="I14" s="1" t="s">
        <v>104</v>
      </c>
      <c r="J14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Beleza""))"),"Salão de Beleza")</f>
        <v>Salão de Beleza</v>
      </c>
    </row>
    <row r="15">
      <c r="A15" s="1" t="s">
        <v>105</v>
      </c>
      <c r="B15" s="1" t="s">
        <v>106</v>
      </c>
      <c r="C15" s="1" t="s">
        <v>107</v>
      </c>
      <c r="D15" s="1" t="s">
        <v>108</v>
      </c>
      <c r="E15" s="1" t="s">
        <v>109</v>
      </c>
      <c r="F15" s="1" t="s">
        <v>110</v>
      </c>
      <c r="G15" s="3" t="str">
        <f>IFERROR(__xludf.DUMMYFUNCTION("AI(""Preencha um valor adequado para esta célula com base no contexto da tabela"")"),"Timon - MA")</f>
        <v>Timon - MA</v>
      </c>
      <c r="H15" s="2" t="s">
        <v>111</v>
      </c>
      <c r="I15" s="1" t="s">
        <v>112</v>
      </c>
      <c r="J15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117</v>
      </c>
      <c r="F16" s="1" t="s">
        <v>118</v>
      </c>
      <c r="G16" s="3" t="str">
        <f>IFERROR(__xludf.DUMMYFUNCTION("AI(""Preencha um valor adequado para esta célula com base no contexto da tabela"")"),"Timon - MA")</f>
        <v>Timon - MA</v>
      </c>
      <c r="H16" s="2" t="s">
        <v>119</v>
      </c>
      <c r="I16" s="1" t="s">
        <v>120</v>
      </c>
      <c r="J16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7">
      <c r="A17" s="1" t="s">
        <v>121</v>
      </c>
      <c r="D17" s="1" t="s">
        <v>122</v>
      </c>
      <c r="E17" s="1" t="s">
        <v>123</v>
      </c>
      <c r="F17" s="1" t="s">
        <v>124</v>
      </c>
      <c r="G17" s="3" t="str">
        <f>IFERROR(__xludf.DUMMYFUNCTION("AI(""Preencha um valor adequado para esta célula com base no contexto da tabela"")"),"Timon - MA")</f>
        <v>Timon - MA</v>
      </c>
      <c r="H17" s="2" t="s">
        <v>125</v>
      </c>
      <c r="I17" s="1" t="s">
        <v>126</v>
      </c>
      <c r="J17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132</v>
      </c>
      <c r="G18" s="3" t="str">
        <f>IFERROR(__xludf.DUMMYFUNCTION("AI(""Preencha um valor adequado para esta célula com base no contexto da tabela"")"),"Timon - MA")</f>
        <v>Timon - MA</v>
      </c>
      <c r="H18" s="2" t="s">
        <v>133</v>
      </c>
      <c r="I18" s="1" t="s">
        <v>134</v>
      </c>
      <c r="J18" s="3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135</v>
      </c>
      <c r="B19" s="1" t="s">
        <v>136</v>
      </c>
      <c r="C19" s="1" t="s">
        <v>137</v>
      </c>
      <c r="D19" s="1" t="s">
        <v>138</v>
      </c>
      <c r="E19" s="1" t="s">
        <v>139</v>
      </c>
      <c r="F19" s="1" t="s">
        <v>140</v>
      </c>
      <c r="G19" s="3" t="str">
        <f>IFERROR(__xludf.DUMMYFUNCTION("AI(""Preencha um valor adequado para esta célula com base no contexto da tabela"")"),"Timon - MA")</f>
        <v>Timon - MA</v>
      </c>
      <c r="H19" s="2" t="s">
        <v>141</v>
      </c>
      <c r="I19" s="1" t="s">
        <v>142</v>
      </c>
      <c r="J19" s="3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Beleza""))"),"Salão de Beleza")</f>
        <v>Salão de Beleza</v>
      </c>
    </row>
    <row r="20">
      <c r="A20" s="1" t="s">
        <v>143</v>
      </c>
      <c r="B20" s="1" t="s">
        <v>144</v>
      </c>
      <c r="C20" s="1" t="s">
        <v>145</v>
      </c>
      <c r="D20" s="1" t="s">
        <v>146</v>
      </c>
      <c r="E20" s="1" t="s">
        <v>147</v>
      </c>
      <c r="F20" s="1" t="s">
        <v>148</v>
      </c>
      <c r="G20" s="3" t="str">
        <f>IFERROR(__xludf.DUMMYFUNCTION("AI(""Preencha um valor adequado para esta célula com base no contexto da tabela"")"),"Timon - MA")</f>
        <v>Timon - MA</v>
      </c>
      <c r="H20" s="2" t="s">
        <v>149</v>
      </c>
      <c r="I20" s="1" t="s">
        <v>150</v>
      </c>
      <c r="J20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151</v>
      </c>
      <c r="B21" s="1" t="s">
        <v>152</v>
      </c>
      <c r="C21" s="1" t="s">
        <v>153</v>
      </c>
      <c r="D21" s="1" t="s">
        <v>154</v>
      </c>
      <c r="E21" s="1" t="s">
        <v>155</v>
      </c>
      <c r="F21" s="1" t="s">
        <v>156</v>
      </c>
      <c r="G21" s="3" t="str">
        <f>IFERROR(__xludf.DUMMYFUNCTION("AI(""Preencha um valor adequado para esta célula com base no contexto da tabela"")"),"Timon - MA")</f>
        <v>Timon - MA</v>
      </c>
      <c r="H21" s="2" t="s">
        <v>157</v>
      </c>
      <c r="I21" s="1" t="s">
        <v>158</v>
      </c>
      <c r="J21" s="3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Beleza""))"),"Salão de Beleza")</f>
        <v>Salão de Beleza</v>
      </c>
    </row>
    <row r="22">
      <c r="A22" s="1" t="s">
        <v>159</v>
      </c>
      <c r="D22" s="1" t="s">
        <v>160</v>
      </c>
      <c r="E22" s="1" t="s">
        <v>161</v>
      </c>
      <c r="F22" s="1" t="s">
        <v>162</v>
      </c>
      <c r="G22" s="3" t="str">
        <f>IFERROR(__xludf.DUMMYFUNCTION("AI(""Preencha um valor adequado para esta célula com base no contexto da tabela"")"),"Timon - MA")</f>
        <v>Timon - MA</v>
      </c>
      <c r="H22" s="2" t="s">
        <v>163</v>
      </c>
      <c r="I22" s="1" t="s">
        <v>164</v>
      </c>
      <c r="J22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165</v>
      </c>
      <c r="B23" s="1" t="s">
        <v>166</v>
      </c>
      <c r="C23" s="1" t="s">
        <v>167</v>
      </c>
      <c r="D23" s="1" t="s">
        <v>168</v>
      </c>
      <c r="E23" s="1" t="s">
        <v>169</v>
      </c>
      <c r="F23" s="1" t="s">
        <v>170</v>
      </c>
      <c r="G23" s="3" t="str">
        <f>IFERROR(__xludf.DUMMYFUNCTION("AI(""Preencha um valor adequado para esta célula com base no contexto da tabela"")"),"Timon - MA")</f>
        <v>Timon - MA</v>
      </c>
      <c r="H23" s="2" t="s">
        <v>171</v>
      </c>
      <c r="I23" s="1" t="s">
        <v>172</v>
      </c>
      <c r="J23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4">
      <c r="A24" s="1" t="s">
        <v>173</v>
      </c>
      <c r="B24" s="1" t="s">
        <v>174</v>
      </c>
      <c r="C24" s="1" t="s">
        <v>175</v>
      </c>
      <c r="D24" s="1" t="s">
        <v>176</v>
      </c>
      <c r="E24" s="1" t="s">
        <v>177</v>
      </c>
      <c r="F24" s="1" t="s">
        <v>178</v>
      </c>
      <c r="G24" s="3" t="str">
        <f>IFERROR(__xludf.DUMMYFUNCTION("AI(""Preencha um valor adequado para esta célula com base no contexto da tabela"")"),"Timon - MA")</f>
        <v>Timon - MA</v>
      </c>
      <c r="H24" s="2" t="s">
        <v>179</v>
      </c>
      <c r="I24" s="1" t="s">
        <v>180</v>
      </c>
      <c r="J24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Beleza""))"),"Clínica de Estética")</f>
        <v>Clínica de Estética</v>
      </c>
    </row>
    <row r="25">
      <c r="A25" s="1" t="s">
        <v>181</v>
      </c>
      <c r="B25" s="1" t="s">
        <v>182</v>
      </c>
      <c r="C25" s="1" t="s">
        <v>183</v>
      </c>
      <c r="D25" s="1" t="s">
        <v>184</v>
      </c>
      <c r="E25" s="1" t="s">
        <v>185</v>
      </c>
      <c r="F25" s="1" t="s">
        <v>186</v>
      </c>
      <c r="G25" s="3" t="str">
        <f>IFERROR(__xludf.DUMMYFUNCTION("AI(""Preencha um valor adequado para esta célula com base no contexto da tabela"")"),"Timon - MA")</f>
        <v>Timon - MA</v>
      </c>
      <c r="H25" s="2" t="s">
        <v>187</v>
      </c>
      <c r="I25" s="1" t="s">
        <v>150</v>
      </c>
      <c r="J25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Beleza""))"),"Clínica de Estética")</f>
        <v>Clínica de Estética</v>
      </c>
    </row>
    <row r="26">
      <c r="A26" s="1" t="s">
        <v>188</v>
      </c>
      <c r="B26" s="1" t="s">
        <v>189</v>
      </c>
      <c r="C26" s="1" t="s">
        <v>190</v>
      </c>
      <c r="D26" s="1" t="s">
        <v>191</v>
      </c>
      <c r="E26" s="1" t="s">
        <v>192</v>
      </c>
      <c r="F26" s="1" t="s">
        <v>193</v>
      </c>
      <c r="G26" s="3" t="str">
        <f>IFERROR(__xludf.DUMMYFUNCTION("AI(""Preencha um valor adequado para esta célula com base no contexto da tabela"")"),"Timon - MA")</f>
        <v>Timon - MA</v>
      </c>
      <c r="H26" s="2" t="s">
        <v>194</v>
      </c>
      <c r="I26" s="1" t="s">
        <v>195</v>
      </c>
      <c r="J26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7">
      <c r="A27" s="1" t="s">
        <v>196</v>
      </c>
      <c r="B27" s="1" t="s">
        <v>197</v>
      </c>
      <c r="C27" s="1" t="s">
        <v>198</v>
      </c>
      <c r="D27" s="1" t="s">
        <v>199</v>
      </c>
      <c r="E27" s="1" t="s">
        <v>200</v>
      </c>
      <c r="F27" s="1" t="s">
        <v>201</v>
      </c>
      <c r="G27" s="3" t="str">
        <f>IFERROR(__xludf.DUMMYFUNCTION("AI(""Preencha um valor adequado para esta célula com base no contexto da tabela"")"),"Timon - MA")</f>
        <v>Timon - MA</v>
      </c>
      <c r="H27" s="2" t="s">
        <v>202</v>
      </c>
      <c r="I27" s="1" t="s">
        <v>203</v>
      </c>
      <c r="J27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Beleza""))"),"Salão de Beleza")</f>
        <v>Salão de Beleza</v>
      </c>
    </row>
    <row r="28">
      <c r="A28" s="1" t="s">
        <v>204</v>
      </c>
      <c r="B28" s="1" t="s">
        <v>205</v>
      </c>
      <c r="C28" s="1" t="s">
        <v>206</v>
      </c>
      <c r="D28" s="1" t="s">
        <v>207</v>
      </c>
      <c r="E28" s="1" t="s">
        <v>208</v>
      </c>
      <c r="F28" s="1" t="s">
        <v>209</v>
      </c>
      <c r="G28" s="3" t="str">
        <f>IFERROR(__xludf.DUMMYFUNCTION("AI(""Preencha um valor adequado para esta célula com base no contexto da tabela"")"),"Timon - MA")</f>
        <v>Timon - MA</v>
      </c>
      <c r="H28" s="2" t="s">
        <v>210</v>
      </c>
      <c r="I28" s="1" t="s">
        <v>211</v>
      </c>
      <c r="J28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212</v>
      </c>
      <c r="B29" s="1" t="s">
        <v>213</v>
      </c>
      <c r="C29" s="1" t="s">
        <v>214</v>
      </c>
      <c r="D29" s="1" t="s">
        <v>215</v>
      </c>
      <c r="E29" s="1" t="s">
        <v>216</v>
      </c>
      <c r="F29" s="1" t="s">
        <v>217</v>
      </c>
      <c r="G29" s="3" t="str">
        <f>IFERROR(__xludf.DUMMYFUNCTION("AI(""Preencha um valor adequado para esta célula com base no contexto da tabela"")"),"Timon - MA")</f>
        <v>Timon - MA</v>
      </c>
      <c r="H29" s="2" t="s">
        <v>218</v>
      </c>
      <c r="I29" s="1" t="s">
        <v>219</v>
      </c>
      <c r="J29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30">
      <c r="A30" s="1" t="s">
        <v>220</v>
      </c>
      <c r="B30" s="1" t="s">
        <v>221</v>
      </c>
      <c r="C30" s="1" t="s">
        <v>222</v>
      </c>
      <c r="D30" s="1" t="s">
        <v>223</v>
      </c>
      <c r="E30" s="1" t="s">
        <v>224</v>
      </c>
      <c r="F30" s="1" t="s">
        <v>225</v>
      </c>
      <c r="G30" s="3" t="str">
        <f>IFERROR(__xludf.DUMMYFUNCTION("AI(""Preencha um valor adequado para esta célula com base no contexto da tabela"")"),"Timon - MA")</f>
        <v>Timon - MA</v>
      </c>
      <c r="H30" s="2" t="s">
        <v>226</v>
      </c>
      <c r="I30" s="1" t="s">
        <v>227</v>
      </c>
      <c r="J30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Beleza""))"),"Salão de Beleza")</f>
        <v>Salão de Beleza</v>
      </c>
    </row>
    <row r="31">
      <c r="A31" s="1" t="s">
        <v>228</v>
      </c>
      <c r="B31" s="1" t="s">
        <v>229</v>
      </c>
      <c r="C31" s="1" t="s">
        <v>230</v>
      </c>
      <c r="D31" s="1" t="s">
        <v>231</v>
      </c>
      <c r="E31" s="1" t="s">
        <v>232</v>
      </c>
      <c r="F31" s="1" t="s">
        <v>233</v>
      </c>
      <c r="G31" s="3" t="str">
        <f>IFERROR(__xludf.DUMMYFUNCTION("AI(""Preencha um valor adequado para esta célula com base no contexto da tabela"")"),"Timon - MA")</f>
        <v>Timon - MA</v>
      </c>
      <c r="H31" s="2" t="s">
        <v>234</v>
      </c>
      <c r="I31" s="1" t="s">
        <v>235</v>
      </c>
      <c r="J31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Beleza""))"),"Salão de Beleza")</f>
        <v>Salão de Beleza</v>
      </c>
    </row>
    <row r="32">
      <c r="A32" s="1" t="s">
        <v>236</v>
      </c>
      <c r="B32" s="1" t="s">
        <v>237</v>
      </c>
      <c r="C32" s="1" t="s">
        <v>238</v>
      </c>
      <c r="D32" s="1" t="s">
        <v>239</v>
      </c>
      <c r="E32" s="1" t="s">
        <v>240</v>
      </c>
      <c r="F32" s="1" t="s">
        <v>241</v>
      </c>
      <c r="G32" s="3" t="str">
        <f>IFERROR(__xludf.DUMMYFUNCTION("AI(""Preencha um valor adequado para esta célula com base no contexto da tabela"")"),"Timon - MA")</f>
        <v>Timon - MA</v>
      </c>
      <c r="H32" s="2" t="s">
        <v>242</v>
      </c>
      <c r="I32" s="1" t="s">
        <v>243</v>
      </c>
      <c r="J32" s="3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Beleza""))"),"Salão de Beleza")</f>
        <v>Salão de Beleza</v>
      </c>
    </row>
    <row r="33">
      <c r="A33" s="1" t="s">
        <v>244</v>
      </c>
      <c r="B33" s="1" t="s">
        <v>245</v>
      </c>
      <c r="C33" s="1" t="s">
        <v>246</v>
      </c>
      <c r="D33" s="1" t="s">
        <v>247</v>
      </c>
      <c r="E33" s="1" t="s">
        <v>248</v>
      </c>
      <c r="F33" s="1" t="s">
        <v>249</v>
      </c>
      <c r="G33" s="3" t="str">
        <f>IFERROR(__xludf.DUMMYFUNCTION("AI(""Preencha um valor adequado para esta célula com base no contexto da tabela"")"),"Timon - MA")</f>
        <v>Timon - MA</v>
      </c>
      <c r="H33" s="2" t="s">
        <v>250</v>
      </c>
      <c r="I33" s="1" t="s">
        <v>251</v>
      </c>
      <c r="J33" s="3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Beleza""))"),"Clínica de Estética")</f>
        <v>Clínica de Estética</v>
      </c>
    </row>
    <row r="34">
      <c r="A34" s="1" t="s">
        <v>252</v>
      </c>
      <c r="D34" s="1" t="s">
        <v>253</v>
      </c>
      <c r="E34" s="1" t="s">
        <v>254</v>
      </c>
      <c r="F34" s="1" t="s">
        <v>255</v>
      </c>
      <c r="G34" s="3" t="str">
        <f>IFERROR(__xludf.DUMMYFUNCTION("AI(""Preencha um valor adequado para esta célula com base no contexto da tabela"")"),"Timon - MA")</f>
        <v>Timon - MA</v>
      </c>
      <c r="H34" s="2" t="s">
        <v>256</v>
      </c>
      <c r="I34" s="1" t="s">
        <v>257</v>
      </c>
      <c r="J34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5">
      <c r="A35" s="1" t="s">
        <v>258</v>
      </c>
      <c r="B35" s="1" t="s">
        <v>259</v>
      </c>
      <c r="C35" s="1" t="s">
        <v>260</v>
      </c>
      <c r="D35" s="1" t="s">
        <v>261</v>
      </c>
      <c r="E35" s="1" t="s">
        <v>262</v>
      </c>
      <c r="F35" s="1" t="s">
        <v>263</v>
      </c>
      <c r="G35" s="3" t="str">
        <f>IFERROR(__xludf.DUMMYFUNCTION("AI(""Preencha um valor adequado para esta célula com base no contexto da tabela"")"),"Timon - MA")</f>
        <v>Timon - MA</v>
      </c>
      <c r="H35" s="2" t="s">
        <v>264</v>
      </c>
      <c r="I35" s="1" t="s">
        <v>265</v>
      </c>
      <c r="J35" s="3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Beleza""))"),"Manicure - Esmalteria")</f>
        <v>Manicure - Esmalteria</v>
      </c>
    </row>
    <row r="36">
      <c r="A36" s="1" t="s">
        <v>266</v>
      </c>
      <c r="B36" s="1" t="s">
        <v>267</v>
      </c>
      <c r="C36" s="1" t="s">
        <v>268</v>
      </c>
      <c r="D36" s="1" t="s">
        <v>269</v>
      </c>
      <c r="E36" s="1" t="s">
        <v>270</v>
      </c>
      <c r="F36" s="1" t="s">
        <v>271</v>
      </c>
      <c r="G36" s="3" t="str">
        <f>IFERROR(__xludf.DUMMYFUNCTION("AI(""Preencha um valor adequado para esta célula com base no contexto da tabela"")"),"Timon - MA")</f>
        <v>Timon - MA</v>
      </c>
      <c r="H36" s="2" t="s">
        <v>272</v>
      </c>
      <c r="I36" s="1" t="s">
        <v>273</v>
      </c>
      <c r="J36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7">
      <c r="A37" s="1" t="s">
        <v>274</v>
      </c>
      <c r="B37" s="1" t="s">
        <v>275</v>
      </c>
      <c r="C37" s="1" t="s">
        <v>276</v>
      </c>
      <c r="D37" s="1" t="s">
        <v>277</v>
      </c>
      <c r="E37" s="1" t="s">
        <v>278</v>
      </c>
      <c r="F37" s="1" t="s">
        <v>279</v>
      </c>
      <c r="G37" s="3" t="str">
        <f>IFERROR(__xludf.DUMMYFUNCTION("AI(""Preencha um valor adequado para esta célula com base no contexto da tabela"")"),"Timon - MA")</f>
        <v>Timon - MA</v>
      </c>
      <c r="H37" s="2" t="s">
        <v>280</v>
      </c>
      <c r="I37" s="1" t="s">
        <v>281</v>
      </c>
      <c r="J37" s="3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8">
      <c r="A38" s="1" t="s">
        <v>282</v>
      </c>
      <c r="B38" s="1" t="s">
        <v>283</v>
      </c>
      <c r="C38" s="1" t="s">
        <v>284</v>
      </c>
      <c r="D38" s="1" t="s">
        <v>285</v>
      </c>
      <c r="E38" s="1" t="s">
        <v>286</v>
      </c>
      <c r="F38" s="1" t="s">
        <v>287</v>
      </c>
      <c r="G38" s="3" t="str">
        <f>IFERROR(__xludf.DUMMYFUNCTION("AI(""Preencha um valor adequado para esta célula com base no contexto da tabela"")"),"Timon - MA")</f>
        <v>Timon - MA</v>
      </c>
      <c r="H38" s="2" t="s">
        <v>288</v>
      </c>
      <c r="I38" s="1" t="s">
        <v>289</v>
      </c>
      <c r="J38" s="3" t="str">
        <f>IFERROR(__xludf.DUMMYFUNCTION("IF(A38="""", """", IFS(REGEXMATCH(LOWER(A38), ""barbearia|barber""), ""Barbearia"", REGEXMATCH(LOWER(A38), ""sobrancelh|c[ií]lio|lash|micropigment|showbrancelhas""), ""Sobrancelhas e Cílios"", REGEXMATCH(LOWER(A38), ""maquia|make""), ""Maquiagem"", REGEXM"&amp;"ATCH(LOWER(A38), ""depil|epil""), ""Depilação"", REGEXMATCH(LOWER(A38), ""esmalteria|unha|nail|manicur|spa dos p[eé]s|kauu_nhas""), ""Manicure - Esmalteria"", REGEXMATCH(LOWER(A38), ""est[eé]tic|bronze|massot|terap|pilates|revitalize|dra""), ""Clínica de "&amp;"Estética"", TRUE, ""Salão de Beleza""))"),"Salão de Beleza")</f>
        <v>Salão de Beleza</v>
      </c>
    </row>
    <row r="39">
      <c r="A39" s="1" t="s">
        <v>290</v>
      </c>
      <c r="B39" s="1" t="s">
        <v>291</v>
      </c>
      <c r="C39" s="1" t="s">
        <v>292</v>
      </c>
      <c r="D39" s="1" t="s">
        <v>293</v>
      </c>
      <c r="E39" s="1" t="s">
        <v>294</v>
      </c>
      <c r="F39" s="1" t="s">
        <v>295</v>
      </c>
      <c r="G39" s="3" t="str">
        <f>IFERROR(__xludf.DUMMYFUNCTION("AI(""Preencha um valor adequado para esta célula com base no contexto da tabela"")"),"Timon - MA")</f>
        <v>Timon - MA</v>
      </c>
      <c r="H39" s="2" t="s">
        <v>296</v>
      </c>
      <c r="I39" s="1" t="s">
        <v>297</v>
      </c>
      <c r="J39" s="3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Beleza""))"),"Salão de Beleza")</f>
        <v>Salão de Beleza</v>
      </c>
    </row>
    <row r="40">
      <c r="A40" s="1" t="s">
        <v>298</v>
      </c>
      <c r="B40" s="1" t="s">
        <v>299</v>
      </c>
      <c r="C40" s="1" t="s">
        <v>300</v>
      </c>
      <c r="D40" s="1" t="s">
        <v>301</v>
      </c>
      <c r="E40" s="1" t="s">
        <v>302</v>
      </c>
      <c r="F40" s="1" t="s">
        <v>303</v>
      </c>
      <c r="G40" s="3" t="str">
        <f>IFERROR(__xludf.DUMMYFUNCTION("AI(""Preencha um valor adequado para esta célula com base no contexto da tabela"")"),"Timon - MA")</f>
        <v>Timon - MA</v>
      </c>
      <c r="H40" s="2" t="s">
        <v>304</v>
      </c>
      <c r="I40" s="1" t="s">
        <v>305</v>
      </c>
      <c r="J40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Beleza""))"),"Salão de Beleza")</f>
        <v>Salão de Beleza</v>
      </c>
    </row>
    <row r="41">
      <c r="A41" s="1" t="s">
        <v>306</v>
      </c>
      <c r="B41" s="1" t="s">
        <v>307</v>
      </c>
      <c r="C41" s="1" t="s">
        <v>308</v>
      </c>
      <c r="D41" s="1" t="s">
        <v>309</v>
      </c>
      <c r="E41" s="1" t="s">
        <v>310</v>
      </c>
      <c r="F41" s="1" t="s">
        <v>311</v>
      </c>
      <c r="G41" s="3" t="str">
        <f>IFERROR(__xludf.DUMMYFUNCTION("AI(""Preencha um valor adequado para esta célula com base no contexto da tabela"")"),"Timon - MA")</f>
        <v>Timon - MA</v>
      </c>
      <c r="H41" s="2" t="s">
        <v>312</v>
      </c>
      <c r="I41" s="1" t="s">
        <v>313</v>
      </c>
      <c r="J41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Beleza""))"),"Salão de Beleza")</f>
        <v>Salão de Beleza</v>
      </c>
    </row>
    <row r="42">
      <c r="A42" s="1" t="s">
        <v>314</v>
      </c>
      <c r="B42" s="1" t="s">
        <v>315</v>
      </c>
      <c r="C42" s="1" t="s">
        <v>316</v>
      </c>
      <c r="D42" s="1" t="s">
        <v>317</v>
      </c>
      <c r="E42" s="1" t="s">
        <v>318</v>
      </c>
      <c r="F42" s="1" t="s">
        <v>319</v>
      </c>
      <c r="G42" s="3" t="str">
        <f>IFERROR(__xludf.DUMMYFUNCTION("AI(""Preencha um valor adequado para esta célula com base no contexto da tabela"")"),"Timon - MA")</f>
        <v>Timon - MA</v>
      </c>
      <c r="H42" s="2" t="s">
        <v>320</v>
      </c>
      <c r="I42" s="1" t="s">
        <v>321</v>
      </c>
      <c r="J42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Beleza""))"),"Clínica de Estética")</f>
        <v>Clínica de Estética</v>
      </c>
    </row>
    <row r="43">
      <c r="A43" s="1" t="s">
        <v>322</v>
      </c>
      <c r="D43" s="1" t="s">
        <v>323</v>
      </c>
      <c r="E43" s="1" t="s">
        <v>324</v>
      </c>
      <c r="F43" s="1" t="s">
        <v>325</v>
      </c>
      <c r="G43" s="3" t="str">
        <f>IFERROR(__xludf.DUMMYFUNCTION("AI(""Preencha um valor adequado para esta célula com base no contexto da tabela"")"),"Timon - MA")</f>
        <v>Timon - MA</v>
      </c>
      <c r="H43" s="2" t="s">
        <v>326</v>
      </c>
      <c r="I43" s="1" t="s">
        <v>327</v>
      </c>
      <c r="J43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4">
      <c r="A44" s="1" t="s">
        <v>328</v>
      </c>
      <c r="B44" s="1" t="s">
        <v>329</v>
      </c>
      <c r="C44" s="1" t="s">
        <v>330</v>
      </c>
      <c r="D44" s="1" t="s">
        <v>331</v>
      </c>
      <c r="E44" s="1" t="s">
        <v>332</v>
      </c>
      <c r="F44" s="1" t="s">
        <v>333</v>
      </c>
      <c r="G44" s="3" t="str">
        <f>IFERROR(__xludf.DUMMYFUNCTION("AI(""Preencha um valor adequado para esta célula com base no contexto da tabela"")"),"Timon - MA")</f>
        <v>Timon - MA</v>
      </c>
      <c r="H44" s="2" t="s">
        <v>334</v>
      </c>
      <c r="I44" s="1" t="s">
        <v>335</v>
      </c>
      <c r="J44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Beleza""))"),"Salão de Beleza")</f>
        <v>Salão de Beleza</v>
      </c>
    </row>
    <row r="45">
      <c r="A45" s="1" t="s">
        <v>336</v>
      </c>
      <c r="B45" s="1" t="s">
        <v>337</v>
      </c>
      <c r="C45" s="1" t="s">
        <v>338</v>
      </c>
      <c r="D45" s="1" t="s">
        <v>339</v>
      </c>
      <c r="E45" s="1" t="s">
        <v>340</v>
      </c>
      <c r="F45" s="1" t="s">
        <v>341</v>
      </c>
      <c r="G45" s="3" t="str">
        <f>IFERROR(__xludf.DUMMYFUNCTION("AI(""Preencha um valor adequado para esta célula com base no contexto da tabela"")"),"Timon - MA")</f>
        <v>Timon - MA</v>
      </c>
      <c r="H45" s="2" t="s">
        <v>342</v>
      </c>
      <c r="I45" s="1" t="s">
        <v>343</v>
      </c>
      <c r="J45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6">
      <c r="A46" s="1" t="s">
        <v>344</v>
      </c>
      <c r="B46" s="1" t="s">
        <v>345</v>
      </c>
      <c r="C46" s="1" t="s">
        <v>346</v>
      </c>
      <c r="D46" s="1" t="s">
        <v>347</v>
      </c>
      <c r="E46" s="1" t="s">
        <v>348</v>
      </c>
      <c r="F46" s="1" t="s">
        <v>349</v>
      </c>
      <c r="G46" s="3" t="str">
        <f>IFERROR(__xludf.DUMMYFUNCTION("AI(""Preencha um valor adequado para esta célula com base no contexto da tabela"")"),"Timon - MA")</f>
        <v>Timon - MA</v>
      </c>
      <c r="H46" s="2" t="s">
        <v>350</v>
      </c>
      <c r="I46" s="1" t="s">
        <v>351</v>
      </c>
      <c r="J46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7">
      <c r="A47" s="1" t="s">
        <v>352</v>
      </c>
      <c r="B47" s="1" t="s">
        <v>353</v>
      </c>
      <c r="C47" s="1" t="s">
        <v>354</v>
      </c>
      <c r="D47" s="1" t="s">
        <v>355</v>
      </c>
      <c r="E47" s="1" t="s">
        <v>356</v>
      </c>
      <c r="F47" s="1" t="s">
        <v>357</v>
      </c>
      <c r="G47" s="3" t="str">
        <f>IFERROR(__xludf.DUMMYFUNCTION("AI(""Preencha um valor adequado para esta célula com base no contexto da tabela"")"),"Timon - MA")</f>
        <v>Timon - MA</v>
      </c>
      <c r="H47" s="2" t="s">
        <v>358</v>
      </c>
      <c r="I47" s="1" t="s">
        <v>359</v>
      </c>
      <c r="J47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Beleza""))"),"Salão de Beleza")</f>
        <v>Salão de Beleza</v>
      </c>
    </row>
    <row r="48">
      <c r="A48" s="1" t="s">
        <v>360</v>
      </c>
      <c r="D48" s="1" t="s">
        <v>361</v>
      </c>
      <c r="E48" s="1" t="s">
        <v>362</v>
      </c>
      <c r="F48" s="1" t="s">
        <v>363</v>
      </c>
      <c r="G48" s="3" t="str">
        <f>IFERROR(__xludf.DUMMYFUNCTION("AI(""Preencha um valor adequado para esta célula com base no contexto da tabela"")"),"Timon - MA")</f>
        <v>Timon - MA</v>
      </c>
      <c r="H48" s="2" t="s">
        <v>364</v>
      </c>
      <c r="I48" s="1" t="s">
        <v>365</v>
      </c>
      <c r="J48" s="3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Beleza""))"),"Salão de Beleza")</f>
        <v>Salão de Beleza</v>
      </c>
    </row>
    <row r="49">
      <c r="A49" s="1" t="s">
        <v>366</v>
      </c>
      <c r="D49" s="1" t="s">
        <v>367</v>
      </c>
      <c r="E49" s="1" t="s">
        <v>368</v>
      </c>
      <c r="F49" s="1" t="s">
        <v>369</v>
      </c>
      <c r="G49" s="3" t="str">
        <f>IFERROR(__xludf.DUMMYFUNCTION("AI(""Preencha um valor adequado para esta célula com base no contexto da tabela"")"),"Timon - MA")</f>
        <v>Timon - MA</v>
      </c>
      <c r="H49" s="2" t="s">
        <v>370</v>
      </c>
      <c r="J49" s="3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Beleza""))"),"Salão de Beleza")</f>
        <v>Salão de Beleza</v>
      </c>
    </row>
    <row r="50">
      <c r="A50" s="1" t="s">
        <v>371</v>
      </c>
      <c r="B50" s="1" t="s">
        <v>372</v>
      </c>
      <c r="C50" s="1" t="s">
        <v>373</v>
      </c>
      <c r="D50" s="1" t="s">
        <v>374</v>
      </c>
      <c r="E50" s="1" t="s">
        <v>375</v>
      </c>
      <c r="F50" s="1" t="s">
        <v>376</v>
      </c>
      <c r="G50" s="3" t="str">
        <f>IFERROR(__xludf.DUMMYFUNCTION("AI(""Preencha um valor adequado para esta célula com base no contexto da tabela"")"),"Timon - MA")</f>
        <v>Timon - MA</v>
      </c>
      <c r="H50" s="2" t="s">
        <v>377</v>
      </c>
      <c r="I50" s="1" t="s">
        <v>378</v>
      </c>
      <c r="J50" s="3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Beleza""))"),"Salão de Beleza")</f>
        <v>Salão de Beleza</v>
      </c>
    </row>
    <row r="51">
      <c r="A51" s="1" t="s">
        <v>379</v>
      </c>
      <c r="B51" s="1" t="s">
        <v>380</v>
      </c>
      <c r="C51" s="1" t="s">
        <v>381</v>
      </c>
      <c r="D51" s="1" t="s">
        <v>382</v>
      </c>
      <c r="E51" s="1" t="s">
        <v>383</v>
      </c>
      <c r="F51" s="1" t="s">
        <v>384</v>
      </c>
      <c r="G51" s="3" t="str">
        <f>IFERROR(__xludf.DUMMYFUNCTION("AI(""Preencha um valor adequado para esta célula com base no contexto da tabela"")"),"Timon - MA")</f>
        <v>Timon - MA</v>
      </c>
      <c r="H51" s="2" t="s">
        <v>385</v>
      </c>
      <c r="I51" s="1" t="s">
        <v>386</v>
      </c>
      <c r="J51" s="3" t="str">
        <f>IFERROR(__xludf.DUMMYFUNCTION("IF(A51="""", """", IFS(REGEXMATCH(LOWER(A51), ""barbearia|barber""), ""Barbearia"", REGEXMATCH(LOWER(A51), ""sobrancelh|c[ií]lio|lash|micropigment|showbrancelhas""), ""Sobrancelhas e Cílios"", REGEXMATCH(LOWER(A51), ""maquia|make""), ""Maquiagem"", REGEXM"&amp;"ATCH(LOWER(A51), ""depil|epil""), ""Depilação"", REGEXMATCH(LOWER(A51), ""esmalteria|unha|nail|manicur|spa dos p[eé]s|kauu_nhas""), ""Manicure - Esmalteria"", REGEXMATCH(LOWER(A51), ""est[eé]tic|bronze|massot|terap|pilates|revitalize|dra""), ""Clínica de "&amp;"Estética"", TRUE, ""Salão de Beleza""))"),"Salão de Beleza")</f>
        <v>Salão de Beleza</v>
      </c>
    </row>
    <row r="52">
      <c r="A52" s="1" t="s">
        <v>387</v>
      </c>
      <c r="B52" s="1" t="s">
        <v>388</v>
      </c>
      <c r="C52" s="1" t="s">
        <v>389</v>
      </c>
      <c r="D52" s="1" t="s">
        <v>390</v>
      </c>
      <c r="E52" s="1" t="s">
        <v>391</v>
      </c>
      <c r="F52" s="1" t="s">
        <v>392</v>
      </c>
      <c r="G52" s="3" t="str">
        <f>IFERROR(__xludf.DUMMYFUNCTION("AI(""Preencha um valor adequado para esta célula com base no contexto da tabela"")"),"Timon - MA")</f>
        <v>Timon - MA</v>
      </c>
      <c r="H52" s="2" t="s">
        <v>393</v>
      </c>
      <c r="I52" s="1" t="s">
        <v>394</v>
      </c>
      <c r="J52" s="3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Beleza""))"),"Salão de Beleza")</f>
        <v>Salão de Beleza</v>
      </c>
    </row>
    <row r="53">
      <c r="A53" s="1" t="s">
        <v>395</v>
      </c>
      <c r="B53" s="1" t="s">
        <v>396</v>
      </c>
      <c r="C53" s="1" t="s">
        <v>397</v>
      </c>
      <c r="D53" s="1" t="s">
        <v>398</v>
      </c>
      <c r="E53" s="1" t="s">
        <v>399</v>
      </c>
      <c r="F53" s="1" t="s">
        <v>400</v>
      </c>
      <c r="G53" s="3" t="str">
        <f>IFERROR(__xludf.DUMMYFUNCTION("AI(""Preencha um valor adequado para esta célula com base no contexto da tabela"")"),"Timon - MA")</f>
        <v>Timon - MA</v>
      </c>
      <c r="H53" s="2" t="s">
        <v>401</v>
      </c>
      <c r="I53" s="1" t="s">
        <v>402</v>
      </c>
      <c r="J53" s="3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Beleza""))"),"Salão de Beleza")</f>
        <v>Salão de Beleza</v>
      </c>
    </row>
    <row r="54">
      <c r="A54" s="1" t="s">
        <v>403</v>
      </c>
      <c r="B54" s="1" t="s">
        <v>404</v>
      </c>
      <c r="C54" s="1" t="s">
        <v>405</v>
      </c>
      <c r="D54" s="1" t="s">
        <v>406</v>
      </c>
      <c r="E54" s="1" t="s">
        <v>407</v>
      </c>
      <c r="F54" s="1" t="s">
        <v>408</v>
      </c>
      <c r="G54" s="3" t="str">
        <f>IFERROR(__xludf.DUMMYFUNCTION("AI(""Preencha um valor adequado para esta célula com base no contexto da tabela"")"),"Timon - MA")</f>
        <v>Timon - MA</v>
      </c>
      <c r="H54" s="2" t="s">
        <v>409</v>
      </c>
      <c r="I54" s="1" t="s">
        <v>410</v>
      </c>
      <c r="J54" s="3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Beleza""))"),"Salão de Beleza")</f>
        <v>Salão de Beleza</v>
      </c>
    </row>
    <row r="55">
      <c r="A55" s="1" t="s">
        <v>411</v>
      </c>
      <c r="B55" s="1" t="s">
        <v>412</v>
      </c>
      <c r="C55" s="1" t="s">
        <v>413</v>
      </c>
      <c r="D55" s="1" t="s">
        <v>414</v>
      </c>
      <c r="E55" s="1" t="s">
        <v>415</v>
      </c>
      <c r="F55" s="1" t="s">
        <v>416</v>
      </c>
      <c r="G55" s="3" t="str">
        <f>IFERROR(__xludf.DUMMYFUNCTION("AI(""Preencha um valor adequado para esta célula com base no contexto da tabela"")"),"Timon - MA")</f>
        <v>Timon - MA</v>
      </c>
      <c r="H55" s="2" t="s">
        <v>417</v>
      </c>
      <c r="I55" s="1" t="s">
        <v>418</v>
      </c>
      <c r="J55" s="3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Beleza""))"),"Salão de Beleza")</f>
        <v>Salão de Beleza</v>
      </c>
    </row>
    <row r="56">
      <c r="A56" s="1" t="s">
        <v>419</v>
      </c>
      <c r="B56" s="1" t="s">
        <v>420</v>
      </c>
      <c r="C56" s="1" t="s">
        <v>421</v>
      </c>
      <c r="D56" s="1" t="s">
        <v>422</v>
      </c>
      <c r="E56" s="1" t="s">
        <v>423</v>
      </c>
      <c r="F56" s="1" t="s">
        <v>424</v>
      </c>
      <c r="G56" s="3" t="str">
        <f>IFERROR(__xludf.DUMMYFUNCTION("AI(""Preencha um valor adequado para esta célula com base no contexto da tabela"")"),"Timon - MA")</f>
        <v>Timon - MA</v>
      </c>
      <c r="H56" s="2" t="s">
        <v>425</v>
      </c>
      <c r="I56" s="1" t="s">
        <v>426</v>
      </c>
      <c r="J56" s="3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Beleza""))"),"Salão de Beleza")</f>
        <v>Salão de Beleza</v>
      </c>
    </row>
    <row r="57">
      <c r="A57" s="1" t="s">
        <v>427</v>
      </c>
      <c r="D57" s="1" t="s">
        <v>367</v>
      </c>
      <c r="E57" s="1" t="s">
        <v>428</v>
      </c>
      <c r="F57" s="1" t="s">
        <v>429</v>
      </c>
      <c r="G57" s="3" t="str">
        <f>IFERROR(__xludf.DUMMYFUNCTION("AI(""Preencha um valor adequado para esta célula com base no contexto da tabela"")"),"Timon - MA")</f>
        <v>Timon - MA</v>
      </c>
      <c r="H57" s="2" t="s">
        <v>430</v>
      </c>
      <c r="J57" s="3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Beleza""))"),"Manicure - Esmalteria")</f>
        <v>Manicure - Esmalteria</v>
      </c>
    </row>
    <row r="58">
      <c r="A58" s="1" t="s">
        <v>431</v>
      </c>
      <c r="B58" s="1" t="s">
        <v>432</v>
      </c>
      <c r="C58" s="1" t="s">
        <v>433</v>
      </c>
      <c r="D58" s="1" t="s">
        <v>434</v>
      </c>
      <c r="E58" s="1" t="s">
        <v>435</v>
      </c>
      <c r="F58" s="1" t="s">
        <v>436</v>
      </c>
      <c r="G58" s="3" t="str">
        <f>IFERROR(__xludf.DUMMYFUNCTION("AI(""Preencha um valor adequado para esta célula com base no contexto da tabela"")"),"Timon - MA")</f>
        <v>Timon - MA</v>
      </c>
      <c r="H58" s="2" t="s">
        <v>437</v>
      </c>
      <c r="I58" s="1" t="s">
        <v>438</v>
      </c>
      <c r="J58" s="3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9">
      <c r="A59" s="1" t="s">
        <v>439</v>
      </c>
      <c r="B59" s="1" t="s">
        <v>440</v>
      </c>
      <c r="C59" s="1" t="s">
        <v>441</v>
      </c>
      <c r="D59" s="1" t="s">
        <v>442</v>
      </c>
      <c r="E59" s="1" t="s">
        <v>443</v>
      </c>
      <c r="F59" s="1" t="s">
        <v>444</v>
      </c>
      <c r="G59" s="3" t="str">
        <f>IFERROR(__xludf.DUMMYFUNCTION("AI(""Preencha um valor adequado para esta célula com base no contexto da tabela"")"),"Timon - MA")</f>
        <v>Timon - MA</v>
      </c>
      <c r="H59" s="2" t="s">
        <v>445</v>
      </c>
      <c r="I59" s="1" t="s">
        <v>446</v>
      </c>
      <c r="J59" s="3" t="str">
        <f>IFERROR(__xludf.DUMMYFUNCTION("IF(A59="""", """", IFS(REGEXMATCH(LOWER(A59), ""barbearia|barber""), ""Barbearia"", REGEXMATCH(LOWER(A59), ""sobrancelh|c[ií]lio|lash|micropigment|showbrancelhas""), ""Sobrancelhas e Cílios"", REGEXMATCH(LOWER(A59), ""maquia|make""), ""Maquiagem"", REGEXM"&amp;"ATCH(LOWER(A59), ""depil|epil""), ""Depilação"", REGEXMATCH(LOWER(A59), ""esmalteria|unha|nail|manicur|spa dos p[eé]s|kauu_nhas""), ""Manicure - Esmalteria"", REGEXMATCH(LOWER(A59), ""est[eé]tic|bronze|massot|terap|pilates|revitalize|dra""), ""Clínica de "&amp;"Estética"", TRUE, ""Salão de Beleza""))"),"Salão de Beleza")</f>
        <v>Salão de Beleza</v>
      </c>
    </row>
    <row r="60">
      <c r="A60" s="1" t="s">
        <v>447</v>
      </c>
      <c r="B60" s="1" t="s">
        <v>448</v>
      </c>
      <c r="C60" s="1" t="s">
        <v>449</v>
      </c>
      <c r="D60" s="1" t="s">
        <v>450</v>
      </c>
      <c r="E60" s="1" t="s">
        <v>451</v>
      </c>
      <c r="F60" s="1" t="s">
        <v>452</v>
      </c>
      <c r="G60" s="3" t="str">
        <f>IFERROR(__xludf.DUMMYFUNCTION("AI(""Preencha um valor adequado para esta célula com base no contexto da tabela"")"),"Timon - MA")</f>
        <v>Timon - MA</v>
      </c>
      <c r="H60" s="2" t="s">
        <v>453</v>
      </c>
      <c r="I60" s="1" t="s">
        <v>454</v>
      </c>
      <c r="J60" s="3" t="str">
        <f>IFERROR(__xludf.DUMMYFUNCTION("IF(A60="""", """", IFS(REGEXMATCH(LOWER(A60), ""barbearia|barber""), ""Barbearia"", REGEXMATCH(LOWER(A60), ""sobrancelh|c[ií]lio|lash|micropigment|showbrancelhas""), ""Sobrancelhas e Cílios"", REGEXMATCH(LOWER(A60), ""maquia|make""), ""Maquiagem"", REGEXM"&amp;"ATCH(LOWER(A60), ""depil|epil""), ""Depilação"", REGEXMATCH(LOWER(A60), ""esmalteria|unha|nail|manicur|spa dos p[eé]s|kauu_nhas""), ""Manicure - Esmalteria"", REGEXMATCH(LOWER(A60), ""est[eé]tic|bronze|massot|terap|pilates|revitalize|dra""), ""Clínica de "&amp;"Estética"", TRUE, ""Salão de Beleza""))"),"Salão de Beleza")</f>
        <v>Salão de Beleza</v>
      </c>
    </row>
    <row r="61">
      <c r="A61" s="1" t="s">
        <v>455</v>
      </c>
      <c r="B61" s="1" t="s">
        <v>456</v>
      </c>
      <c r="C61" s="1" t="s">
        <v>457</v>
      </c>
      <c r="D61" s="1" t="s">
        <v>458</v>
      </c>
      <c r="E61" s="1" t="s">
        <v>459</v>
      </c>
      <c r="F61" s="1" t="s">
        <v>460</v>
      </c>
      <c r="G61" s="3" t="str">
        <f>IFERROR(__xludf.DUMMYFUNCTION("AI(""Preencha um valor adequado para esta célula com base no contexto da tabela"")"),"Timon - MA")</f>
        <v>Timon - MA</v>
      </c>
      <c r="H61" s="2" t="s">
        <v>461</v>
      </c>
      <c r="I61" s="1" t="s">
        <v>462</v>
      </c>
      <c r="J61" s="3" t="str">
        <f>IFERROR(__xludf.DUMMYFUNCTION("IF(A61="""", """", IFS(REGEXMATCH(LOWER(A61), ""barbearia|barber""), ""Barbearia"", REGEXMATCH(LOWER(A61), ""sobrancelh|c[ií]lio|lash|micropigment|showbrancelhas""), ""Sobrancelhas e Cílios"", REGEXMATCH(LOWER(A61), ""maquia|make""), ""Maquiagem"", REGEXM"&amp;"ATCH(LOWER(A61), ""depil|epil""), ""Depilação"", REGEXMATCH(LOWER(A61), ""esmalteria|unha|nail|manicur|spa dos p[eé]s|kauu_nhas""), ""Manicure - Esmalteria"", REGEXMATCH(LOWER(A61), ""est[eé]tic|bronze|massot|terap|pilates|revitalize|dra""), ""Clínica de "&amp;"Estética"", TRUE, ""Salão de Beleza""))"),"Salão de Beleza")</f>
        <v>Salão de Beleza</v>
      </c>
    </row>
    <row r="62">
      <c r="A62" s="1" t="s">
        <v>463</v>
      </c>
      <c r="D62" s="1" t="s">
        <v>464</v>
      </c>
      <c r="E62" s="1" t="s">
        <v>465</v>
      </c>
      <c r="F62" s="1" t="s">
        <v>466</v>
      </c>
      <c r="G62" s="3" t="str">
        <f>IFERROR(__xludf.DUMMYFUNCTION("AI(""Preencha um valor adequado para esta célula com base no contexto da tabela"")"),"Timon - MA")</f>
        <v>Timon - MA</v>
      </c>
      <c r="H62" s="2" t="s">
        <v>467</v>
      </c>
      <c r="I62" s="1" t="s">
        <v>468</v>
      </c>
      <c r="J62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Beleza""))"),"Salão de Beleza")</f>
        <v>Salão de Beleza</v>
      </c>
    </row>
    <row r="63">
      <c r="A63" s="1" t="s">
        <v>469</v>
      </c>
      <c r="B63" s="1" t="s">
        <v>470</v>
      </c>
      <c r="C63" s="1" t="s">
        <v>471</v>
      </c>
      <c r="D63" s="1" t="s">
        <v>472</v>
      </c>
      <c r="E63" s="1" t="s">
        <v>473</v>
      </c>
      <c r="F63" s="1" t="s">
        <v>474</v>
      </c>
      <c r="G63" s="3" t="str">
        <f>IFERROR(__xludf.DUMMYFUNCTION("AI(""Preencha um valor adequado para esta célula com base no contexto da tabela"")"),"Timon - MA")</f>
        <v>Timon - MA</v>
      </c>
      <c r="H63" s="2" t="s">
        <v>475</v>
      </c>
      <c r="I63" s="1" t="s">
        <v>476</v>
      </c>
      <c r="J63" s="3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Beleza""))"),"Salão de Beleza")</f>
        <v>Salão de Beleza</v>
      </c>
    </row>
    <row r="64">
      <c r="A64" s="1" t="s">
        <v>477</v>
      </c>
      <c r="B64" s="1" t="s">
        <v>478</v>
      </c>
      <c r="C64" s="1" t="s">
        <v>479</v>
      </c>
      <c r="D64" s="1" t="s">
        <v>480</v>
      </c>
      <c r="E64" s="1" t="s">
        <v>481</v>
      </c>
      <c r="F64" s="1" t="s">
        <v>482</v>
      </c>
      <c r="G64" s="3" t="str">
        <f>IFERROR(__xludf.DUMMYFUNCTION("AI(""Preencha um valor adequado para esta célula com base no contexto da tabela"")"),"Timon - MA")</f>
        <v>Timon - MA</v>
      </c>
      <c r="H64" s="2" t="s">
        <v>483</v>
      </c>
      <c r="I64" s="1" t="s">
        <v>16</v>
      </c>
      <c r="J64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Beleza""))"),"Salão de Beleza")</f>
        <v>Salão de Beleza</v>
      </c>
    </row>
    <row r="65">
      <c r="A65" s="1" t="s">
        <v>484</v>
      </c>
      <c r="D65" s="1" t="s">
        <v>485</v>
      </c>
      <c r="E65" s="1" t="s">
        <v>486</v>
      </c>
      <c r="F65" s="1" t="s">
        <v>487</v>
      </c>
      <c r="G65" s="3" t="str">
        <f>IFERROR(__xludf.DUMMYFUNCTION("AI(""Preencha um valor adequado para esta célula com base no contexto da tabela"")"),"Timon - MA")</f>
        <v>Timon - MA</v>
      </c>
      <c r="H65" s="2" t="s">
        <v>488</v>
      </c>
      <c r="I65" s="1" t="s">
        <v>489</v>
      </c>
      <c r="J65" s="3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Beleza""))"),"Salão de Beleza")</f>
        <v>Salão de Beleza</v>
      </c>
    </row>
    <row r="66">
      <c r="A66" s="1" t="s">
        <v>490</v>
      </c>
      <c r="B66" s="1" t="s">
        <v>491</v>
      </c>
      <c r="C66" s="1" t="s">
        <v>492</v>
      </c>
      <c r="D66" s="1" t="s">
        <v>493</v>
      </c>
      <c r="E66" s="1" t="s">
        <v>494</v>
      </c>
      <c r="F66" s="1" t="s">
        <v>495</v>
      </c>
      <c r="G66" s="3" t="str">
        <f>IFERROR(__xludf.DUMMYFUNCTION("AI(""Preencha um valor adequado para esta célula com base no contexto da tabela"")"),"Timon - MA")</f>
        <v>Timon - MA</v>
      </c>
      <c r="H66" s="2" t="s">
        <v>496</v>
      </c>
      <c r="I66" s="1" t="s">
        <v>497</v>
      </c>
      <c r="J66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7">
      <c r="A67" s="1" t="s">
        <v>498</v>
      </c>
      <c r="B67" s="1" t="s">
        <v>499</v>
      </c>
      <c r="C67" s="1" t="s">
        <v>500</v>
      </c>
      <c r="D67" s="1" t="s">
        <v>501</v>
      </c>
      <c r="E67" s="1" t="s">
        <v>502</v>
      </c>
      <c r="F67" s="1" t="s">
        <v>503</v>
      </c>
      <c r="G67" s="3" t="str">
        <f>IFERROR(__xludf.DUMMYFUNCTION("AI(""Preencha um valor adequado para esta célula com base no contexto da tabela"")"),"Timon - MA")</f>
        <v>Timon - MA</v>
      </c>
      <c r="H67" s="2" t="s">
        <v>504</v>
      </c>
      <c r="I67" s="1" t="s">
        <v>505</v>
      </c>
      <c r="J67" s="3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Beleza""))"),"Clínica de Estética")</f>
        <v>Clínica de Estética</v>
      </c>
    </row>
    <row r="68">
      <c r="A68" s="1" t="s">
        <v>506</v>
      </c>
      <c r="B68" s="1" t="s">
        <v>507</v>
      </c>
      <c r="C68" s="1" t="s">
        <v>508</v>
      </c>
      <c r="D68" s="1" t="s">
        <v>509</v>
      </c>
      <c r="E68" s="1" t="s">
        <v>510</v>
      </c>
      <c r="F68" s="1" t="s">
        <v>511</v>
      </c>
      <c r="G68" s="3" t="str">
        <f>IFERROR(__xludf.DUMMYFUNCTION("AI(""Preencha um valor adequado para esta célula com base no contexto da tabela"")"),"Timon - MA")</f>
        <v>Timon - MA</v>
      </c>
      <c r="H68" s="2" t="s">
        <v>512</v>
      </c>
      <c r="I68" s="1" t="s">
        <v>513</v>
      </c>
      <c r="J68" s="3" t="str">
        <f>IFERROR(__xludf.DUMMYFUNCTION("IF(A68="""", """", IFS(REGEXMATCH(LOWER(A68), ""barbearia|barber""), ""Barbearia"", REGEXMATCH(LOWER(A68), ""sobrancelh|c[ií]lio|lash|micropigment|showbrancelhas""), ""Sobrancelhas e Cílios"", REGEXMATCH(LOWER(A68), ""maquia|make""), ""Maquiagem"", REGEXM"&amp;"ATCH(LOWER(A68), ""depil|epil""), ""Depilação"", REGEXMATCH(LOWER(A68), ""esmalteria|unha|nail|manicur|spa dos p[eé]s|kauu_nhas""), ""Manicure - Esmalteria"", REGEXMATCH(LOWER(A68), ""est[eé]tic|bronze|massot|terap|pilates|revitalize|dra""), ""Clínica de "&amp;"Estética"", TRUE, ""Salão de Beleza""))"),"Salão de Beleza")</f>
        <v>Salão de Beleza</v>
      </c>
    </row>
    <row r="69">
      <c r="A69" s="1" t="s">
        <v>514</v>
      </c>
      <c r="B69" s="1" t="s">
        <v>515</v>
      </c>
      <c r="C69" s="1" t="s">
        <v>516</v>
      </c>
      <c r="D69" s="1" t="s">
        <v>517</v>
      </c>
      <c r="E69" s="1" t="s">
        <v>518</v>
      </c>
      <c r="F69" s="1" t="s">
        <v>519</v>
      </c>
      <c r="G69" s="3" t="str">
        <f>IFERROR(__xludf.DUMMYFUNCTION("AI(""Preencha um valor adequado para esta célula com base no contexto da tabela"")"),"Timon - MA")</f>
        <v>Timon - MA</v>
      </c>
      <c r="H69" s="2" t="s">
        <v>520</v>
      </c>
      <c r="I69" s="1" t="s">
        <v>521</v>
      </c>
      <c r="J69" s="3" t="str">
        <f>IFERROR(__xludf.DUMMYFUNCTION("IF(A69="""", """", IFS(REGEXMATCH(LOWER(A69), ""barbearia|barber""), ""Barbearia"", REGEXMATCH(LOWER(A69), ""sobrancelh|c[ií]lio|lash|micropigment|showbrancelhas""), ""Sobrancelhas e Cílios"", REGEXMATCH(LOWER(A69), ""maquia|make""), ""Maquiagem"", REGEXM"&amp;"ATCH(LOWER(A69), ""depil|epil""), ""Depilação"", REGEXMATCH(LOWER(A69), ""esmalteria|unha|nail|manicur|spa dos p[eé]s|kauu_nhas""), ""Manicure - Esmalteria"", REGEXMATCH(LOWER(A69), ""est[eé]tic|bronze|massot|terap|pilates|revitalize|dra""), ""Clínica de "&amp;"Estética"", TRUE, ""Salão de Beleza""))"),"Salão de Beleza")</f>
        <v>Salão de Beleza</v>
      </c>
    </row>
    <row r="70">
      <c r="A70" s="1" t="s">
        <v>522</v>
      </c>
      <c r="B70" s="1" t="s">
        <v>523</v>
      </c>
      <c r="C70" s="1" t="s">
        <v>524</v>
      </c>
      <c r="D70" s="1" t="s">
        <v>525</v>
      </c>
      <c r="E70" s="1" t="s">
        <v>526</v>
      </c>
      <c r="F70" s="1" t="s">
        <v>527</v>
      </c>
      <c r="G70" s="3" t="str">
        <f>IFERROR(__xludf.DUMMYFUNCTION("AI(""Preencha um valor adequado para esta célula com base no contexto da tabela"")"),"Timon - MA")</f>
        <v>Timon - MA</v>
      </c>
      <c r="H70" s="2" t="s">
        <v>528</v>
      </c>
      <c r="I70" s="1" t="s">
        <v>529</v>
      </c>
      <c r="J70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Beleza""))"),"Salão de Beleza")</f>
        <v>Salão de Beleza</v>
      </c>
    </row>
    <row r="71">
      <c r="A71" s="1" t="s">
        <v>530</v>
      </c>
      <c r="D71" s="1" t="s">
        <v>531</v>
      </c>
      <c r="E71" s="1" t="s">
        <v>532</v>
      </c>
      <c r="F71" s="1" t="s">
        <v>533</v>
      </c>
      <c r="G71" s="3" t="str">
        <f>IFERROR(__xludf.DUMMYFUNCTION("AI(""Preencha um valor adequado para esta célula com base no contexto da tabela"")"),"Timon - MA")</f>
        <v>Timon - MA</v>
      </c>
      <c r="H71" s="2" t="s">
        <v>534</v>
      </c>
      <c r="I71" s="1" t="s">
        <v>535</v>
      </c>
      <c r="J71" s="3" t="str">
        <f>IFERROR(__xludf.DUMMYFUNCTION("IF(A71="""", """", IFS(REGEXMATCH(LOWER(A71), ""barbearia|barber""), ""Barbearia"", REGEXMATCH(LOWER(A71), ""sobrancelh|c[ií]lio|lash|micropigment|showbrancelhas""), ""Sobrancelhas e Cílios"", REGEXMATCH(LOWER(A71), ""maquia|make""), ""Maquiagem"", REGEXM"&amp;"ATCH(LOWER(A71), ""depil|epil""), ""Depilação"", REGEXMATCH(LOWER(A71), ""esmalteria|unha|nail|manicur|spa dos p[eé]s|kauu_nhas""), ""Manicure - Esmalteria"", REGEXMATCH(LOWER(A71), ""est[eé]tic|bronze|massot|terap|pilates|revitalize|dra""), ""Clínica de "&amp;"Estética"", TRUE, ""Salão de Beleza""))"),"Salão de Beleza")</f>
        <v>Salão de Beleza</v>
      </c>
    </row>
    <row r="72">
      <c r="A72" s="1" t="s">
        <v>536</v>
      </c>
      <c r="B72" s="1" t="s">
        <v>537</v>
      </c>
      <c r="C72" s="1" t="s">
        <v>538</v>
      </c>
      <c r="D72" s="1" t="s">
        <v>539</v>
      </c>
      <c r="E72" s="1" t="s">
        <v>540</v>
      </c>
      <c r="F72" s="1" t="s">
        <v>541</v>
      </c>
      <c r="G72" s="3" t="str">
        <f>IFERROR(__xludf.DUMMYFUNCTION("AI(""Preencha um valor adequado para esta célula com base no contexto da tabela"")"),"Timon - MA")</f>
        <v>Timon - MA</v>
      </c>
      <c r="H72" s="2" t="s">
        <v>542</v>
      </c>
      <c r="I72" s="1" t="s">
        <v>543</v>
      </c>
      <c r="J72" s="3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Beleza""))"),"Salão de Beleza")</f>
        <v>Salão de Beleza</v>
      </c>
    </row>
    <row r="73">
      <c r="A73" s="1" t="s">
        <v>544</v>
      </c>
      <c r="B73" s="1" t="s">
        <v>545</v>
      </c>
      <c r="C73" s="1" t="s">
        <v>546</v>
      </c>
      <c r="D73" s="1" t="s">
        <v>547</v>
      </c>
      <c r="E73" s="1" t="s">
        <v>548</v>
      </c>
      <c r="F73" s="1" t="s">
        <v>549</v>
      </c>
      <c r="G73" s="3" t="str">
        <f>IFERROR(__xludf.DUMMYFUNCTION("AI(""Preencha um valor adequado para esta célula com base no contexto da tabela"")"),"Timon - MA")</f>
        <v>Timon - MA</v>
      </c>
      <c r="H73" s="2" t="s">
        <v>550</v>
      </c>
      <c r="I73" s="1" t="s">
        <v>551</v>
      </c>
      <c r="J73" s="3" t="str">
        <f>IFERROR(__xludf.DUMMYFUNCTION("IF(A73="""", """", IFS(REGEXMATCH(LOWER(A73), ""barbearia|barber""), ""Barbearia"", REGEXMATCH(LOWER(A73), ""sobrancelh|c[ií]lio|lash|micropigment|showbrancelhas""), ""Sobrancelhas e Cílios"", REGEXMATCH(LOWER(A73), ""maquia|make""), ""Maquiagem"", REGEXM"&amp;"ATCH(LOWER(A73), ""depil|epil""), ""Depilação"", REGEXMATCH(LOWER(A73), ""esmalteria|unha|nail|manicur|spa dos p[eé]s|kauu_nhas""), ""Manicure - Esmalteria"", REGEXMATCH(LOWER(A73), ""est[eé]tic|bronze|massot|terap|pilates|revitalize|dra""), ""Clínica de "&amp;"Estética"", TRUE, ""Salão de Beleza""))"),"Salão de Beleza")</f>
        <v>Salão de Beleza</v>
      </c>
    </row>
    <row r="74">
      <c r="A74" s="1" t="s">
        <v>552</v>
      </c>
      <c r="D74" s="1" t="s">
        <v>553</v>
      </c>
      <c r="E74" s="1" t="s">
        <v>554</v>
      </c>
      <c r="F74" s="1" t="s">
        <v>555</v>
      </c>
      <c r="G74" s="3" t="str">
        <f>IFERROR(__xludf.DUMMYFUNCTION("AI(""Preencha um valor adequado para esta célula com base no contexto da tabela"")"),"Timon - MA")</f>
        <v>Timon - MA</v>
      </c>
      <c r="H74" s="2" t="s">
        <v>556</v>
      </c>
      <c r="I74" s="1" t="s">
        <v>557</v>
      </c>
      <c r="J74" s="3" t="str">
        <f>IFERROR(__xludf.DUMMYFUNCTION("IF(A74="""", """", IFS(REGEXMATCH(LOWER(A74), ""barbearia|barber""), ""Barbearia"", REGEXMATCH(LOWER(A74), ""sobrancelh|c[ií]lio|lash|micropigment|showbrancelhas""), ""Sobrancelhas e Cílios"", REGEXMATCH(LOWER(A74), ""maquia|make""), ""Maquiagem"", REGEXM"&amp;"ATCH(LOWER(A74), ""depil|epil""), ""Depilação"", REGEXMATCH(LOWER(A74), ""esmalteria|unha|nail|manicur|spa dos p[eé]s|kauu_nhas""), ""Manicure - Esmalteria"", REGEXMATCH(LOWER(A74), ""est[eé]tic|bronze|massot|terap|pilates|revitalize|dra""), ""Clínica de "&amp;"Estética"", TRUE, ""Salão de Beleza""))"),"Salão de Beleza")</f>
        <v>Salão de Beleza</v>
      </c>
    </row>
    <row r="75">
      <c r="A75" s="1" t="s">
        <v>558</v>
      </c>
      <c r="D75" s="1" t="s">
        <v>559</v>
      </c>
      <c r="E75" s="1" t="s">
        <v>560</v>
      </c>
      <c r="F75" s="1" t="s">
        <v>561</v>
      </c>
      <c r="G75" s="3" t="str">
        <f>IFERROR(__xludf.DUMMYFUNCTION("AI(""Preencha um valor adequado para esta célula com base no contexto da tabela"")"),"Timon - MA")</f>
        <v>Timon - MA</v>
      </c>
      <c r="H75" s="2" t="s">
        <v>562</v>
      </c>
      <c r="I75" s="1" t="s">
        <v>563</v>
      </c>
      <c r="J75" s="3" t="str">
        <f>IFERROR(__xludf.DUMMYFUNCTION("IF(A75="""", """", IFS(REGEXMATCH(LOWER(A75), ""barbearia|barber""), ""Barbearia"", REGEXMATCH(LOWER(A75), ""sobrancelh|c[ií]lio|lash|micropigment|showbrancelhas""), ""Sobrancelhas e Cílios"", REGEXMATCH(LOWER(A75), ""maquia|make""), ""Maquiagem"", REGEXM"&amp;"ATCH(LOWER(A75), ""depil|epil""), ""Depilação"", REGEXMATCH(LOWER(A75), ""esmalteria|unha|nail|manicur|spa dos p[eé]s|kauu_nhas""), ""Manicure - Esmalteria"", REGEXMATCH(LOWER(A75), ""est[eé]tic|bronze|massot|terap|pilates|revitalize|dra""), ""Clínica de "&amp;"Estética"", TRUE, ""Salão de Beleza""))"),"Salão de Beleza")</f>
        <v>Salão de Beleza</v>
      </c>
    </row>
    <row r="76">
      <c r="A76" s="1" t="s">
        <v>564</v>
      </c>
      <c r="B76" s="1" t="s">
        <v>565</v>
      </c>
      <c r="C76" s="1" t="s">
        <v>566</v>
      </c>
      <c r="D76" s="1" t="s">
        <v>567</v>
      </c>
      <c r="E76" s="1" t="s">
        <v>568</v>
      </c>
      <c r="F76" s="1" t="s">
        <v>569</v>
      </c>
      <c r="G76" s="3" t="str">
        <f>IFERROR(__xludf.DUMMYFUNCTION("AI(""Preencha um valor adequado para esta célula com base no contexto da tabela"")"),"Timon - MA")</f>
        <v>Timon - MA</v>
      </c>
      <c r="H76" s="2" t="s">
        <v>570</v>
      </c>
      <c r="I76" s="1" t="s">
        <v>571</v>
      </c>
      <c r="J76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Beleza""))"),"Salão de Beleza")</f>
        <v>Salão de Beleza</v>
      </c>
    </row>
    <row r="77">
      <c r="A77" s="1" t="s">
        <v>572</v>
      </c>
      <c r="B77" s="1" t="s">
        <v>573</v>
      </c>
      <c r="C77" s="1" t="s">
        <v>574</v>
      </c>
      <c r="D77" s="1" t="s">
        <v>575</v>
      </c>
      <c r="E77" s="1" t="s">
        <v>576</v>
      </c>
      <c r="F77" s="1" t="s">
        <v>577</v>
      </c>
      <c r="G77" s="3" t="str">
        <f>IFERROR(__xludf.DUMMYFUNCTION("AI(""Preencha um valor adequado para esta célula com base no contexto da tabela"")"),"Timon - MA")</f>
        <v>Timon - MA</v>
      </c>
      <c r="H77" s="2" t="s">
        <v>578</v>
      </c>
      <c r="I77" s="1" t="s">
        <v>579</v>
      </c>
      <c r="J77" s="3" t="str">
        <f>IFERROR(__xludf.DUMMYFUNCTION("IF(A77="""", """", IFS(REGEXMATCH(LOWER(A77), ""barbearia|barber""), ""Barbearia"", REGEXMATCH(LOWER(A77), ""sobrancelh|c[ií]lio|lash|micropigment|showbrancelhas""), ""Sobrancelhas e Cílios"", REGEXMATCH(LOWER(A77), ""maquia|make""), ""Maquiagem"", REGEXM"&amp;"ATCH(LOWER(A77), ""depil|epil""), ""Depilação"", REGEXMATCH(LOWER(A77), ""esmalteria|unha|nail|manicur|spa dos p[eé]s|kauu_nhas""), ""Manicure - Esmalteria"", REGEXMATCH(LOWER(A77), ""est[eé]tic|bronze|massot|terap|pilates|revitalize|dra""), ""Clínica de "&amp;"Estética"", TRUE, ""Salão de Beleza""))"),"Salão de Beleza")</f>
        <v>Salão de Beleza</v>
      </c>
    </row>
    <row r="78">
      <c r="A78" s="1" t="s">
        <v>580</v>
      </c>
      <c r="B78" s="1" t="s">
        <v>581</v>
      </c>
      <c r="C78" s="1" t="s">
        <v>582</v>
      </c>
      <c r="D78" s="1" t="s">
        <v>583</v>
      </c>
      <c r="E78" s="1" t="s">
        <v>584</v>
      </c>
      <c r="F78" s="1" t="s">
        <v>585</v>
      </c>
      <c r="G78" s="3" t="str">
        <f>IFERROR(__xludf.DUMMYFUNCTION("AI(""Preencha um valor adequado para esta célula com base no contexto da tabela"")"),"Timon - MA")</f>
        <v>Timon - MA</v>
      </c>
      <c r="H78" s="2" t="s">
        <v>586</v>
      </c>
      <c r="I78" s="1" t="s">
        <v>587</v>
      </c>
      <c r="J78" s="3" t="str">
        <f>IFERROR(__xludf.DUMMYFUNCTION("IF(A78="""", """", IFS(REGEXMATCH(LOWER(A78), ""barbearia|barber""), ""Barbearia"", REGEXMATCH(LOWER(A78), ""sobrancelh|c[ií]lio|lash|micropigment|showbrancelhas""), ""Sobrancelhas e Cílios"", REGEXMATCH(LOWER(A78), ""maquia|make""), ""Maquiagem"", REGEXM"&amp;"ATCH(LOWER(A78), ""depil|epil""), ""Depilação"", REGEXMATCH(LOWER(A78), ""esmalteria|unha|nail|manicur|spa dos p[eé]s|kauu_nhas""), ""Manicure - Esmalteria"", REGEXMATCH(LOWER(A78), ""est[eé]tic|bronze|massot|terap|pilates|revitalize|dra""), ""Clínica de "&amp;"Estética"", TRUE, ""Salão de Beleza""))"),"Salão de Beleza")</f>
        <v>Salão de Beleza</v>
      </c>
    </row>
    <row r="79">
      <c r="A79" s="1" t="s">
        <v>588</v>
      </c>
      <c r="B79" s="1" t="s">
        <v>589</v>
      </c>
      <c r="C79" s="1" t="s">
        <v>590</v>
      </c>
      <c r="D79" s="1" t="s">
        <v>591</v>
      </c>
      <c r="E79" s="1" t="s">
        <v>592</v>
      </c>
      <c r="F79" s="1" t="s">
        <v>593</v>
      </c>
      <c r="G79" s="3" t="str">
        <f>IFERROR(__xludf.DUMMYFUNCTION("AI(""Preencha um valor adequado para esta célula com base no contexto da tabela"")"),"Timon - MA")</f>
        <v>Timon - MA</v>
      </c>
      <c r="H79" s="2" t="s">
        <v>594</v>
      </c>
      <c r="I79" s="1" t="s">
        <v>595</v>
      </c>
      <c r="J79" s="3" t="str">
        <f>IFERROR(__xludf.DUMMYFUNCTION("IF(A79="""", """", IFS(REGEXMATCH(LOWER(A79), ""barbearia|barber""), ""Barbearia"", REGEXMATCH(LOWER(A79), ""sobrancelh|c[ií]lio|lash|micropigment|showbrancelhas""), ""Sobrancelhas e Cílios"", REGEXMATCH(LOWER(A79), ""maquia|make""), ""Maquiagem"", REGEXM"&amp;"ATCH(LOWER(A79), ""depil|epil""), ""Depilação"", REGEXMATCH(LOWER(A79), ""esmalteria|unha|nail|manicur|spa dos p[eé]s|kauu_nhas""), ""Manicure - Esmalteria"", REGEXMATCH(LOWER(A79), ""est[eé]tic|bronze|massot|terap|pilates|revitalize|dra""), ""Clínica de "&amp;"Estética"", TRUE, ""Salão de Beleza""))"),"Salão de Beleza")</f>
        <v>Salão de Beleza</v>
      </c>
    </row>
    <row r="80">
      <c r="A80" s="1" t="s">
        <v>596</v>
      </c>
      <c r="B80" s="1" t="s">
        <v>597</v>
      </c>
      <c r="C80" s="1" t="s">
        <v>598</v>
      </c>
      <c r="D80" s="1" t="s">
        <v>599</v>
      </c>
      <c r="E80" s="1" t="s">
        <v>600</v>
      </c>
      <c r="F80" s="1" t="s">
        <v>601</v>
      </c>
      <c r="G80" s="3" t="str">
        <f>IFERROR(__xludf.DUMMYFUNCTION("AI(""Preencha um valor adequado para esta célula com base no contexto da tabela"")"),"Timon - MA")</f>
        <v>Timon - MA</v>
      </c>
      <c r="H80" s="2" t="s">
        <v>602</v>
      </c>
      <c r="I80" s="1" t="s">
        <v>603</v>
      </c>
      <c r="J80" s="3" t="str">
        <f>IFERROR(__xludf.DUMMYFUNCTION("IF(A80="""", """", IFS(REGEXMATCH(LOWER(A80), ""barbearia|barber""), ""Barbearia"", REGEXMATCH(LOWER(A80), ""sobrancelh|c[ií]lio|lash|micropigment|showbrancelhas""), ""Sobrancelhas e Cílios"", REGEXMATCH(LOWER(A80), ""maquia|make""), ""Maquiagem"", REGEXM"&amp;"ATCH(LOWER(A80), ""depil|epil""), ""Depilação"", REGEXMATCH(LOWER(A80), ""esmalteria|unha|nail|manicur|spa dos p[eé]s|kauu_nhas""), ""Manicure - Esmalteria"", REGEXMATCH(LOWER(A80), ""est[eé]tic|bronze|massot|terap|pilates|revitalize|dra""), ""Clínica de "&amp;"Estética"", TRUE, ""Salão de Beleza""))"),"Salão de Beleza")</f>
        <v>Salão de Beleza</v>
      </c>
    </row>
    <row r="81">
      <c r="A81" s="1" t="s">
        <v>604</v>
      </c>
      <c r="D81" s="1" t="s">
        <v>605</v>
      </c>
      <c r="E81" s="1" t="s">
        <v>606</v>
      </c>
      <c r="F81" s="1" t="s">
        <v>607</v>
      </c>
      <c r="G81" s="3" t="str">
        <f>IFERROR(__xludf.DUMMYFUNCTION("AI(""Preencha um valor adequado para esta célula com base no contexto da tabela"")"),"Timon - MA")</f>
        <v>Timon - MA</v>
      </c>
      <c r="H81" s="2" t="s">
        <v>608</v>
      </c>
      <c r="J81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Beleza""))"),"Manicure - Esmalteria")</f>
        <v>Manicure - Esmalteria</v>
      </c>
    </row>
    <row r="82">
      <c r="A82" s="1" t="s">
        <v>609</v>
      </c>
      <c r="D82" s="1" t="s">
        <v>610</v>
      </c>
      <c r="E82" s="1" t="s">
        <v>611</v>
      </c>
      <c r="F82" s="1" t="s">
        <v>612</v>
      </c>
      <c r="G82" s="3" t="str">
        <f>IFERROR(__xludf.DUMMYFUNCTION("AI(""Preencha um valor adequado para esta célula com base no contexto da tabela"")"),"Timon - MA")</f>
        <v>Timon - MA</v>
      </c>
      <c r="H82" s="2" t="s">
        <v>613</v>
      </c>
      <c r="I82" s="1" t="s">
        <v>614</v>
      </c>
      <c r="J82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Beleza""))"),"Salão de Beleza")</f>
        <v>Salão de Beleza</v>
      </c>
    </row>
    <row r="83">
      <c r="A83" s="1" t="s">
        <v>615</v>
      </c>
      <c r="B83" s="1" t="s">
        <v>616</v>
      </c>
      <c r="C83" s="1" t="s">
        <v>617</v>
      </c>
      <c r="D83" s="1" t="s">
        <v>618</v>
      </c>
      <c r="E83" s="1" t="s">
        <v>619</v>
      </c>
      <c r="F83" s="1" t="s">
        <v>620</v>
      </c>
      <c r="G83" s="3" t="str">
        <f>IFERROR(__xludf.DUMMYFUNCTION("AI(""Preencha um valor adequado para esta célula com base no contexto da tabela"")"),"Timon - MA")</f>
        <v>Timon - MA</v>
      </c>
      <c r="H83" s="2" t="s">
        <v>621</v>
      </c>
      <c r="I83" s="1" t="s">
        <v>622</v>
      </c>
      <c r="J83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Beleza""))"),"Salão de Beleza")</f>
        <v>Salão de Beleza</v>
      </c>
    </row>
    <row r="84">
      <c r="A84" s="1" t="s">
        <v>623</v>
      </c>
      <c r="B84" s="1" t="s">
        <v>624</v>
      </c>
      <c r="C84" s="1" t="s">
        <v>625</v>
      </c>
      <c r="D84" s="1" t="s">
        <v>626</v>
      </c>
      <c r="E84" s="1" t="s">
        <v>627</v>
      </c>
      <c r="F84" s="1" t="s">
        <v>628</v>
      </c>
      <c r="G84" s="3" t="str">
        <f>IFERROR(__xludf.DUMMYFUNCTION("AI(""Preencha um valor adequado para esta célula com base no contexto da tabela"")"),"Timon - MA")</f>
        <v>Timon - MA</v>
      </c>
      <c r="H84" s="2" t="s">
        <v>629</v>
      </c>
      <c r="I84" s="1" t="s">
        <v>630</v>
      </c>
      <c r="J84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Beleza""))"),"Salão de Beleza")</f>
        <v>Salão de Beleza</v>
      </c>
    </row>
    <row r="85">
      <c r="A85" s="1" t="s">
        <v>631</v>
      </c>
      <c r="D85" s="1" t="s">
        <v>632</v>
      </c>
      <c r="E85" s="1" t="s">
        <v>633</v>
      </c>
      <c r="F85" s="1" t="s">
        <v>634</v>
      </c>
      <c r="G85" s="3" t="str">
        <f>IFERROR(__xludf.DUMMYFUNCTION("AI(""Preencha um valor adequado para esta célula com base no contexto da tabela"")"),"Timon - MA")</f>
        <v>Timon - MA</v>
      </c>
      <c r="H85" s="2" t="s">
        <v>635</v>
      </c>
      <c r="I85" s="1" t="s">
        <v>636</v>
      </c>
      <c r="J85" s="3" t="str">
        <f>IFERROR(__xludf.DUMMYFUNCTION("IF(A85="""", """", IFS(REGEXMATCH(LOWER(A85), ""barbearia|barber""), ""Barbearia"", REGEXMATCH(LOWER(A85), ""sobrancelh|c[ií]lio|lash|micropigment|showbrancelhas""), ""Sobrancelhas e Cílios"", REGEXMATCH(LOWER(A85), ""maquia|make""), ""Maquiagem"", REGEXM"&amp;"ATCH(LOWER(A85), ""depil|epil""), ""Depilação"", REGEXMATCH(LOWER(A85), ""esmalteria|unha|nail|manicur|spa dos p[eé]s|kauu_nhas""), ""Manicure - Esmalteria"", REGEXMATCH(LOWER(A85), ""est[eé]tic|bronze|massot|terap|pilates|revitalize|dra""), ""Clínica de "&amp;"Estética"", TRUE, ""Salão de Beleza""))"),"Salão de Beleza")</f>
        <v>Salão de Beleza</v>
      </c>
    </row>
    <row r="86">
      <c r="A86" s="1" t="s">
        <v>637</v>
      </c>
      <c r="B86" s="1" t="s">
        <v>638</v>
      </c>
      <c r="C86" s="1" t="s">
        <v>639</v>
      </c>
      <c r="D86" s="1" t="s">
        <v>640</v>
      </c>
      <c r="E86" s="1" t="s">
        <v>641</v>
      </c>
      <c r="F86" s="1" t="s">
        <v>642</v>
      </c>
      <c r="G86" s="3" t="str">
        <f>IFERROR(__xludf.DUMMYFUNCTION("AI(""Preencha um valor adequado para esta célula com base no contexto da tabela"")"),"Timon - MA")</f>
        <v>Timon - MA</v>
      </c>
      <c r="H86" s="2" t="s">
        <v>643</v>
      </c>
      <c r="I86" s="1" t="s">
        <v>644</v>
      </c>
      <c r="J86" s="3" t="str">
        <f>IFERROR(__xludf.DUMMYFUNCTION("IF(A86="""", """", IFS(REGEXMATCH(LOWER(A86), ""barbearia|barber""), ""Barbearia"", REGEXMATCH(LOWER(A86), ""sobrancelh|c[ií]lio|lash|micropigment|showbrancelhas""), ""Sobrancelhas e Cílios"", REGEXMATCH(LOWER(A86), ""maquia|make""), ""Maquiagem"", REGEXM"&amp;"ATCH(LOWER(A86), ""depil|epil""), ""Depilação"", REGEXMATCH(LOWER(A86), ""esmalteria|unha|nail|manicur|spa dos p[eé]s|kauu_nhas""), ""Manicure - Esmalteria"", REGEXMATCH(LOWER(A86), ""est[eé]tic|bronze|massot|terap|pilates|revitalize|dra""), ""Clínica de "&amp;"Estética"", TRUE, ""Salão de Beleza""))"),"Salão de Beleza")</f>
        <v>Salão de Beleza</v>
      </c>
    </row>
    <row r="87">
      <c r="A87" s="1" t="s">
        <v>645</v>
      </c>
      <c r="B87" s="1" t="s">
        <v>646</v>
      </c>
      <c r="C87" s="1" t="s">
        <v>647</v>
      </c>
      <c r="D87" s="1" t="s">
        <v>648</v>
      </c>
      <c r="E87" s="1" t="s">
        <v>649</v>
      </c>
      <c r="F87" s="1" t="s">
        <v>650</v>
      </c>
      <c r="G87" s="3" t="str">
        <f>IFERROR(__xludf.DUMMYFUNCTION("AI(""Preencha um valor adequado para esta célula com base no contexto da tabela"")"),"Timon - MA")</f>
        <v>Timon - MA</v>
      </c>
      <c r="H87" s="2" t="s">
        <v>651</v>
      </c>
      <c r="I87" s="1" t="s">
        <v>652</v>
      </c>
      <c r="J87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Beleza""))"),"Salão de Beleza")</f>
        <v>Salão de Beleza</v>
      </c>
    </row>
    <row r="88">
      <c r="A88" s="1" t="s">
        <v>653</v>
      </c>
      <c r="B88" s="1" t="s">
        <v>654</v>
      </c>
      <c r="C88" s="1" t="s">
        <v>655</v>
      </c>
      <c r="D88" s="1" t="s">
        <v>656</v>
      </c>
      <c r="E88" s="1" t="s">
        <v>657</v>
      </c>
      <c r="F88" s="1" t="s">
        <v>658</v>
      </c>
      <c r="G88" s="3" t="str">
        <f>IFERROR(__xludf.DUMMYFUNCTION("AI(""Preencha um valor adequado para esta célula com base no contexto da tabela"")"),"Timon - MA")</f>
        <v>Timon - MA</v>
      </c>
      <c r="H88" s="2" t="s">
        <v>659</v>
      </c>
      <c r="I88" s="1" t="s">
        <v>660</v>
      </c>
      <c r="J88" s="3" t="str">
        <f>IFERROR(__xludf.DUMMYFUNCTION("IF(A88="""", """", IFS(REGEXMATCH(LOWER(A88), ""barbearia|barber""), ""Barbearia"", REGEXMATCH(LOWER(A88), ""sobrancelh|c[ií]lio|lash|micropigment|showbrancelhas""), ""Sobrancelhas e Cílios"", REGEXMATCH(LOWER(A88), ""maquia|make""), ""Maquiagem"", REGEXM"&amp;"ATCH(LOWER(A88), ""depil|epil""), ""Depilação"", REGEXMATCH(LOWER(A88), ""esmalteria|unha|nail|manicur|spa dos p[eé]s|kauu_nhas""), ""Manicure - Esmalteria"", REGEXMATCH(LOWER(A88), ""est[eé]tic|bronze|massot|terap|pilates|revitalize|dra""), ""Clínica de "&amp;"Estética"", TRUE, ""Salão de Beleza""))"),"Salão de Beleza")</f>
        <v>Salão de Beleza</v>
      </c>
    </row>
    <row r="89">
      <c r="A89" s="1" t="s">
        <v>661</v>
      </c>
      <c r="D89" s="1" t="s">
        <v>662</v>
      </c>
      <c r="E89" s="1" t="s">
        <v>663</v>
      </c>
      <c r="F89" s="1" t="s">
        <v>664</v>
      </c>
      <c r="G89" s="3" t="str">
        <f>IFERROR(__xludf.DUMMYFUNCTION("AI(""Preencha um valor adequado para esta célula com base no contexto da tabela"")"),"Timon - MA")</f>
        <v>Timon - MA</v>
      </c>
      <c r="H89" s="2" t="s">
        <v>665</v>
      </c>
      <c r="I89" s="1" t="s">
        <v>666</v>
      </c>
      <c r="J89" s="3" t="str">
        <f>IFERROR(__xludf.DUMMYFUNCTION("IF(A89="""", """", IFS(REGEXMATCH(LOWER(A89), ""barbearia|barber""), ""Barbearia"", REGEXMATCH(LOWER(A89), ""sobrancelh|c[ií]lio|lash|micropigment|showbrancelhas""), ""Sobrancelhas e Cílios"", REGEXMATCH(LOWER(A89), ""maquia|make""), ""Maquiagem"", REGEXM"&amp;"ATCH(LOWER(A89), ""depil|epil""), ""Depilação"", REGEXMATCH(LOWER(A89), ""esmalteria|unha|nail|manicur|spa dos p[eé]s|kauu_nhas""), ""Manicure - Esmalteria"", REGEXMATCH(LOWER(A89), ""est[eé]tic|bronze|massot|terap|pilates|revitalize|dra""), ""Clínica de "&amp;"Estética"", TRUE, ""Salão de Beleza""))"),"Sobrancelhas e Cílios")</f>
        <v>Sobrancelhas e Cílios</v>
      </c>
    </row>
    <row r="90">
      <c r="A90" s="1" t="s">
        <v>667</v>
      </c>
      <c r="B90" s="1" t="s">
        <v>668</v>
      </c>
      <c r="C90" s="1" t="s">
        <v>669</v>
      </c>
      <c r="D90" s="1" t="s">
        <v>670</v>
      </c>
      <c r="E90" s="1" t="s">
        <v>671</v>
      </c>
      <c r="F90" s="1" t="s">
        <v>672</v>
      </c>
      <c r="G90" s="3" t="str">
        <f>IFERROR(__xludf.DUMMYFUNCTION("AI(""Preencha um valor adequado para esta célula com base no contexto da tabela"")"),"Timon - MA")</f>
        <v>Timon - MA</v>
      </c>
      <c r="H90" s="2" t="s">
        <v>673</v>
      </c>
      <c r="I90" s="1" t="s">
        <v>674</v>
      </c>
      <c r="J90" s="3" t="str">
        <f>IFERROR(__xludf.DUMMYFUNCTION("IF(A90="""", """", IFS(REGEXMATCH(LOWER(A90), ""barbearia|barber""), ""Barbearia"", REGEXMATCH(LOWER(A90), ""sobrancelh|c[ií]lio|lash|micropigment|showbrancelhas""), ""Sobrancelhas e Cílios"", REGEXMATCH(LOWER(A90), ""maquia|make""), ""Maquiagem"", REGEXM"&amp;"ATCH(LOWER(A90), ""depil|epil""), ""Depilação"", REGEXMATCH(LOWER(A90), ""esmalteria|unha|nail|manicur|spa dos p[eé]s|kauu_nhas""), ""Manicure - Esmalteria"", REGEXMATCH(LOWER(A90), ""est[eé]tic|bronze|massot|terap|pilates|revitalize|dra""), ""Clínica de "&amp;"Estética"", TRUE, ""Salão de Beleza""))"),"Salão de Beleza")</f>
        <v>Salão de Beleza</v>
      </c>
    </row>
    <row r="91">
      <c r="A91" s="1" t="s">
        <v>675</v>
      </c>
      <c r="B91" s="1" t="s">
        <v>676</v>
      </c>
      <c r="C91" s="1" t="s">
        <v>677</v>
      </c>
      <c r="D91" s="1" t="s">
        <v>678</v>
      </c>
      <c r="E91" s="1" t="s">
        <v>679</v>
      </c>
      <c r="F91" s="1" t="s">
        <v>680</v>
      </c>
      <c r="G91" s="3" t="str">
        <f>IFERROR(__xludf.DUMMYFUNCTION("AI(""Preencha um valor adequado para esta célula com base no contexto da tabela"")"),"Timon - MA")</f>
        <v>Timon - MA</v>
      </c>
      <c r="H91" s="2" t="s">
        <v>681</v>
      </c>
      <c r="I91" s="1" t="s">
        <v>682</v>
      </c>
      <c r="J91" s="3" t="str">
        <f>IFERROR(__xludf.DUMMYFUNCTION("IF(A91="""", """", IFS(REGEXMATCH(LOWER(A91), ""barbearia|barber""), ""Barbearia"", REGEXMATCH(LOWER(A91), ""sobrancelh|c[ií]lio|lash|micropigment|showbrancelhas""), ""Sobrancelhas e Cílios"", REGEXMATCH(LOWER(A91), ""maquia|make""), ""Maquiagem"", REGEXM"&amp;"ATCH(LOWER(A91), ""depil|epil""), ""Depilação"", REGEXMATCH(LOWER(A91), ""esmalteria|unha|nail|manicur|spa dos p[eé]s|kauu_nhas""), ""Manicure - Esmalteria"", REGEXMATCH(LOWER(A91), ""est[eé]tic|bronze|massot|terap|pilates|revitalize|dra""), ""Clínica de "&amp;"Estética"", TRUE, ""Salão de Beleza""))"),"Salão de Beleza")</f>
        <v>Salão de Beleza</v>
      </c>
    </row>
    <row r="92">
      <c r="A92" s="1" t="s">
        <v>683</v>
      </c>
      <c r="B92" s="1" t="s">
        <v>684</v>
      </c>
      <c r="C92" s="1" t="s">
        <v>685</v>
      </c>
      <c r="D92" s="1" t="s">
        <v>686</v>
      </c>
      <c r="E92" s="1" t="s">
        <v>687</v>
      </c>
      <c r="F92" s="1" t="s">
        <v>688</v>
      </c>
      <c r="G92" s="3" t="str">
        <f>IFERROR(__xludf.DUMMYFUNCTION("AI(""Preencha um valor adequado para esta célula com base no contexto da tabela"")"),"Timon - MA")</f>
        <v>Timon - MA</v>
      </c>
      <c r="H92" s="2" t="s">
        <v>689</v>
      </c>
      <c r="I92" s="1" t="s">
        <v>690</v>
      </c>
      <c r="J92" s="3" t="str">
        <f>IFERROR(__xludf.DUMMYFUNCTION("IF(A92="""", """", IFS(REGEXMATCH(LOWER(A92), ""barbearia|barber""), ""Barbearia"", REGEXMATCH(LOWER(A92), ""sobrancelh|c[ií]lio|lash|micropigment|showbrancelhas""), ""Sobrancelhas e Cílios"", REGEXMATCH(LOWER(A92), ""maquia|make""), ""Maquiagem"", REGEXM"&amp;"ATCH(LOWER(A92), ""depil|epil""), ""Depilação"", REGEXMATCH(LOWER(A92), ""esmalteria|unha|nail|manicur|spa dos p[eé]s|kauu_nhas""), ""Manicure - Esmalteria"", REGEXMATCH(LOWER(A92), ""est[eé]tic|bronze|massot|terap|pilates|revitalize|dra""), ""Clínica de "&amp;"Estética"", TRUE, ""Salão de Beleza""))"),"Sobrancelhas e Cílios")</f>
        <v>Sobrancelhas e Cílios</v>
      </c>
    </row>
    <row r="93">
      <c r="A93" s="1" t="s">
        <v>691</v>
      </c>
      <c r="B93" s="1" t="s">
        <v>692</v>
      </c>
      <c r="C93" s="1" t="s">
        <v>693</v>
      </c>
      <c r="D93" s="1" t="s">
        <v>694</v>
      </c>
      <c r="E93" s="1" t="s">
        <v>695</v>
      </c>
      <c r="F93" s="1" t="s">
        <v>696</v>
      </c>
      <c r="G93" s="3" t="str">
        <f>IFERROR(__xludf.DUMMYFUNCTION("AI(""Preencha um valor adequado para esta célula com base no contexto da tabela"")"),"Timon - MA")</f>
        <v>Timon - MA</v>
      </c>
      <c r="H93" s="2" t="s">
        <v>697</v>
      </c>
      <c r="I93" s="1" t="s">
        <v>698</v>
      </c>
      <c r="J93" s="3" t="str">
        <f>IFERROR(__xludf.DUMMYFUNCTION("IF(A93="""", """", IFS(REGEXMATCH(LOWER(A93), ""barbearia|barber""), ""Barbearia"", REGEXMATCH(LOWER(A93), ""sobrancelh|c[ií]lio|lash|micropigment|showbrancelhas""), ""Sobrancelhas e Cílios"", REGEXMATCH(LOWER(A93), ""maquia|make""), ""Maquiagem"", REGEXM"&amp;"ATCH(LOWER(A93), ""depil|epil""), ""Depilação"", REGEXMATCH(LOWER(A93), ""esmalteria|unha|nail|manicur|spa dos p[eé]s|kauu_nhas""), ""Manicure - Esmalteria"", REGEXMATCH(LOWER(A93), ""est[eé]tic|bronze|massot|terap|pilates|revitalize|dra""), ""Clínica de "&amp;"Estética"", TRUE, ""Salão de Beleza""))"),"Salão de Beleza")</f>
        <v>Salão de Beleza</v>
      </c>
    </row>
    <row r="94">
      <c r="A94" s="1" t="s">
        <v>699</v>
      </c>
      <c r="D94" s="1" t="s">
        <v>700</v>
      </c>
      <c r="E94" s="1" t="s">
        <v>701</v>
      </c>
      <c r="F94" s="1" t="s">
        <v>702</v>
      </c>
      <c r="G94" s="3" t="str">
        <f>IFERROR(__xludf.DUMMYFUNCTION("AI(""Preencha um valor adequado para esta célula com base no contexto da tabela"")"),"Timon - MA")</f>
        <v>Timon - MA</v>
      </c>
      <c r="H94" s="2" t="s">
        <v>703</v>
      </c>
      <c r="J94" s="3" t="str">
        <f>IFERROR(__xludf.DUMMYFUNCTION("IF(A94="""", """", IFS(REGEXMATCH(LOWER(A94), ""barbearia|barber""), ""Barbearia"", REGEXMATCH(LOWER(A94), ""sobrancelh|c[ií]lio|lash|micropigment|showbrancelhas""), ""Sobrancelhas e Cílios"", REGEXMATCH(LOWER(A94), ""maquia|make""), ""Maquiagem"", REGEXM"&amp;"ATCH(LOWER(A94), ""depil|epil""), ""Depilação"", REGEXMATCH(LOWER(A94), ""esmalteria|unha|nail|manicur|spa dos p[eé]s|kauu_nhas""), ""Manicure - Esmalteria"", REGEXMATCH(LOWER(A94), ""est[eé]tic|bronze|massot|terap|pilates|revitalize|dra""), ""Clínica de "&amp;"Estética"", TRUE, ""Salão de Beleza""))"),"Salão de Beleza")</f>
        <v>Salão de Beleza</v>
      </c>
    </row>
    <row r="95">
      <c r="A95" s="1" t="s">
        <v>704</v>
      </c>
      <c r="D95" s="1" t="s">
        <v>705</v>
      </c>
      <c r="E95" s="1" t="s">
        <v>706</v>
      </c>
      <c r="F95" s="1" t="s">
        <v>707</v>
      </c>
      <c r="G95" s="3" t="str">
        <f>IFERROR(__xludf.DUMMYFUNCTION("AI(""Preencha um valor adequado para esta célula com base no contexto da tabela"")"),"Timon - MA")</f>
        <v>Timon - MA</v>
      </c>
      <c r="H95" s="2" t="s">
        <v>708</v>
      </c>
      <c r="I95" s="1" t="s">
        <v>709</v>
      </c>
      <c r="J95" s="3" t="str">
        <f>IFERROR(__xludf.DUMMYFUNCTION("IF(A95="""", """", IFS(REGEXMATCH(LOWER(A95), ""barbearia|barber""), ""Barbearia"", REGEXMATCH(LOWER(A95), ""sobrancelh|c[ií]lio|lash|micropigment|showbrancelhas""), ""Sobrancelhas e Cílios"", REGEXMATCH(LOWER(A95), ""maquia|make""), ""Maquiagem"", REGEXM"&amp;"ATCH(LOWER(A95), ""depil|epil""), ""Depilação"", REGEXMATCH(LOWER(A95), ""esmalteria|unha|nail|manicur|spa dos p[eé]s|kauu_nhas""), ""Manicure - Esmalteria"", REGEXMATCH(LOWER(A95), ""est[eé]tic|bronze|massot|terap|pilates|revitalize|dra""), ""Clínica de "&amp;"Estética"", TRUE, ""Salão de Beleza""))"),"Salão de Beleza")</f>
        <v>Salão de Beleza</v>
      </c>
    </row>
    <row r="96">
      <c r="A96" s="1" t="s">
        <v>710</v>
      </c>
      <c r="B96" s="1" t="s">
        <v>711</v>
      </c>
      <c r="C96" s="1" t="s">
        <v>712</v>
      </c>
      <c r="D96" s="1" t="s">
        <v>44</v>
      </c>
      <c r="E96" s="1" t="s">
        <v>713</v>
      </c>
      <c r="F96" s="1" t="s">
        <v>714</v>
      </c>
      <c r="G96" s="3" t="str">
        <f>IFERROR(__xludf.DUMMYFUNCTION("AI(""Preencha um valor adequado para esta célula com base no contexto da tabela"")"),"Timon - MA")</f>
        <v>Timon - MA</v>
      </c>
      <c r="H96" s="2" t="s">
        <v>715</v>
      </c>
      <c r="I96" s="1" t="s">
        <v>48</v>
      </c>
      <c r="J96" s="3" t="str">
        <f>IFERROR(__xludf.DUMMYFUNCTION("IF(A96="""", """", IFS(REGEXMATCH(LOWER(A96), ""barbearia|barber""), ""Barbearia"", REGEXMATCH(LOWER(A96), ""sobrancelh|c[ií]lio|lash|micropigment|showbrancelhas""), ""Sobrancelhas e Cílios"", REGEXMATCH(LOWER(A96), ""maquia|make""), ""Maquiagem"", REGEXM"&amp;"ATCH(LOWER(A96), ""depil|epil""), ""Depilação"", REGEXMATCH(LOWER(A96), ""esmalteria|unha|nail|manicur|spa dos p[eé]s|kauu_nhas""), ""Manicure - Esmalteria"", REGEXMATCH(LOWER(A96), ""est[eé]tic|bronze|massot|terap|pilates|revitalize|dra""), ""Clínica de "&amp;"Estética"", TRUE, ""Salão de Beleza""))"),"Salão de Beleza")</f>
        <v>Salão de Beleza</v>
      </c>
    </row>
    <row r="97">
      <c r="A97" s="1" t="s">
        <v>716</v>
      </c>
      <c r="B97" s="1" t="s">
        <v>717</v>
      </c>
      <c r="C97" s="1" t="s">
        <v>718</v>
      </c>
      <c r="D97" s="1" t="s">
        <v>719</v>
      </c>
      <c r="E97" s="1" t="s">
        <v>720</v>
      </c>
      <c r="F97" s="1" t="s">
        <v>721</v>
      </c>
      <c r="G97" s="3" t="str">
        <f>IFERROR(__xludf.DUMMYFUNCTION("AI(""Preencha um valor adequado para esta célula com base no contexto da tabela"")"),"Timon - MA")</f>
        <v>Timon - MA</v>
      </c>
      <c r="H97" s="2" t="s">
        <v>722</v>
      </c>
      <c r="I97" s="1" t="s">
        <v>723</v>
      </c>
      <c r="J97" s="3" t="str">
        <f>IFERROR(__xludf.DUMMYFUNCTION("IF(A97="""", """", IFS(REGEXMATCH(LOWER(A97), ""barbearia|barber""), ""Barbearia"", REGEXMATCH(LOWER(A97), ""sobrancelh|c[ií]lio|lash|micropigment|showbrancelhas""), ""Sobrancelhas e Cílios"", REGEXMATCH(LOWER(A97), ""maquia|make""), ""Maquiagem"", REGEXM"&amp;"ATCH(LOWER(A97), ""depil|epil""), ""Depilação"", REGEXMATCH(LOWER(A97), ""esmalteria|unha|nail|manicur|spa dos p[eé]s|kauu_nhas""), ""Manicure - Esmalteria"", REGEXMATCH(LOWER(A97), ""est[eé]tic|bronze|massot|terap|pilates|revitalize|dra""), ""Clínica de "&amp;"Estética"", TRUE, ""Salão de Beleza""))"),"Manicure - Esmalteria")</f>
        <v>Manicure - Esmalteria</v>
      </c>
    </row>
    <row r="98">
      <c r="A98" s="1" t="s">
        <v>724</v>
      </c>
      <c r="B98" s="1" t="s">
        <v>725</v>
      </c>
      <c r="C98" s="1" t="s">
        <v>726</v>
      </c>
      <c r="D98" s="1" t="s">
        <v>727</v>
      </c>
      <c r="E98" s="1" t="s">
        <v>728</v>
      </c>
      <c r="F98" s="1" t="s">
        <v>729</v>
      </c>
      <c r="G98" s="3" t="str">
        <f>IFERROR(__xludf.DUMMYFUNCTION("AI(""Preencha um valor adequado para esta célula com base no contexto da tabela"")"),"Timon - MA")</f>
        <v>Timon - MA</v>
      </c>
      <c r="H98" s="2" t="s">
        <v>730</v>
      </c>
      <c r="I98" s="1" t="s">
        <v>731</v>
      </c>
      <c r="J98" s="3" t="str">
        <f>IFERROR(__xludf.DUMMYFUNCTION("IF(A98="""", """", IFS(REGEXMATCH(LOWER(A98), ""barbearia|barber""), ""Barbearia"", REGEXMATCH(LOWER(A98), ""sobrancelh|c[ií]lio|lash|micropigment|showbrancelhas""), ""Sobrancelhas e Cílios"", REGEXMATCH(LOWER(A98), ""maquia|make""), ""Maquiagem"", REGEXM"&amp;"ATCH(LOWER(A98), ""depil|epil""), ""Depilação"", REGEXMATCH(LOWER(A98), ""esmalteria|unha|nail|manicur|spa dos p[eé]s|kauu_nhas""), ""Manicure - Esmalteria"", REGEXMATCH(LOWER(A98), ""est[eé]tic|bronze|massot|terap|pilates|revitalize|dra""), ""Clínica de "&amp;"Estética"", TRUE, ""Salão de Beleza""))"),"Salão de Beleza")</f>
        <v>Salão de Beleza</v>
      </c>
    </row>
    <row r="99">
      <c r="A99" s="1" t="s">
        <v>732</v>
      </c>
      <c r="B99" s="1" t="s">
        <v>733</v>
      </c>
      <c r="C99" s="1" t="s">
        <v>734</v>
      </c>
      <c r="D99" s="1" t="s">
        <v>735</v>
      </c>
      <c r="E99" s="1" t="s">
        <v>736</v>
      </c>
      <c r="F99" s="1" t="s">
        <v>737</v>
      </c>
      <c r="G99" s="3" t="str">
        <f>IFERROR(__xludf.DUMMYFUNCTION("AI(""Preencha um valor adequado para esta célula com base no contexto da tabela"")"),"Timon - MA")</f>
        <v>Timon - MA</v>
      </c>
      <c r="H99" s="2" t="s">
        <v>738</v>
      </c>
      <c r="I99" s="1" t="s">
        <v>739</v>
      </c>
      <c r="J99" s="3" t="str">
        <f>IFERROR(__xludf.DUMMYFUNCTION("IF(A99="""", """", IFS(REGEXMATCH(LOWER(A99), ""barbearia|barber""), ""Barbearia"", REGEXMATCH(LOWER(A99), ""sobrancelh|c[ií]lio|lash|micropigment|showbrancelhas""), ""Sobrancelhas e Cílios"", REGEXMATCH(LOWER(A99), ""maquia|make""), ""Maquiagem"", REGEXM"&amp;"ATCH(LOWER(A99), ""depil|epil""), ""Depilação"", REGEXMATCH(LOWER(A99), ""esmalteria|unha|nail|manicur|spa dos p[eé]s|kauu_nhas""), ""Manicure - Esmalteria"", REGEXMATCH(LOWER(A99), ""est[eé]tic|bronze|massot|terap|pilates|revitalize|dra""), ""Clínica de "&amp;"Estética"", TRUE, ""Salão de Beleza""))"),"Salão de Beleza")</f>
        <v>Salão de Beleza</v>
      </c>
    </row>
    <row r="100">
      <c r="A100" s="1" t="s">
        <v>740</v>
      </c>
      <c r="B100" s="1" t="s">
        <v>741</v>
      </c>
      <c r="C100" s="1" t="s">
        <v>742</v>
      </c>
      <c r="D100" s="1" t="s">
        <v>743</v>
      </c>
      <c r="E100" s="1" t="s">
        <v>744</v>
      </c>
      <c r="F100" s="1" t="s">
        <v>745</v>
      </c>
      <c r="G100" s="3" t="str">
        <f>IFERROR(__xludf.DUMMYFUNCTION("AI(""Preencha um valor adequado para esta célula com base no contexto da tabela"")"),"Timon - MA")</f>
        <v>Timon - MA</v>
      </c>
      <c r="H100" s="2" t="s">
        <v>746</v>
      </c>
      <c r="I100" s="1" t="s">
        <v>747</v>
      </c>
      <c r="J100" s="3" t="str">
        <f>IFERROR(__xludf.DUMMYFUNCTION("IF(A100="""", """", IFS(REGEXMATCH(LOWER(A100), ""barbearia|barber""), ""Barbearia"", REGEXMATCH(LOWER(A100), ""sobrancelh|c[ií]lio|lash|micropigment|showbrancelhas""), ""Sobrancelhas e Cílios"", REGEXMATCH(LOWER(A100), ""maquia|make""), ""Maquiagem"", RE"&amp;"GEXMATCH(LOWER(A100), ""depil|epil""), ""Depilação"", REGEXMATCH(LOWER(A100), ""esmalteria|unha|nail|manicur|spa dos p[eé]s|kauu_nhas""), ""Manicure - Esmalteria"", REGEXMATCH(LOWER(A100), ""est[eé]tic|bronze|massot|terap|pilates|revitalize|dra""), ""Clín"&amp;"ica de Estética"", TRUE, ""Salão de Beleza""))"),"Salão de Beleza")</f>
        <v>Salão de Beleza</v>
      </c>
    </row>
    <row r="101">
      <c r="A101" s="1" t="s">
        <v>748</v>
      </c>
      <c r="B101" s="1" t="s">
        <v>749</v>
      </c>
      <c r="C101" s="1" t="s">
        <v>750</v>
      </c>
      <c r="D101" s="1" t="s">
        <v>751</v>
      </c>
      <c r="E101" s="1" t="s">
        <v>752</v>
      </c>
      <c r="F101" s="1" t="s">
        <v>753</v>
      </c>
      <c r="G101" s="3" t="str">
        <f>IFERROR(__xludf.DUMMYFUNCTION("AI(""Preencha um valor adequado para esta célula com base no contexto da tabela"")"),"Timon - MA")</f>
        <v>Timon - MA</v>
      </c>
      <c r="H101" s="2" t="s">
        <v>754</v>
      </c>
      <c r="I101" s="1" t="s">
        <v>755</v>
      </c>
      <c r="J101" s="3" t="str">
        <f>IFERROR(__xludf.DUMMYFUNCTION("IF(A101="""", """", IFS(REGEXMATCH(LOWER(A101), ""barbearia|barber""), ""Barbearia"", REGEXMATCH(LOWER(A101), ""sobrancelh|c[ií]lio|lash|micropigment|showbrancelhas""), ""Sobrancelhas e Cílios"", REGEXMATCH(LOWER(A101), ""maquia|make""), ""Maquiagem"", RE"&amp;"GEXMATCH(LOWER(A101), ""depil|epil""), ""Depilação"", REGEXMATCH(LOWER(A101), ""esmalteria|unha|nail|manicur|spa dos p[eé]s|kauu_nhas""), ""Manicure - Esmalteria"", REGEXMATCH(LOWER(A101), ""est[eé]tic|bronze|massot|terap|pilates|revitalize|dra""), ""Clín"&amp;"ica de Estética"", TRUE, ""Salão de Beleza""))"),"Salão de Beleza")</f>
        <v>Salão de Beleza</v>
      </c>
    </row>
    <row r="102">
      <c r="A102" s="1" t="s">
        <v>756</v>
      </c>
      <c r="D102" s="1" t="s">
        <v>757</v>
      </c>
      <c r="E102" s="1" t="s">
        <v>758</v>
      </c>
      <c r="F102" s="1" t="s">
        <v>759</v>
      </c>
      <c r="G102" s="3" t="str">
        <f>IFERROR(__xludf.DUMMYFUNCTION("AI(""Preencha um valor adequado para esta célula com base no contexto da tabela"")"),"Timon - MA")</f>
        <v>Timon - MA</v>
      </c>
      <c r="H102" s="2" t="s">
        <v>760</v>
      </c>
      <c r="I102" s="1" t="s">
        <v>761</v>
      </c>
      <c r="J102" s="3" t="str">
        <f>IFERROR(__xludf.DUMMYFUNCTION("IF(A102="""", """", IFS(REGEXMATCH(LOWER(A102), ""barbearia|barber""), ""Barbearia"", REGEXMATCH(LOWER(A102), ""sobrancelh|c[ií]lio|lash|micropigment|showbrancelhas""), ""Sobrancelhas e Cílios"", REGEXMATCH(LOWER(A102), ""maquia|make""), ""Maquiagem"", RE"&amp;"GEXMATCH(LOWER(A102), ""depil|epil""), ""Depilação"", REGEXMATCH(LOWER(A102), ""esmalteria|unha|nail|manicur|spa dos p[eé]s|kauu_nhas""), ""Manicure - Esmalteria"", REGEXMATCH(LOWER(A102), ""est[eé]tic|bronze|massot|terap|pilates|revitalize|dra""), ""Clín"&amp;"ica de Estética"", TRUE, ""Salão de Beleza""))"),"Salão de Beleza")</f>
        <v>Salão de Beleza</v>
      </c>
    </row>
    <row r="103">
      <c r="A103" s="1" t="s">
        <v>762</v>
      </c>
      <c r="B103" s="1" t="s">
        <v>763</v>
      </c>
      <c r="C103" s="1" t="s">
        <v>764</v>
      </c>
      <c r="D103" s="1" t="s">
        <v>765</v>
      </c>
      <c r="E103" s="1" t="s">
        <v>766</v>
      </c>
      <c r="F103" s="1" t="s">
        <v>767</v>
      </c>
      <c r="G103" s="3" t="str">
        <f>IFERROR(__xludf.DUMMYFUNCTION("AI(""Preencha um valor adequado para esta célula com base no contexto da tabela"")"),"Timon - MA")</f>
        <v>Timon - MA</v>
      </c>
      <c r="H103" s="2" t="s">
        <v>768</v>
      </c>
      <c r="I103" s="1" t="s">
        <v>769</v>
      </c>
      <c r="J103" s="3" t="str">
        <f>IFERROR(__xludf.DUMMYFUNCTION("IF(A103="""", """", IFS(REGEXMATCH(LOWER(A103), ""barbearia|barber""), ""Barbearia"", REGEXMATCH(LOWER(A103), ""sobrancelh|c[ií]lio|lash|micropigment|showbrancelhas""), ""Sobrancelhas e Cílios"", REGEXMATCH(LOWER(A103), ""maquia|make""), ""Maquiagem"", RE"&amp;"GEXMATCH(LOWER(A103), ""depil|epil""), ""Depilação"", REGEXMATCH(LOWER(A103), ""esmalteria|unha|nail|manicur|spa dos p[eé]s|kauu_nhas""), ""Manicure - Esmalteria"", REGEXMATCH(LOWER(A103), ""est[eé]tic|bronze|massot|terap|pilates|revitalize|dra""), ""Clín"&amp;"ica de Estética"", TRUE, ""Salão de Beleza""))"),"Barbearia")</f>
        <v>Barbearia</v>
      </c>
    </row>
    <row r="104">
      <c r="A104" s="1" t="s">
        <v>770</v>
      </c>
      <c r="B104" s="1" t="s">
        <v>771</v>
      </c>
      <c r="C104" s="1" t="s">
        <v>772</v>
      </c>
      <c r="D104" s="1" t="s">
        <v>773</v>
      </c>
      <c r="E104" s="1" t="s">
        <v>774</v>
      </c>
      <c r="F104" s="1" t="s">
        <v>775</v>
      </c>
      <c r="G104" s="3" t="str">
        <f>IFERROR(__xludf.DUMMYFUNCTION("AI(""Preencha um valor adequado para esta célula com base no contexto da tabela"")"),"Timon - MA")</f>
        <v>Timon - MA</v>
      </c>
      <c r="H104" s="2" t="s">
        <v>776</v>
      </c>
      <c r="I104" s="1" t="s">
        <v>777</v>
      </c>
      <c r="J104" s="3" t="str">
        <f>IFERROR(__xludf.DUMMYFUNCTION("IF(A104="""", """", IFS(REGEXMATCH(LOWER(A104), ""barbearia|barber""), ""Barbearia"", REGEXMATCH(LOWER(A104), ""sobrancelh|c[ií]lio|lash|micropigment|showbrancelhas""), ""Sobrancelhas e Cílios"", REGEXMATCH(LOWER(A104), ""maquia|make""), ""Maquiagem"", RE"&amp;"GEXMATCH(LOWER(A104), ""depil|epil""), ""Depilação"", REGEXMATCH(LOWER(A104), ""esmalteria|unha|nail|manicur|spa dos p[eé]s|kauu_nhas""), ""Manicure - Esmalteria"", REGEXMATCH(LOWER(A104), ""est[eé]tic|bronze|massot|terap|pilates|revitalize|dra""), ""Clín"&amp;"ica de Estética"", TRUE, ""Salão de Beleza""))"),"Salão de Beleza")</f>
        <v>Salão de Beleza</v>
      </c>
    </row>
    <row r="105">
      <c r="A105" s="1" t="s">
        <v>778</v>
      </c>
      <c r="D105" s="1" t="s">
        <v>779</v>
      </c>
      <c r="E105" s="1" t="s">
        <v>780</v>
      </c>
      <c r="F105" s="1" t="s">
        <v>781</v>
      </c>
      <c r="G105" s="3" t="str">
        <f>IFERROR(__xludf.DUMMYFUNCTION("AI(""Preencha um valor adequado para esta célula com base no contexto da tabela"")"),"Timon - MA")</f>
        <v>Timon - MA</v>
      </c>
      <c r="H105" s="2" t="s">
        <v>782</v>
      </c>
      <c r="I105" s="1" t="s">
        <v>783</v>
      </c>
      <c r="J105" s="3" t="str">
        <f>IFERROR(__xludf.DUMMYFUNCTION("IF(A105="""", """", IFS(REGEXMATCH(LOWER(A105), ""barbearia|barber""), ""Barbearia"", REGEXMATCH(LOWER(A105), ""sobrancelh|c[ií]lio|lash|micropigment|showbrancelhas""), ""Sobrancelhas e Cílios"", REGEXMATCH(LOWER(A105), ""maquia|make""), ""Maquiagem"", RE"&amp;"GEXMATCH(LOWER(A105), ""depil|epil""), ""Depilação"", REGEXMATCH(LOWER(A105), ""esmalteria|unha|nail|manicur|spa dos p[eé]s|kauu_nhas""), ""Manicure - Esmalteria"", REGEXMATCH(LOWER(A105), ""est[eé]tic|bronze|massot|terap|pilates|revitalize|dra""), ""Clín"&amp;"ica de Estética"", TRUE, ""Salão de Beleza""))"),"Clínica de Estética")</f>
        <v>Clínica de Estética</v>
      </c>
    </row>
    <row r="106">
      <c r="A106" s="1" t="s">
        <v>784</v>
      </c>
      <c r="B106" s="1" t="s">
        <v>785</v>
      </c>
      <c r="C106" s="1" t="s">
        <v>786</v>
      </c>
      <c r="D106" s="1" t="s">
        <v>787</v>
      </c>
      <c r="E106" s="1" t="s">
        <v>788</v>
      </c>
      <c r="F106" s="1" t="s">
        <v>789</v>
      </c>
      <c r="G106" s="3" t="str">
        <f>IFERROR(__xludf.DUMMYFUNCTION("AI(""Preencha um valor adequado para esta célula com base no contexto da tabela"")"),"Timon - MA")</f>
        <v>Timon - MA</v>
      </c>
      <c r="H106" s="2" t="s">
        <v>790</v>
      </c>
      <c r="I106" s="1" t="s">
        <v>791</v>
      </c>
      <c r="J106" s="3" t="str">
        <f>IFERROR(__xludf.DUMMYFUNCTION("IF(A106="""", """", IFS(REGEXMATCH(LOWER(A106), ""barbearia|barber""), ""Barbearia"", REGEXMATCH(LOWER(A106), ""sobrancelh|c[ií]lio|lash|micropigment|showbrancelhas""), ""Sobrancelhas e Cílios"", REGEXMATCH(LOWER(A106), ""maquia|make""), ""Maquiagem"", RE"&amp;"GEXMATCH(LOWER(A106), ""depil|epil""), ""Depilação"", REGEXMATCH(LOWER(A106), ""esmalteria|unha|nail|manicur|spa dos p[eé]s|kauu_nhas""), ""Manicure - Esmalteria"", REGEXMATCH(LOWER(A106), ""est[eé]tic|bronze|massot|terap|pilates|revitalize|dra""), ""Clín"&amp;"ica de Estética"", TRUE, ""Salão de Beleza""))"),"Salão de Beleza")</f>
        <v>Salão de Beleza</v>
      </c>
    </row>
    <row r="107">
      <c r="A107" s="1" t="s">
        <v>792</v>
      </c>
      <c r="B107" s="1" t="s">
        <v>793</v>
      </c>
      <c r="C107" s="1" t="s">
        <v>794</v>
      </c>
      <c r="D107" s="1" t="s">
        <v>795</v>
      </c>
      <c r="E107" s="1" t="s">
        <v>796</v>
      </c>
      <c r="F107" s="1" t="s">
        <v>797</v>
      </c>
      <c r="G107" s="3" t="str">
        <f>IFERROR(__xludf.DUMMYFUNCTION("AI(""Preencha um valor adequado para esta célula com base no contexto da tabela"")"),"Timon - MA")</f>
        <v>Timon - MA</v>
      </c>
      <c r="H107" s="2" t="s">
        <v>798</v>
      </c>
      <c r="I107" s="1" t="s">
        <v>799</v>
      </c>
      <c r="J107" s="3" t="str">
        <f>IFERROR(__xludf.DUMMYFUNCTION("IF(A107="""", """", IFS(REGEXMATCH(LOWER(A107), ""barbearia|barber""), ""Barbearia"", REGEXMATCH(LOWER(A107), ""sobrancelh|c[ií]lio|lash|micropigment|showbrancelhas""), ""Sobrancelhas e Cílios"", REGEXMATCH(LOWER(A107), ""maquia|make""), ""Maquiagem"", RE"&amp;"GEXMATCH(LOWER(A107), ""depil|epil""), ""Depilação"", REGEXMATCH(LOWER(A107), ""esmalteria|unha|nail|manicur|spa dos p[eé]s|kauu_nhas""), ""Manicure - Esmalteria"", REGEXMATCH(LOWER(A107), ""est[eé]tic|bronze|massot|terap|pilates|revitalize|dra""), ""Clín"&amp;"ica de Estética"", TRUE, ""Salão de Beleza""))"),"Salão de Beleza")</f>
        <v>Salão de Beleza</v>
      </c>
    </row>
    <row r="108">
      <c r="A108" s="1" t="s">
        <v>800</v>
      </c>
      <c r="B108" s="1" t="s">
        <v>801</v>
      </c>
      <c r="C108" s="1" t="s">
        <v>802</v>
      </c>
      <c r="D108" s="1" t="s">
        <v>803</v>
      </c>
      <c r="E108" s="1" t="s">
        <v>804</v>
      </c>
      <c r="F108" s="1" t="s">
        <v>805</v>
      </c>
      <c r="G108" s="3" t="str">
        <f>IFERROR(__xludf.DUMMYFUNCTION("AI(""Preencha um valor adequado para esta célula com base no contexto da tabela"")"),"Timon - MA")</f>
        <v>Timon - MA</v>
      </c>
      <c r="H108" s="2" t="s">
        <v>806</v>
      </c>
      <c r="I108" s="1" t="s">
        <v>807</v>
      </c>
      <c r="J108" s="3" t="str">
        <f>IFERROR(__xludf.DUMMYFUNCTION("IF(A108="""", """", IFS(REGEXMATCH(LOWER(A108), ""barbearia|barber""), ""Barbearia"", REGEXMATCH(LOWER(A108), ""sobrancelh|c[ií]lio|lash|micropigment|showbrancelhas""), ""Sobrancelhas e Cílios"", REGEXMATCH(LOWER(A108), ""maquia|make""), ""Maquiagem"", RE"&amp;"GEXMATCH(LOWER(A108), ""depil|epil""), ""Depilação"", REGEXMATCH(LOWER(A108), ""esmalteria|unha|nail|manicur|spa dos p[eé]s|kauu_nhas""), ""Manicure - Esmalteria"", REGEXMATCH(LOWER(A108), ""est[eé]tic|bronze|massot|terap|pilates|revitalize|dra""), ""Clín"&amp;"ica de Estética"", TRUE, ""Salão de Beleza""))"),"Salão de Beleza")</f>
        <v>Salão de Beleza</v>
      </c>
    </row>
    <row r="109">
      <c r="A109" s="1" t="s">
        <v>808</v>
      </c>
      <c r="B109" s="1" t="s">
        <v>809</v>
      </c>
      <c r="C109" s="1" t="s">
        <v>810</v>
      </c>
      <c r="D109" s="1" t="s">
        <v>811</v>
      </c>
      <c r="E109" s="1" t="s">
        <v>812</v>
      </c>
      <c r="F109" s="1" t="s">
        <v>813</v>
      </c>
      <c r="G109" s="3" t="str">
        <f>IFERROR(__xludf.DUMMYFUNCTION("AI(""Preencha um valor adequado para esta célula com base no contexto da tabela"")"),"Timon - MA")</f>
        <v>Timon - MA</v>
      </c>
      <c r="H109" s="2" t="s">
        <v>814</v>
      </c>
      <c r="I109" s="1" t="s">
        <v>815</v>
      </c>
      <c r="J109" s="3" t="str">
        <f>IFERROR(__xludf.DUMMYFUNCTION("IF(A109="""", """", IFS(REGEXMATCH(LOWER(A109), ""barbearia|barber""), ""Barbearia"", REGEXMATCH(LOWER(A109), ""sobrancelh|c[ií]lio|lash|micropigment|showbrancelhas""), ""Sobrancelhas e Cílios"", REGEXMATCH(LOWER(A109), ""maquia|make""), ""Maquiagem"", RE"&amp;"GEXMATCH(LOWER(A109), ""depil|epil""), ""Depilação"", REGEXMATCH(LOWER(A109), ""esmalteria|unha|nail|manicur|spa dos p[eé]s|kauu_nhas""), ""Manicure - Esmalteria"", REGEXMATCH(LOWER(A109), ""est[eé]tic|bronze|massot|terap|pilates|revitalize|dra""), ""Clín"&amp;"ica de Estética"", TRUE, ""Salão de Beleza""))"),"Salão de Beleza")</f>
        <v>Salão de Beleza</v>
      </c>
    </row>
    <row r="110">
      <c r="A110" s="1" t="s">
        <v>816</v>
      </c>
      <c r="B110" s="1" t="s">
        <v>817</v>
      </c>
      <c r="C110" s="1" t="s">
        <v>818</v>
      </c>
      <c r="D110" s="1" t="s">
        <v>819</v>
      </c>
      <c r="E110" s="1" t="s">
        <v>820</v>
      </c>
      <c r="F110" s="1" t="s">
        <v>821</v>
      </c>
      <c r="G110" s="3" t="str">
        <f>IFERROR(__xludf.DUMMYFUNCTION("AI(""Preencha um valor adequado para esta célula com base no contexto da tabela"")"),"Timon - MA")</f>
        <v>Timon - MA</v>
      </c>
      <c r="H110" s="2" t="s">
        <v>822</v>
      </c>
      <c r="I110" s="1" t="s">
        <v>823</v>
      </c>
      <c r="J110" s="3" t="str">
        <f>IFERROR(__xludf.DUMMYFUNCTION("IF(A110="""", """", IFS(REGEXMATCH(LOWER(A110), ""barbearia|barber""), ""Barbearia"", REGEXMATCH(LOWER(A110), ""sobrancelh|c[ií]lio|lash|micropigment|showbrancelhas""), ""Sobrancelhas e Cílios"", REGEXMATCH(LOWER(A110), ""maquia|make""), ""Maquiagem"", RE"&amp;"GEXMATCH(LOWER(A110), ""depil|epil""), ""Depilação"", REGEXMATCH(LOWER(A110), ""esmalteria|unha|nail|manicur|spa dos p[eé]s|kauu_nhas""), ""Manicure - Esmalteria"", REGEXMATCH(LOWER(A110), ""est[eé]tic|bronze|massot|terap|pilates|revitalize|dra""), ""Clín"&amp;"ica de Estética"", TRUE, ""Salão de Beleza""))"),"Salão de Beleza")</f>
        <v>Salão de Beleza</v>
      </c>
    </row>
    <row r="111">
      <c r="A111" s="1" t="s">
        <v>824</v>
      </c>
      <c r="B111" s="1" t="s">
        <v>825</v>
      </c>
      <c r="C111" s="1" t="s">
        <v>826</v>
      </c>
      <c r="D111" s="1" t="s">
        <v>827</v>
      </c>
      <c r="E111" s="1" t="s">
        <v>828</v>
      </c>
      <c r="F111" s="1" t="s">
        <v>829</v>
      </c>
      <c r="G111" s="3" t="str">
        <f>IFERROR(__xludf.DUMMYFUNCTION("AI(""Preencha um valor adequado para esta célula com base no contexto da tabela"")"),"Timon - MA")</f>
        <v>Timon - MA</v>
      </c>
      <c r="H111" s="2" t="s">
        <v>830</v>
      </c>
      <c r="I111" s="1" t="s">
        <v>831</v>
      </c>
      <c r="J111" s="3" t="str">
        <f>IFERROR(__xludf.DUMMYFUNCTION("IF(A111="""", """", IFS(REGEXMATCH(LOWER(A111), ""barbearia|barber""), ""Barbearia"", REGEXMATCH(LOWER(A111), ""sobrancelh|c[ií]lio|lash|micropigment|showbrancelhas""), ""Sobrancelhas e Cílios"", REGEXMATCH(LOWER(A111), ""maquia|make""), ""Maquiagem"", RE"&amp;"GEXMATCH(LOWER(A111), ""depil|epil""), ""Depilação"", REGEXMATCH(LOWER(A111), ""esmalteria|unha|nail|manicur|spa dos p[eé]s|kauu_nhas""), ""Manicure - Esmalteria"", REGEXMATCH(LOWER(A111), ""est[eé]tic|bronze|massot|terap|pilates|revitalize|dra""), ""Clín"&amp;"ica de Estética"", TRUE, ""Salão de Beleza""))"),"Salão de Beleza")</f>
        <v>Salão de Beleza</v>
      </c>
    </row>
    <row r="112">
      <c r="A112" s="1" t="s">
        <v>832</v>
      </c>
      <c r="B112" s="1" t="s">
        <v>833</v>
      </c>
      <c r="C112" s="1" t="s">
        <v>834</v>
      </c>
      <c r="D112" s="1" t="s">
        <v>835</v>
      </c>
      <c r="E112" s="1" t="s">
        <v>836</v>
      </c>
      <c r="F112" s="1" t="s">
        <v>837</v>
      </c>
      <c r="G112" s="3" t="str">
        <f>IFERROR(__xludf.DUMMYFUNCTION("AI(""Preencha um valor adequado para esta célula com base no contexto da tabela"")"),"Timon - MA")</f>
        <v>Timon - MA</v>
      </c>
      <c r="H112" s="2" t="s">
        <v>838</v>
      </c>
      <c r="I112" s="1" t="s">
        <v>839</v>
      </c>
      <c r="J112" s="3" t="str">
        <f>IFERROR(__xludf.DUMMYFUNCTION("IF(A112="""", """", IFS(REGEXMATCH(LOWER(A112), ""barbearia|barber""), ""Barbearia"", REGEXMATCH(LOWER(A112), ""sobrancelh|c[ií]lio|lash|micropigment|showbrancelhas""), ""Sobrancelhas e Cílios"", REGEXMATCH(LOWER(A112), ""maquia|make""), ""Maquiagem"", RE"&amp;"GEXMATCH(LOWER(A112), ""depil|epil""), ""Depilação"", REGEXMATCH(LOWER(A112), ""esmalteria|unha|nail|manicur|spa dos p[eé]s|kauu_nhas""), ""Manicure - Esmalteria"", REGEXMATCH(LOWER(A112), ""est[eé]tic|bronze|massot|terap|pilates|revitalize|dra""), ""Clín"&amp;"ica de Estética"", TRUE, ""Salão de Beleza""))"),"Clínica de Estética")</f>
        <v>Clínica de Estética</v>
      </c>
    </row>
    <row r="113">
      <c r="A113" s="1" t="s">
        <v>840</v>
      </c>
      <c r="B113" s="1" t="s">
        <v>841</v>
      </c>
      <c r="C113" s="1" t="s">
        <v>842</v>
      </c>
      <c r="D113" s="1" t="s">
        <v>843</v>
      </c>
      <c r="E113" s="1" t="s">
        <v>844</v>
      </c>
      <c r="F113" s="1" t="s">
        <v>845</v>
      </c>
      <c r="G113" s="3" t="str">
        <f>IFERROR(__xludf.DUMMYFUNCTION("AI(""Preencha um valor adequado para esta célula com base no contexto da tabela"")"),"Timon - MA")</f>
        <v>Timon - MA</v>
      </c>
      <c r="H113" s="2" t="s">
        <v>846</v>
      </c>
      <c r="I113" s="1" t="s">
        <v>847</v>
      </c>
      <c r="J113" s="3" t="str">
        <f>IFERROR(__xludf.DUMMYFUNCTION("IF(A113="""", """", IFS(REGEXMATCH(LOWER(A113), ""barbearia|barber""), ""Barbearia"", REGEXMATCH(LOWER(A113), ""sobrancelh|c[ií]lio|lash|micropigment|showbrancelhas""), ""Sobrancelhas e Cílios"", REGEXMATCH(LOWER(A113), ""maquia|make""), ""Maquiagem"", RE"&amp;"GEXMATCH(LOWER(A113), ""depil|epil""), ""Depilação"", REGEXMATCH(LOWER(A113), ""esmalteria|unha|nail|manicur|spa dos p[eé]s|kauu_nhas""), ""Manicure - Esmalteria"", REGEXMATCH(LOWER(A113), ""est[eé]tic|bronze|massot|terap|pilates|revitalize|dra""), ""Clín"&amp;"ica de Estética"", TRUE, ""Salão de Beleza""))"),"Salão de Beleza")</f>
        <v>Salão de Beleza</v>
      </c>
    </row>
    <row r="114">
      <c r="A114" s="1" t="s">
        <v>848</v>
      </c>
      <c r="D114" s="1" t="s">
        <v>191</v>
      </c>
      <c r="E114" s="1" t="s">
        <v>849</v>
      </c>
      <c r="F114" s="1" t="s">
        <v>850</v>
      </c>
      <c r="G114" s="3" t="str">
        <f>IFERROR(__xludf.DUMMYFUNCTION("AI(""Preencha um valor adequado para esta célula com base no contexto da tabela"")"),"Timon - MA")</f>
        <v>Timon - MA</v>
      </c>
      <c r="H114" s="2" t="s">
        <v>851</v>
      </c>
      <c r="I114" s="1" t="s">
        <v>195</v>
      </c>
      <c r="J114" s="3" t="str">
        <f>IFERROR(__xludf.DUMMYFUNCTION("IF(A114="""", """", IFS(REGEXMATCH(LOWER(A114), ""barbearia|barber""), ""Barbearia"", REGEXMATCH(LOWER(A114), ""sobrancelh|c[ií]lio|lash|micropigment|showbrancelhas""), ""Sobrancelhas e Cílios"", REGEXMATCH(LOWER(A114), ""maquia|make""), ""Maquiagem"", RE"&amp;"GEXMATCH(LOWER(A114), ""depil|epil""), ""Depilação"", REGEXMATCH(LOWER(A114), ""esmalteria|unha|nail|manicur|spa dos p[eé]s|kauu_nhas""), ""Manicure - Esmalteria"", REGEXMATCH(LOWER(A114), ""est[eé]tic|bronze|massot|terap|pilates|revitalize|dra""), ""Clín"&amp;"ica de Estética"", TRUE, ""Salão de Beleza""))"),"Salão de Beleza")</f>
        <v>Salão de Beleza</v>
      </c>
    </row>
    <row r="115">
      <c r="A115" s="1" t="s">
        <v>852</v>
      </c>
      <c r="B115" s="1" t="s">
        <v>853</v>
      </c>
      <c r="C115" s="1" t="s">
        <v>854</v>
      </c>
      <c r="D115" s="1" t="s">
        <v>855</v>
      </c>
      <c r="E115" s="1" t="s">
        <v>856</v>
      </c>
      <c r="F115" s="1" t="s">
        <v>857</v>
      </c>
      <c r="G115" s="3" t="str">
        <f>IFERROR(__xludf.DUMMYFUNCTION("AI(""Preencha um valor adequado para esta célula com base no contexto da tabela"")"),"Timon - MA")</f>
        <v>Timon - MA</v>
      </c>
      <c r="H115" s="2" t="s">
        <v>858</v>
      </c>
      <c r="I115" s="1" t="s">
        <v>859</v>
      </c>
      <c r="J115" s="3" t="str">
        <f>IFERROR(__xludf.DUMMYFUNCTION("IF(A115="""", """", IFS(REGEXMATCH(LOWER(A115), ""barbearia|barber""), ""Barbearia"", REGEXMATCH(LOWER(A115), ""sobrancelh|c[ií]lio|lash|micropigment|showbrancelhas""), ""Sobrancelhas e Cílios"", REGEXMATCH(LOWER(A115), ""maquia|make""), ""Maquiagem"", RE"&amp;"GEXMATCH(LOWER(A115), ""depil|epil""), ""Depilação"", REGEXMATCH(LOWER(A115), ""esmalteria|unha|nail|manicur|spa dos p[eé]s|kauu_nhas""), ""Manicure - Esmalteria"", REGEXMATCH(LOWER(A115), ""est[eé]tic|bronze|massot|terap|pilates|revitalize|dra""), ""Clín"&amp;"ica de Estética"", TRUE, ""Salão de Beleza""))"),"Salão de Beleza")</f>
        <v>Salão de Beleza</v>
      </c>
    </row>
    <row r="116">
      <c r="A116" s="1" t="s">
        <v>860</v>
      </c>
      <c r="B116" s="1" t="s">
        <v>861</v>
      </c>
      <c r="C116" s="1" t="s">
        <v>862</v>
      </c>
      <c r="D116" s="1" t="s">
        <v>863</v>
      </c>
      <c r="E116" s="1" t="s">
        <v>864</v>
      </c>
      <c r="F116" s="1" t="s">
        <v>865</v>
      </c>
      <c r="G116" s="3" t="str">
        <f>IFERROR(__xludf.DUMMYFUNCTION("AI(""Preencha um valor adequado para esta célula com base no contexto da tabela"")"),"Timon - MA")</f>
        <v>Timon - MA</v>
      </c>
      <c r="H116" s="2" t="s">
        <v>866</v>
      </c>
      <c r="I116" s="1" t="s">
        <v>867</v>
      </c>
      <c r="J116" s="3" t="str">
        <f>IFERROR(__xludf.DUMMYFUNCTION("IF(A116="""", """", IFS(REGEXMATCH(LOWER(A116), ""barbearia|barber""), ""Barbearia"", REGEXMATCH(LOWER(A116), ""sobrancelh|c[ií]lio|lash|micropigment|showbrancelhas""), ""Sobrancelhas e Cílios"", REGEXMATCH(LOWER(A116), ""maquia|make""), ""Maquiagem"", RE"&amp;"GEXMATCH(LOWER(A116), ""depil|epil""), ""Depilação"", REGEXMATCH(LOWER(A116), ""esmalteria|unha|nail|manicur|spa dos p[eé]s|kauu_nhas""), ""Manicure - Esmalteria"", REGEXMATCH(LOWER(A116), ""est[eé]tic|bronze|massot|terap|pilates|revitalize|dra""), ""Clín"&amp;"ica de Estética"", TRUE, ""Salão de Beleza""))"),"Salão de Beleza")</f>
        <v>Salão de Beleza</v>
      </c>
    </row>
    <row r="117">
      <c r="A117" s="1" t="s">
        <v>868</v>
      </c>
      <c r="B117" s="1" t="s">
        <v>869</v>
      </c>
      <c r="C117" s="1" t="s">
        <v>870</v>
      </c>
      <c r="D117" s="1" t="s">
        <v>871</v>
      </c>
      <c r="E117" s="1" t="s">
        <v>872</v>
      </c>
      <c r="F117" s="1" t="s">
        <v>873</v>
      </c>
      <c r="G117" s="3" t="str">
        <f>IFERROR(__xludf.DUMMYFUNCTION("AI(""Preencha um valor adequado para esta célula com base no contexto da tabela"")"),"Timon - MA")</f>
        <v>Timon - MA</v>
      </c>
      <c r="H117" s="2" t="s">
        <v>874</v>
      </c>
      <c r="I117" s="1" t="s">
        <v>875</v>
      </c>
      <c r="J117" s="3" t="str">
        <f>IFERROR(__xludf.DUMMYFUNCTION("IF(A117="""", """", IFS(REGEXMATCH(LOWER(A117), ""barbearia|barber""), ""Barbearia"", REGEXMATCH(LOWER(A117), ""sobrancelh|c[ií]lio|lash|micropigment|showbrancelhas""), ""Sobrancelhas e Cílios"", REGEXMATCH(LOWER(A117), ""maquia|make""), ""Maquiagem"", RE"&amp;"GEXMATCH(LOWER(A117), ""depil|epil""), ""Depilação"", REGEXMATCH(LOWER(A117), ""esmalteria|unha|nail|manicur|spa dos p[eé]s|kauu_nhas""), ""Manicure - Esmalteria"", REGEXMATCH(LOWER(A117), ""est[eé]tic|bronze|massot|terap|pilates|revitalize|dra""), ""Clín"&amp;"ica de Estética"", TRUE, ""Salão de Beleza""))"),"Salão de Beleza")</f>
        <v>Salão de Beleza</v>
      </c>
    </row>
    <row r="118">
      <c r="A118" s="1" t="s">
        <v>876</v>
      </c>
      <c r="B118" s="1" t="s">
        <v>877</v>
      </c>
      <c r="C118" s="1" t="s">
        <v>878</v>
      </c>
      <c r="D118" s="1" t="s">
        <v>879</v>
      </c>
      <c r="E118" s="1" t="s">
        <v>880</v>
      </c>
      <c r="F118" s="1" t="s">
        <v>881</v>
      </c>
      <c r="G118" s="3" t="str">
        <f>IFERROR(__xludf.DUMMYFUNCTION("AI(""Preencha um valor adequado para esta célula com base no contexto da tabela"")"),"Timon - MA")</f>
        <v>Timon - MA</v>
      </c>
      <c r="H118" s="2" t="s">
        <v>882</v>
      </c>
      <c r="I118" s="1" t="s">
        <v>761</v>
      </c>
      <c r="J118" s="3" t="str">
        <f>IFERROR(__xludf.DUMMYFUNCTION("IF(A118="""", """", IFS(REGEXMATCH(LOWER(A118), ""barbearia|barber""), ""Barbearia"", REGEXMATCH(LOWER(A118), ""sobrancelh|c[ií]lio|lash|micropigment|showbrancelhas""), ""Sobrancelhas e Cílios"", REGEXMATCH(LOWER(A118), ""maquia|make""), ""Maquiagem"", RE"&amp;"GEXMATCH(LOWER(A118), ""depil|epil""), ""Depilação"", REGEXMATCH(LOWER(A118), ""esmalteria|unha|nail|manicur|spa dos p[eé]s|kauu_nhas""), ""Manicure - Esmalteria"", REGEXMATCH(LOWER(A118), ""est[eé]tic|bronze|massot|terap|pilates|revitalize|dra""), ""Clín"&amp;"ica de Estética"", TRUE, ""Salão de Beleza""))"),"Salão de Beleza")</f>
        <v>Salão de Beleza</v>
      </c>
    </row>
    <row r="119">
      <c r="A119" s="1" t="s">
        <v>653</v>
      </c>
      <c r="B119" s="1" t="s">
        <v>654</v>
      </c>
      <c r="C119" s="1" t="s">
        <v>655</v>
      </c>
      <c r="D119" s="1" t="s">
        <v>883</v>
      </c>
      <c r="E119" s="1" t="s">
        <v>884</v>
      </c>
      <c r="F119" s="1" t="s">
        <v>885</v>
      </c>
      <c r="G119" s="3" t="str">
        <f>IFERROR(__xludf.DUMMYFUNCTION("AI(""Preencha um valor adequado para esta célula com base no contexto da tabela"")"),"Timon - MA")</f>
        <v>Timon - MA</v>
      </c>
      <c r="H119" s="2" t="s">
        <v>886</v>
      </c>
      <c r="I119" s="1" t="s">
        <v>887</v>
      </c>
      <c r="J119" s="3" t="str">
        <f>IFERROR(__xludf.DUMMYFUNCTION("IF(A119="""", """", IFS(REGEXMATCH(LOWER(A119), ""barbearia|barber""), ""Barbearia"", REGEXMATCH(LOWER(A119), ""sobrancelh|c[ií]lio|lash|micropigment|showbrancelhas""), ""Sobrancelhas e Cílios"", REGEXMATCH(LOWER(A119), ""maquia|make""), ""Maquiagem"", RE"&amp;"GEXMATCH(LOWER(A119), ""depil|epil""), ""Depilação"", REGEXMATCH(LOWER(A119), ""esmalteria|unha|nail|manicur|spa dos p[eé]s|kauu_nhas""), ""Manicure - Esmalteria"", REGEXMATCH(LOWER(A119), ""est[eé]tic|bronze|massot|terap|pilates|revitalize|dra""), ""Clín"&amp;"ica de Estética"", TRUE, ""Salão de Beleza""))"),"Salão de Beleza")</f>
        <v>Salão de Beleza</v>
      </c>
    </row>
    <row r="120">
      <c r="A120" s="1" t="s">
        <v>888</v>
      </c>
      <c r="B120" s="1" t="s">
        <v>889</v>
      </c>
      <c r="C120" s="1" t="s">
        <v>890</v>
      </c>
      <c r="D120" s="1" t="s">
        <v>891</v>
      </c>
      <c r="E120" s="1" t="s">
        <v>892</v>
      </c>
      <c r="F120" s="1" t="s">
        <v>893</v>
      </c>
      <c r="G120" s="3" t="str">
        <f>IFERROR(__xludf.DUMMYFUNCTION("AI(""Preencha um valor adequado para esta célula com base no contexto da tabela"")"),"Timon - MA")</f>
        <v>Timon - MA</v>
      </c>
      <c r="H120" s="2" t="s">
        <v>894</v>
      </c>
      <c r="I120" s="1" t="s">
        <v>895</v>
      </c>
      <c r="J120" s="3" t="str">
        <f>IFERROR(__xludf.DUMMYFUNCTION("IF(A120="""", """", IFS(REGEXMATCH(LOWER(A120), ""barbearia|barber""), ""Barbearia"", REGEXMATCH(LOWER(A120), ""sobrancelh|c[ií]lio|lash|micropigment|showbrancelhas""), ""Sobrancelhas e Cílios"", REGEXMATCH(LOWER(A120), ""maquia|make""), ""Maquiagem"", RE"&amp;"GEXMATCH(LOWER(A120), ""depil|epil""), ""Depilação"", REGEXMATCH(LOWER(A120), ""esmalteria|unha|nail|manicur|spa dos p[eé]s|kauu_nhas""), ""Manicure - Esmalteria"", REGEXMATCH(LOWER(A120), ""est[eé]tic|bronze|massot|terap|pilates|revitalize|dra""), ""Clín"&amp;"ica de Estética"", TRUE, ""Salão de Beleza""))"),"Salão de Beleza")</f>
        <v>Salão de Beleza</v>
      </c>
    </row>
    <row r="121">
      <c r="A121" s="1" t="s">
        <v>896</v>
      </c>
      <c r="D121" s="1" t="s">
        <v>897</v>
      </c>
      <c r="E121" s="1" t="s">
        <v>898</v>
      </c>
      <c r="F121" s="1" t="s">
        <v>899</v>
      </c>
      <c r="G121" s="3" t="str">
        <f>IFERROR(__xludf.DUMMYFUNCTION("AI(""Preencha um valor adequado para esta célula com base no contexto da tabela"")"),"Timon - MA")</f>
        <v>Timon - MA</v>
      </c>
      <c r="H121" s="2" t="s">
        <v>900</v>
      </c>
      <c r="I121" s="1" t="s">
        <v>901</v>
      </c>
      <c r="J121" s="3" t="str">
        <f>IFERROR(__xludf.DUMMYFUNCTION("IF(A121="""", """", IFS(REGEXMATCH(LOWER(A121), ""barbearia|barber""), ""Barbearia"", REGEXMATCH(LOWER(A121), ""sobrancelh|c[ií]lio|lash|micropigment|showbrancelhas""), ""Sobrancelhas e Cílios"", REGEXMATCH(LOWER(A121), ""maquia|make""), ""Maquiagem"", RE"&amp;"GEXMATCH(LOWER(A121), ""depil|epil""), ""Depilação"", REGEXMATCH(LOWER(A121), ""esmalteria|unha|nail|manicur|spa dos p[eé]s|kauu_nhas""), ""Manicure - Esmalteria"", REGEXMATCH(LOWER(A121), ""est[eé]tic|bronze|massot|terap|pilates|revitalize|dra""), ""Clín"&amp;"ica de Estética"", TRUE, ""Salão de Beleza""))"),"Salão de Beleza")</f>
        <v>Salão de Beleza</v>
      </c>
    </row>
    <row r="122">
      <c r="A122" s="1" t="s">
        <v>902</v>
      </c>
      <c r="B122" s="1" t="s">
        <v>903</v>
      </c>
      <c r="C122" s="1" t="s">
        <v>904</v>
      </c>
      <c r="D122" s="1" t="s">
        <v>905</v>
      </c>
      <c r="E122" s="1" t="s">
        <v>906</v>
      </c>
      <c r="F122" s="1" t="s">
        <v>907</v>
      </c>
      <c r="G122" s="3" t="str">
        <f>IFERROR(__xludf.DUMMYFUNCTION("AI(""Preencha um valor adequado para esta célula com base no contexto da tabela"")"),"Timon - MA")</f>
        <v>Timon - MA</v>
      </c>
      <c r="H122" s="2" t="s">
        <v>908</v>
      </c>
      <c r="I122" s="1" t="s">
        <v>909</v>
      </c>
      <c r="J122" s="3" t="str">
        <f>IFERROR(__xludf.DUMMYFUNCTION("IF(A122="""", """", IFS(REGEXMATCH(LOWER(A122), ""barbearia|barber""), ""Barbearia"", REGEXMATCH(LOWER(A122), ""sobrancelh|c[ií]lio|lash|micropigment|showbrancelhas""), ""Sobrancelhas e Cílios"", REGEXMATCH(LOWER(A122), ""maquia|make""), ""Maquiagem"", RE"&amp;"GEXMATCH(LOWER(A122), ""depil|epil""), ""Depilação"", REGEXMATCH(LOWER(A122), ""esmalteria|unha|nail|manicur|spa dos p[eé]s|kauu_nhas""), ""Manicure - Esmalteria"", REGEXMATCH(LOWER(A122), ""est[eé]tic|bronze|massot|terap|pilates|revitalize|dra""), ""Clín"&amp;"ica de Estética"", TRUE, ""Salão de Beleza""))"),"Salão de Beleza")</f>
        <v>Salão de Beleza</v>
      </c>
    </row>
    <row r="123">
      <c r="A123" s="1" t="s">
        <v>910</v>
      </c>
      <c r="B123" s="1" t="s">
        <v>911</v>
      </c>
      <c r="C123" s="1" t="s">
        <v>912</v>
      </c>
      <c r="D123" s="1" t="s">
        <v>913</v>
      </c>
      <c r="E123" s="1" t="s">
        <v>914</v>
      </c>
      <c r="F123" s="1" t="s">
        <v>915</v>
      </c>
      <c r="G123" s="3" t="str">
        <f>IFERROR(__xludf.DUMMYFUNCTION("AI(""Preencha um valor adequado para esta célula com base no contexto da tabela"")"),"Timon - MA")</f>
        <v>Timon - MA</v>
      </c>
      <c r="H123" s="2" t="s">
        <v>916</v>
      </c>
      <c r="I123" s="1" t="s">
        <v>917</v>
      </c>
      <c r="J123" s="3" t="str">
        <f>IFERROR(__xludf.DUMMYFUNCTION("IF(A123="""", """", IFS(REGEXMATCH(LOWER(A123), ""barbearia|barber""), ""Barbearia"", REGEXMATCH(LOWER(A123), ""sobrancelh|c[ií]lio|lash|micropigment|showbrancelhas""), ""Sobrancelhas e Cílios"", REGEXMATCH(LOWER(A123), ""maquia|make""), ""Maquiagem"", RE"&amp;"GEXMATCH(LOWER(A123), ""depil|epil""), ""Depilação"", REGEXMATCH(LOWER(A123), ""esmalteria|unha|nail|manicur|spa dos p[eé]s|kauu_nhas""), ""Manicure - Esmalteria"", REGEXMATCH(LOWER(A123), ""est[eé]tic|bronze|massot|terap|pilates|revitalize|dra""), ""Clín"&amp;"ica de Estética"", TRUE, ""Salão de Beleza""))"),"Salão de Beleza")</f>
        <v>Salão de Beleza</v>
      </c>
    </row>
    <row r="124">
      <c r="A124" s="1" t="s">
        <v>918</v>
      </c>
      <c r="D124" s="1" t="s">
        <v>919</v>
      </c>
      <c r="E124" s="1" t="s">
        <v>920</v>
      </c>
      <c r="F124" s="1" t="s">
        <v>921</v>
      </c>
      <c r="G124" s="3" t="str">
        <f>IFERROR(__xludf.DUMMYFUNCTION("AI(""Preencha um valor adequado para esta célula com base no contexto da tabela"")"),"Timon - MA")</f>
        <v>Timon - MA</v>
      </c>
      <c r="H124" s="2" t="s">
        <v>922</v>
      </c>
      <c r="I124" s="1" t="s">
        <v>923</v>
      </c>
      <c r="J124" s="3" t="str">
        <f>IFERROR(__xludf.DUMMYFUNCTION("IF(A124="""", """", IFS(REGEXMATCH(LOWER(A124), ""barbearia|barber""), ""Barbearia"", REGEXMATCH(LOWER(A124), ""sobrancelh|c[ií]lio|lash|micropigment|showbrancelhas""), ""Sobrancelhas e Cílios"", REGEXMATCH(LOWER(A124), ""maquia|make""), ""Maquiagem"", RE"&amp;"GEXMATCH(LOWER(A124), ""depil|epil""), ""Depilação"", REGEXMATCH(LOWER(A124), ""esmalteria|unha|nail|manicur|spa dos p[eé]s|kauu_nhas""), ""Manicure - Esmalteria"", REGEXMATCH(LOWER(A124), ""est[eé]tic|bronze|massot|terap|pilates|revitalize|dra""), ""Clín"&amp;"ica de Estética"", TRUE, ""Salão de Beleza""))"),"Salão de Beleza")</f>
        <v>Salão de Beleza</v>
      </c>
    </row>
    <row r="125">
      <c r="A125" s="1" t="s">
        <v>924</v>
      </c>
      <c r="B125" s="1" t="s">
        <v>925</v>
      </c>
      <c r="C125" s="1" t="s">
        <v>926</v>
      </c>
      <c r="D125" s="1" t="s">
        <v>927</v>
      </c>
      <c r="E125" s="1" t="s">
        <v>928</v>
      </c>
      <c r="F125" s="1" t="s">
        <v>929</v>
      </c>
      <c r="G125" s="3" t="str">
        <f>IFERROR(__xludf.DUMMYFUNCTION("AI(""Preencha um valor adequado para esta célula com base no contexto da tabela"")"),"Timon - MA")</f>
        <v>Timon - MA</v>
      </c>
      <c r="H125" s="2" t="s">
        <v>930</v>
      </c>
      <c r="I125" s="1" t="s">
        <v>931</v>
      </c>
      <c r="J125" s="3" t="str">
        <f>IFERROR(__xludf.DUMMYFUNCTION("IF(A125="""", """", IFS(REGEXMATCH(LOWER(A125), ""barbearia|barber""), ""Barbearia"", REGEXMATCH(LOWER(A125), ""sobrancelh|c[ií]lio|lash|micropigment|showbrancelhas""), ""Sobrancelhas e Cílios"", REGEXMATCH(LOWER(A125), ""maquia|make""), ""Maquiagem"", RE"&amp;"GEXMATCH(LOWER(A125), ""depil|epil""), ""Depilação"", REGEXMATCH(LOWER(A125), ""esmalteria|unha|nail|manicur|spa dos p[eé]s|kauu_nhas""), ""Manicure - Esmalteria"", REGEXMATCH(LOWER(A125), ""est[eé]tic|bronze|massot|terap|pilates|revitalize|dra""), ""Clín"&amp;"ica de Estética"", TRUE, ""Salão de Beleza""))"),"Salão de Beleza")</f>
        <v>Salão de Beleza</v>
      </c>
    </row>
    <row r="126">
      <c r="A126" s="1" t="s">
        <v>932</v>
      </c>
      <c r="D126" s="1" t="s">
        <v>933</v>
      </c>
      <c r="E126" s="1" t="s">
        <v>934</v>
      </c>
      <c r="F126" s="1" t="s">
        <v>935</v>
      </c>
      <c r="G126" s="3" t="str">
        <f>IFERROR(__xludf.DUMMYFUNCTION("AI(""Preencha um valor adequado para esta célula com base no contexto da tabela"")"),"Timon - MA")</f>
        <v>Timon - MA</v>
      </c>
      <c r="H126" s="2" t="s">
        <v>936</v>
      </c>
      <c r="I126" s="1" t="s">
        <v>937</v>
      </c>
      <c r="J126" s="3" t="str">
        <f>IFERROR(__xludf.DUMMYFUNCTION("IF(A126="""", """", IFS(REGEXMATCH(LOWER(A126), ""barbearia|barber""), ""Barbearia"", REGEXMATCH(LOWER(A126), ""sobrancelh|c[ií]lio|lash|micropigment|showbrancelhas""), ""Sobrancelhas e Cílios"", REGEXMATCH(LOWER(A126), ""maquia|make""), ""Maquiagem"", RE"&amp;"GEXMATCH(LOWER(A126), ""depil|epil""), ""Depilação"", REGEXMATCH(LOWER(A126), ""esmalteria|unha|nail|manicur|spa dos p[eé]s|kauu_nhas""), ""Manicure - Esmalteria"", REGEXMATCH(LOWER(A126), ""est[eé]tic|bronze|massot|terap|pilates|revitalize|dra""), ""Clín"&amp;"ica de Estética"", TRUE, ""Salão de Beleza""))"),"Clínica de Estética")</f>
        <v>Clínica de Estética</v>
      </c>
    </row>
    <row r="127">
      <c r="A127" s="1" t="s">
        <v>938</v>
      </c>
      <c r="B127" s="1" t="s">
        <v>939</v>
      </c>
      <c r="C127" s="1" t="s">
        <v>940</v>
      </c>
      <c r="D127" s="1" t="s">
        <v>941</v>
      </c>
      <c r="E127" s="1" t="s">
        <v>942</v>
      </c>
      <c r="F127" s="1" t="s">
        <v>943</v>
      </c>
      <c r="G127" s="3" t="str">
        <f>IFERROR(__xludf.DUMMYFUNCTION("AI(""Preencha um valor adequado para esta célula com base no contexto da tabela"")"),"Timon - MA")</f>
        <v>Timon - MA</v>
      </c>
      <c r="H127" s="2" t="s">
        <v>944</v>
      </c>
      <c r="I127" s="1" t="s">
        <v>945</v>
      </c>
      <c r="J127" s="3" t="str">
        <f>IFERROR(__xludf.DUMMYFUNCTION("IF(A127="""", """", IFS(REGEXMATCH(LOWER(A127), ""barbearia|barber""), ""Barbearia"", REGEXMATCH(LOWER(A127), ""sobrancelh|c[ií]lio|lash|micropigment|showbrancelhas""), ""Sobrancelhas e Cílios"", REGEXMATCH(LOWER(A127), ""maquia|make""), ""Maquiagem"", RE"&amp;"GEXMATCH(LOWER(A127), ""depil|epil""), ""Depilação"", REGEXMATCH(LOWER(A127), ""esmalteria|unha|nail|manicur|spa dos p[eé]s|kauu_nhas""), ""Manicure - Esmalteria"", REGEXMATCH(LOWER(A127), ""est[eé]tic|bronze|massot|terap|pilates|revitalize|dra""), ""Clín"&amp;"ica de Estética"", TRUE, ""Salão de Beleza""))"),"Salão de Beleza")</f>
        <v>Salão de Beleza</v>
      </c>
    </row>
    <row r="128">
      <c r="A128" s="1" t="s">
        <v>946</v>
      </c>
      <c r="B128" s="1" t="s">
        <v>947</v>
      </c>
      <c r="C128" s="1" t="s">
        <v>948</v>
      </c>
      <c r="D128" s="1" t="s">
        <v>949</v>
      </c>
      <c r="E128" s="1" t="s">
        <v>950</v>
      </c>
      <c r="F128" s="1" t="s">
        <v>951</v>
      </c>
      <c r="G128" s="3" t="str">
        <f>IFERROR(__xludf.DUMMYFUNCTION("AI(""Preencha um valor adequado para esta célula com base no contexto da tabela"")"),"Timon - MA")</f>
        <v>Timon - MA</v>
      </c>
      <c r="H128" s="2" t="s">
        <v>952</v>
      </c>
      <c r="I128" s="1" t="s">
        <v>953</v>
      </c>
      <c r="J128" s="3" t="str">
        <f>IFERROR(__xludf.DUMMYFUNCTION("IF(A128="""", """", IFS(REGEXMATCH(LOWER(A128), ""barbearia|barber""), ""Barbearia"", REGEXMATCH(LOWER(A128), ""sobrancelh|c[ií]lio|lash|micropigment|showbrancelhas""), ""Sobrancelhas e Cílios"", REGEXMATCH(LOWER(A128), ""maquia|make""), ""Maquiagem"", RE"&amp;"GEXMATCH(LOWER(A128), ""depil|epil""), ""Depilação"", REGEXMATCH(LOWER(A128), ""esmalteria|unha|nail|manicur|spa dos p[eé]s|kauu_nhas""), ""Manicure - Esmalteria"", REGEXMATCH(LOWER(A128), ""est[eé]tic|bronze|massot|terap|pilates|revitalize|dra""), ""Clín"&amp;"ica de Estética"", TRUE, ""Salão de Beleza""))"),"Salão de Beleza")</f>
        <v>Salão de Beleza</v>
      </c>
    </row>
    <row r="129">
      <c r="A129" s="1" t="s">
        <v>954</v>
      </c>
      <c r="B129" s="1" t="s">
        <v>955</v>
      </c>
      <c r="C129" s="1" t="s">
        <v>956</v>
      </c>
      <c r="D129" s="1" t="s">
        <v>957</v>
      </c>
      <c r="E129" s="1" t="s">
        <v>958</v>
      </c>
      <c r="F129" s="1" t="s">
        <v>959</v>
      </c>
      <c r="G129" s="3" t="str">
        <f>IFERROR(__xludf.DUMMYFUNCTION("AI(""Preencha um valor adequado para esta célula com base no contexto da tabela"")"),"Timon - MA")</f>
        <v>Timon - MA</v>
      </c>
      <c r="H129" s="2" t="s">
        <v>960</v>
      </c>
      <c r="I129" s="1" t="s">
        <v>961</v>
      </c>
      <c r="J129" s="3" t="str">
        <f>IFERROR(__xludf.DUMMYFUNCTION("IF(A129="""", """", IFS(REGEXMATCH(LOWER(A129), ""barbearia|barber""), ""Barbearia"", REGEXMATCH(LOWER(A129), ""sobrancelh|c[ií]lio|lash|micropigment|showbrancelhas""), ""Sobrancelhas e Cílios"", REGEXMATCH(LOWER(A129), ""maquia|make""), ""Maquiagem"", RE"&amp;"GEXMATCH(LOWER(A129), ""depil|epil""), ""Depilação"", REGEXMATCH(LOWER(A129), ""esmalteria|unha|nail|manicur|spa dos p[eé]s|kauu_nhas""), ""Manicure - Esmalteria"", REGEXMATCH(LOWER(A129), ""est[eé]tic|bronze|massot|terap|pilates|revitalize|dra""), ""Clín"&amp;"ica de Estética"", TRUE, ""Salão de Beleza""))"),"Salão de Beleza")</f>
        <v>Salão de Beleza</v>
      </c>
    </row>
    <row r="130">
      <c r="A130" s="1" t="s">
        <v>962</v>
      </c>
      <c r="B130" s="1" t="s">
        <v>963</v>
      </c>
      <c r="C130" s="1" t="s">
        <v>964</v>
      </c>
      <c r="D130" s="1" t="s">
        <v>965</v>
      </c>
      <c r="E130" s="1" t="s">
        <v>966</v>
      </c>
      <c r="F130" s="1" t="s">
        <v>967</v>
      </c>
      <c r="G130" s="3" t="str">
        <f>IFERROR(__xludf.DUMMYFUNCTION("AI(""Preencha um valor adequado para esta célula com base no contexto da tabela"")"),"Teresina - PI")</f>
        <v>Teresina - PI</v>
      </c>
      <c r="H130" s="2" t="s">
        <v>968</v>
      </c>
      <c r="I130" s="1" t="s">
        <v>969</v>
      </c>
      <c r="J130" s="3" t="str">
        <f>IFERROR(__xludf.DUMMYFUNCTION("IF(A130="""", """", IFS(REGEXMATCH(LOWER(A130), ""barbearia|barber""), ""Barbearia"", REGEXMATCH(LOWER(A130), ""sobrancelh|c[ií]lio|lash|micropigment|showbrancelhas""), ""Sobrancelhas e Cílios"", REGEXMATCH(LOWER(A130), ""maquia|make""), ""Maquiagem"", RE"&amp;"GEXMATCH(LOWER(A130), ""depil|epil""), ""Depilação"", REGEXMATCH(LOWER(A130), ""esmalteria|unha|nail|manicur|spa dos p[eé]s|kauu_nhas""), ""Manicure - Esmalteria"", REGEXMATCH(LOWER(A130), ""est[eé]tic|bronze|massot|terap|pilates|revitalize|dra""), ""Clín"&amp;"ica de Estética"", TRUE, ""Salão de Beleza""))"),"Salão de Beleza")</f>
        <v>Salão de Beleza</v>
      </c>
    </row>
    <row r="131">
      <c r="A131" s="1" t="s">
        <v>970</v>
      </c>
      <c r="D131" s="1" t="s">
        <v>971</v>
      </c>
      <c r="E131" s="1" t="s">
        <v>972</v>
      </c>
      <c r="F131" s="1" t="s">
        <v>973</v>
      </c>
      <c r="G131" s="3" t="str">
        <f>IFERROR(__xludf.DUMMYFUNCTION("AI(""Preencha um valor adequado para esta célula com base no contexto da tabela"")"),"Timon - MA")</f>
        <v>Timon - MA</v>
      </c>
      <c r="H131" s="2" t="s">
        <v>974</v>
      </c>
      <c r="I131" s="1" t="s">
        <v>975</v>
      </c>
      <c r="J131" s="3" t="str">
        <f>IFERROR(__xludf.DUMMYFUNCTION("IF(A131="""", """", IFS(REGEXMATCH(LOWER(A131), ""barbearia|barber""), ""Barbearia"", REGEXMATCH(LOWER(A131), ""sobrancelh|c[ií]lio|lash|micropigment|showbrancelhas""), ""Sobrancelhas e Cílios"", REGEXMATCH(LOWER(A131), ""maquia|make""), ""Maquiagem"", RE"&amp;"GEXMATCH(LOWER(A131), ""depil|epil""), ""Depilação"", REGEXMATCH(LOWER(A131), ""esmalteria|unha|nail|manicur|spa dos p[eé]s|kauu_nhas""), ""Manicure - Esmalteria"", REGEXMATCH(LOWER(A131), ""est[eé]tic|bronze|massot|terap|pilates|revitalize|dra""), ""Clín"&amp;"ica de Estética"", TRUE, ""Salão de Beleza""))"),"Salão de Beleza")</f>
        <v>Salão de Beleza</v>
      </c>
    </row>
    <row r="132">
      <c r="A132" s="1" t="s">
        <v>976</v>
      </c>
      <c r="B132" s="1" t="s">
        <v>977</v>
      </c>
      <c r="C132" s="1" t="s">
        <v>978</v>
      </c>
      <c r="D132" s="1" t="s">
        <v>979</v>
      </c>
      <c r="E132" s="1" t="s">
        <v>980</v>
      </c>
      <c r="F132" s="1" t="s">
        <v>981</v>
      </c>
      <c r="G132" s="3" t="str">
        <f>IFERROR(__xludf.DUMMYFUNCTION("AI(""Preencha um valor adequado para esta célula com base no contexto da tabela"")"),"Timon - MA")</f>
        <v>Timon - MA</v>
      </c>
      <c r="H132" s="2" t="s">
        <v>982</v>
      </c>
      <c r="I132" s="1" t="s">
        <v>983</v>
      </c>
      <c r="J132" s="3" t="str">
        <f>IFERROR(__xludf.DUMMYFUNCTION("IF(A132="""", """", IFS(REGEXMATCH(LOWER(A132), ""barbearia|barber""), ""Barbearia"", REGEXMATCH(LOWER(A132), ""sobrancelh|c[ií]lio|lash|micropigment|showbrancelhas""), ""Sobrancelhas e Cílios"", REGEXMATCH(LOWER(A132), ""maquia|make""), ""Maquiagem"", RE"&amp;"GEXMATCH(LOWER(A132), ""depil|epil""), ""Depilação"", REGEXMATCH(LOWER(A132), ""esmalteria|unha|nail|manicur|spa dos p[eé]s|kauu_nhas""), ""Manicure - Esmalteria"", REGEXMATCH(LOWER(A132), ""est[eé]tic|bronze|massot|terap|pilates|revitalize|dra""), ""Clín"&amp;"ica de Estética"", TRUE, ""Salão de Beleza""))"),"Salão de Beleza")</f>
        <v>Salão de Beleza</v>
      </c>
    </row>
    <row r="133">
      <c r="A133" s="1" t="s">
        <v>984</v>
      </c>
      <c r="B133" s="1" t="s">
        <v>985</v>
      </c>
      <c r="C133" s="1" t="s">
        <v>986</v>
      </c>
      <c r="D133" s="1" t="s">
        <v>987</v>
      </c>
      <c r="E133" s="1" t="s">
        <v>988</v>
      </c>
      <c r="F133" s="1" t="s">
        <v>989</v>
      </c>
      <c r="G133" s="3" t="str">
        <f>IFERROR(__xludf.DUMMYFUNCTION("AI(""Preencha um valor adequado para esta célula com base no contexto da tabela"")"),"Timon - MA")</f>
        <v>Timon - MA</v>
      </c>
      <c r="H133" s="2" t="s">
        <v>990</v>
      </c>
      <c r="I133" s="1" t="s">
        <v>991</v>
      </c>
      <c r="J133" s="3" t="str">
        <f>IFERROR(__xludf.DUMMYFUNCTION("IF(A133="""", """", IFS(REGEXMATCH(LOWER(A133), ""barbearia|barber""), ""Barbearia"", REGEXMATCH(LOWER(A133), ""sobrancelh|c[ií]lio|lash|micropigment|showbrancelhas""), ""Sobrancelhas e Cílios"", REGEXMATCH(LOWER(A133), ""maquia|make""), ""Maquiagem"", RE"&amp;"GEXMATCH(LOWER(A133), ""depil|epil""), ""Depilação"", REGEXMATCH(LOWER(A133), ""esmalteria|unha|nail|manicur|spa dos p[eé]s|kauu_nhas""), ""Manicure - Esmalteria"", REGEXMATCH(LOWER(A133), ""est[eé]tic|bronze|massot|terap|pilates|revitalize|dra""), ""Clín"&amp;"ica de Estética"", TRUE, ""Salão de Beleza""))"),"Salão de Beleza")</f>
        <v>Salão de Beleza</v>
      </c>
    </row>
    <row r="134">
      <c r="A134" s="1" t="s">
        <v>992</v>
      </c>
      <c r="B134" s="1" t="s">
        <v>993</v>
      </c>
      <c r="C134" s="1" t="s">
        <v>994</v>
      </c>
      <c r="D134" s="1" t="s">
        <v>995</v>
      </c>
      <c r="E134" s="1" t="s">
        <v>996</v>
      </c>
      <c r="F134" s="1" t="s">
        <v>997</v>
      </c>
      <c r="G134" s="3" t="str">
        <f>IFERROR(__xludf.DUMMYFUNCTION("AI(""Preencha um valor adequado para esta célula com base no contexto da tabela"")"),"Timon - MA")</f>
        <v>Timon - MA</v>
      </c>
      <c r="H134" s="2" t="s">
        <v>998</v>
      </c>
      <c r="I134" s="1" t="s">
        <v>999</v>
      </c>
      <c r="J134" s="3" t="str">
        <f>IFERROR(__xludf.DUMMYFUNCTION("IF(A134="""", """", IFS(REGEXMATCH(LOWER(A134), ""barbearia|barber""), ""Barbearia"", REGEXMATCH(LOWER(A134), ""sobrancelh|c[ií]lio|lash|micropigment|showbrancelhas""), ""Sobrancelhas e Cílios"", REGEXMATCH(LOWER(A134), ""maquia|make""), ""Maquiagem"", RE"&amp;"GEXMATCH(LOWER(A134), ""depil|epil""), ""Depilação"", REGEXMATCH(LOWER(A134), ""esmalteria|unha|nail|manicur|spa dos p[eé]s|kauu_nhas""), ""Manicure - Esmalteria"", REGEXMATCH(LOWER(A134), ""est[eé]tic|bronze|massot|terap|pilates|revitalize|dra""), ""Clín"&amp;"ica de Estética"", TRUE, ""Salão de Beleza""))"),"Salão de Beleza")</f>
        <v>Salão de Beleza</v>
      </c>
    </row>
    <row r="135">
      <c r="A135" s="1" t="s">
        <v>1000</v>
      </c>
      <c r="D135" s="1" t="s">
        <v>1001</v>
      </c>
      <c r="E135" s="1" t="s">
        <v>1002</v>
      </c>
      <c r="F135" s="1" t="s">
        <v>1003</v>
      </c>
      <c r="G135" s="3" t="str">
        <f>IFERROR(__xludf.DUMMYFUNCTION("AI(""Preencha um valor adequado para esta célula com base no contexto da tabela"")"),"Timon - MA")</f>
        <v>Timon - MA</v>
      </c>
      <c r="H135" s="2" t="s">
        <v>1004</v>
      </c>
      <c r="I135" s="1" t="s">
        <v>1005</v>
      </c>
      <c r="J135" s="3" t="str">
        <f>IFERROR(__xludf.DUMMYFUNCTION("IF(A135="""", """", IFS(REGEXMATCH(LOWER(A135), ""barbearia|barber""), ""Barbearia"", REGEXMATCH(LOWER(A135), ""sobrancelh|c[ií]lio|lash|micropigment|showbrancelhas""), ""Sobrancelhas e Cílios"", REGEXMATCH(LOWER(A135), ""maquia|make""), ""Maquiagem"", RE"&amp;"GEXMATCH(LOWER(A135), ""depil|epil""), ""Depilação"", REGEXMATCH(LOWER(A135), ""esmalteria|unha|nail|manicur|spa dos p[eé]s|kauu_nhas""), ""Manicure - Esmalteria"", REGEXMATCH(LOWER(A135), ""est[eé]tic|bronze|massot|terap|pilates|revitalize|dra""), ""Clín"&amp;"ica de Estética"", TRUE, ""Salão de Beleza""))"),"Manicure - Esmalteria")</f>
        <v>Manicure - Esmalteria</v>
      </c>
    </row>
    <row r="136">
      <c r="A136" s="1" t="s">
        <v>1006</v>
      </c>
      <c r="B136" s="1" t="s">
        <v>1007</v>
      </c>
      <c r="C136" s="1" t="s">
        <v>1008</v>
      </c>
      <c r="D136" s="1" t="s">
        <v>1009</v>
      </c>
      <c r="E136" s="1" t="s">
        <v>1010</v>
      </c>
      <c r="F136" s="1" t="s">
        <v>1011</v>
      </c>
      <c r="G136" s="3" t="str">
        <f>IFERROR(__xludf.DUMMYFUNCTION("AI(""Preencha um valor adequado para esta célula com base no contexto da tabela"")"),"Timon - MA")</f>
        <v>Timon - MA</v>
      </c>
      <c r="H136" s="2" t="s">
        <v>1012</v>
      </c>
      <c r="I136" s="1" t="s">
        <v>1013</v>
      </c>
      <c r="J136" s="3" t="str">
        <f>IFERROR(__xludf.DUMMYFUNCTION("IF(A136="""", """", IFS(REGEXMATCH(LOWER(A136), ""barbearia|barber""), ""Barbearia"", REGEXMATCH(LOWER(A136), ""sobrancelh|c[ií]lio|lash|micropigment|showbrancelhas""), ""Sobrancelhas e Cílios"", REGEXMATCH(LOWER(A136), ""maquia|make""), ""Maquiagem"", RE"&amp;"GEXMATCH(LOWER(A136), ""depil|epil""), ""Depilação"", REGEXMATCH(LOWER(A136), ""esmalteria|unha|nail|manicur|spa dos p[eé]s|kauu_nhas""), ""Manicure - Esmalteria"", REGEXMATCH(LOWER(A136), ""est[eé]tic|bronze|massot|terap|pilates|revitalize|dra""), ""Clín"&amp;"ica de Estética"", TRUE, ""Salão de Beleza""))"),"Clínica de Estética")</f>
        <v>Clínica de Estética</v>
      </c>
    </row>
    <row r="137">
      <c r="A137" s="1" t="s">
        <v>1014</v>
      </c>
      <c r="B137" s="1" t="s">
        <v>1015</v>
      </c>
      <c r="C137" s="1" t="s">
        <v>1016</v>
      </c>
      <c r="D137" s="1" t="s">
        <v>1017</v>
      </c>
      <c r="E137" s="1" t="s">
        <v>1018</v>
      </c>
      <c r="F137" s="1" t="s">
        <v>1019</v>
      </c>
      <c r="G137" s="3" t="str">
        <f>IFERROR(__xludf.DUMMYFUNCTION("AI(""Preencha um valor adequado para esta célula com base no contexto da tabela"")"),"Timon - MA")</f>
        <v>Timon - MA</v>
      </c>
      <c r="H137" s="2" t="s">
        <v>1020</v>
      </c>
      <c r="I137" s="1" t="s">
        <v>1021</v>
      </c>
      <c r="J137" s="3" t="str">
        <f>IFERROR(__xludf.DUMMYFUNCTION("IF(A137="""", """", IFS(REGEXMATCH(LOWER(A137), ""barbearia|barber""), ""Barbearia"", REGEXMATCH(LOWER(A137), ""sobrancelh|c[ií]lio|lash|micropigment|showbrancelhas""), ""Sobrancelhas e Cílios"", REGEXMATCH(LOWER(A137), ""maquia|make""), ""Maquiagem"", RE"&amp;"GEXMATCH(LOWER(A137), ""depil|epil""), ""Depilação"", REGEXMATCH(LOWER(A137), ""esmalteria|unha|nail|manicur|spa dos p[eé]s|kauu_nhas""), ""Manicure - Esmalteria"", REGEXMATCH(LOWER(A137), ""est[eé]tic|bronze|massot|terap|pilates|revitalize|dra""), ""Clín"&amp;"ica de Estética"", TRUE, ""Salão de Beleza""))"),"Salão de Beleza")</f>
        <v>Salão de Beleza</v>
      </c>
    </row>
    <row r="138">
      <c r="A138" s="1" t="s">
        <v>1022</v>
      </c>
      <c r="B138" s="1" t="s">
        <v>1023</v>
      </c>
      <c r="C138" s="1" t="s">
        <v>1024</v>
      </c>
      <c r="D138" s="1" t="s">
        <v>1025</v>
      </c>
      <c r="E138" s="1" t="s">
        <v>1026</v>
      </c>
      <c r="F138" s="1" t="s">
        <v>1027</v>
      </c>
      <c r="G138" s="3" t="str">
        <f>IFERROR(__xludf.DUMMYFUNCTION("AI(""Preencha um valor adequado para esta célula com base no contexto da tabela"")"),"Timon - MA")</f>
        <v>Timon - MA</v>
      </c>
      <c r="H138" s="2" t="s">
        <v>1028</v>
      </c>
      <c r="I138" s="1" t="s">
        <v>1029</v>
      </c>
      <c r="J138" s="3" t="str">
        <f>IFERROR(__xludf.DUMMYFUNCTION("IF(A138="""", """", IFS(REGEXMATCH(LOWER(A138), ""barbearia|barber""), ""Barbearia"", REGEXMATCH(LOWER(A138), ""sobrancelh|c[ií]lio|lash|micropigment|showbrancelhas""), ""Sobrancelhas e Cílios"", REGEXMATCH(LOWER(A138), ""maquia|make""), ""Maquiagem"", RE"&amp;"GEXMATCH(LOWER(A138), ""depil|epil""), ""Depilação"", REGEXMATCH(LOWER(A138), ""esmalteria|unha|nail|manicur|spa dos p[eé]s|kauu_nhas""), ""Manicure - Esmalteria"", REGEXMATCH(LOWER(A138), ""est[eé]tic|bronze|massot|terap|pilates|revitalize|dra""), ""Clín"&amp;"ica de Estética"", TRUE, ""Salão de Beleza""))"),"Salão de Beleza")</f>
        <v>Salão de Beleza</v>
      </c>
    </row>
    <row r="139">
      <c r="A139" s="1" t="s">
        <v>1030</v>
      </c>
      <c r="B139" s="1" t="s">
        <v>1031</v>
      </c>
      <c r="C139" s="1" t="s">
        <v>1032</v>
      </c>
      <c r="D139" s="1" t="s">
        <v>1033</v>
      </c>
      <c r="E139" s="1" t="s">
        <v>1034</v>
      </c>
      <c r="F139" s="1" t="s">
        <v>1035</v>
      </c>
      <c r="G139" s="3" t="str">
        <f>IFERROR(__xludf.DUMMYFUNCTION("AI(""Preencha um valor adequado para esta célula com base no contexto da tabela"")"),"Timon - MA")</f>
        <v>Timon - MA</v>
      </c>
      <c r="H139" s="2" t="s">
        <v>1036</v>
      </c>
      <c r="I139" s="1" t="s">
        <v>1037</v>
      </c>
      <c r="J139" s="3" t="str">
        <f>IFERROR(__xludf.DUMMYFUNCTION("IF(A139="""", """", IFS(REGEXMATCH(LOWER(A139), ""barbearia|barber""), ""Barbearia"", REGEXMATCH(LOWER(A139), ""sobrancelh|c[ií]lio|lash|micropigment|showbrancelhas""), ""Sobrancelhas e Cílios"", REGEXMATCH(LOWER(A139), ""maquia|make""), ""Maquiagem"", RE"&amp;"GEXMATCH(LOWER(A139), ""depil|epil""), ""Depilação"", REGEXMATCH(LOWER(A139), ""esmalteria|unha|nail|manicur|spa dos p[eé]s|kauu_nhas""), ""Manicure - Esmalteria"", REGEXMATCH(LOWER(A139), ""est[eé]tic|bronze|massot|terap|pilates|revitalize|dra""), ""Clín"&amp;"ica de Estética"", TRUE, ""Salão de Beleza""))"),"Salão de Beleza")</f>
        <v>Salão de Beleza</v>
      </c>
    </row>
    <row r="140">
      <c r="A140" s="1" t="s">
        <v>1038</v>
      </c>
      <c r="B140" s="1" t="s">
        <v>1039</v>
      </c>
      <c r="C140" s="1" t="s">
        <v>1040</v>
      </c>
      <c r="D140" s="1" t="s">
        <v>1041</v>
      </c>
      <c r="E140" s="1" t="s">
        <v>1042</v>
      </c>
      <c r="F140" s="1" t="s">
        <v>1043</v>
      </c>
      <c r="G140" s="3" t="str">
        <f>IFERROR(__xludf.DUMMYFUNCTION("AI(""Preencha um valor adequado para esta célula com base no contexto da tabela"")"),"Timon - MA")</f>
        <v>Timon - MA</v>
      </c>
      <c r="H140" s="2" t="s">
        <v>1044</v>
      </c>
      <c r="J140" s="3" t="str">
        <f>IFERROR(__xludf.DUMMYFUNCTION("IF(A140="""", """", IFS(REGEXMATCH(LOWER(A140), ""barbearia|barber""), ""Barbearia"", REGEXMATCH(LOWER(A140), ""sobrancelh|c[ií]lio|lash|micropigment|showbrancelhas""), ""Sobrancelhas e Cílios"", REGEXMATCH(LOWER(A140), ""maquia|make""), ""Maquiagem"", RE"&amp;"GEXMATCH(LOWER(A140), ""depil|epil""), ""Depilação"", REGEXMATCH(LOWER(A140), ""esmalteria|unha|nail|manicur|spa dos p[eé]s|kauu_nhas""), ""Manicure - Esmalteria"", REGEXMATCH(LOWER(A140), ""est[eé]tic|bronze|massot|terap|pilates|revitalize|dra""), ""Clín"&amp;"ica de Estética"", TRUE, ""Salão de Beleza""))"),"Salão de Beleza")</f>
        <v>Salão de Beleza</v>
      </c>
    </row>
    <row r="141">
      <c r="A141" s="1" t="s">
        <v>1045</v>
      </c>
      <c r="B141" s="1" t="s">
        <v>1046</v>
      </c>
      <c r="C141" s="1" t="s">
        <v>1047</v>
      </c>
      <c r="D141" s="1" t="s">
        <v>1048</v>
      </c>
      <c r="E141" s="1" t="s">
        <v>1049</v>
      </c>
      <c r="F141" s="1" t="s">
        <v>1050</v>
      </c>
      <c r="G141" s="3" t="str">
        <f>IFERROR(__xludf.DUMMYFUNCTION("AI(""Preencha um valor adequado para esta célula com base no contexto da tabela"")"),"Timon - MA")</f>
        <v>Timon - MA</v>
      </c>
      <c r="H141" s="2" t="s">
        <v>1051</v>
      </c>
      <c r="I141" s="1" t="s">
        <v>1052</v>
      </c>
      <c r="J141" s="3" t="str">
        <f>IFERROR(__xludf.DUMMYFUNCTION("IF(A141="""", """", IFS(REGEXMATCH(LOWER(A141), ""barbearia|barber""), ""Barbearia"", REGEXMATCH(LOWER(A141), ""sobrancelh|c[ií]lio|lash|micropigment|showbrancelhas""), ""Sobrancelhas e Cílios"", REGEXMATCH(LOWER(A141), ""maquia|make""), ""Maquiagem"", RE"&amp;"GEXMATCH(LOWER(A141), ""depil|epil""), ""Depilação"", REGEXMATCH(LOWER(A141), ""esmalteria|unha|nail|manicur|spa dos p[eé]s|kauu_nhas""), ""Manicure - Esmalteria"", REGEXMATCH(LOWER(A141), ""est[eé]tic|bronze|massot|terap|pilates|revitalize|dra""), ""Clín"&amp;"ica de Estética"", TRUE, ""Salão de Beleza""))"),"Sobrancelhas e Cílios")</f>
        <v>Sobrancelhas e Cílios</v>
      </c>
    </row>
    <row r="142">
      <c r="A142" s="1" t="s">
        <v>1053</v>
      </c>
      <c r="B142" s="1" t="s">
        <v>1054</v>
      </c>
      <c r="C142" s="1" t="s">
        <v>1055</v>
      </c>
      <c r="D142" s="1" t="s">
        <v>1056</v>
      </c>
      <c r="E142" s="1" t="s">
        <v>1057</v>
      </c>
      <c r="F142" s="1" t="s">
        <v>1058</v>
      </c>
      <c r="G142" s="3" t="str">
        <f>IFERROR(__xludf.DUMMYFUNCTION("AI(""Preencha um valor adequado para esta célula com base no contexto da tabela"")"),"Timon - MA")</f>
        <v>Timon - MA</v>
      </c>
      <c r="H142" s="2" t="s">
        <v>1059</v>
      </c>
      <c r="I142" s="1" t="s">
        <v>1060</v>
      </c>
      <c r="J142" s="3" t="str">
        <f>IFERROR(__xludf.DUMMYFUNCTION("IF(A142="""", """", IFS(REGEXMATCH(LOWER(A142), ""barbearia|barber""), ""Barbearia"", REGEXMATCH(LOWER(A142), ""sobrancelh|c[ií]lio|lash|micropigment|showbrancelhas""), ""Sobrancelhas e Cílios"", REGEXMATCH(LOWER(A142), ""maquia|make""), ""Maquiagem"", RE"&amp;"GEXMATCH(LOWER(A142), ""depil|epil""), ""Depilação"", REGEXMATCH(LOWER(A142), ""esmalteria|unha|nail|manicur|spa dos p[eé]s|kauu_nhas""), ""Manicure - Esmalteria"", REGEXMATCH(LOWER(A142), ""est[eé]tic|bronze|massot|terap|pilates|revitalize|dra""), ""Clín"&amp;"ica de Estética"", TRUE, ""Salão de Beleza""))"),"Salão de Beleza")</f>
        <v>Salão de Beleza</v>
      </c>
    </row>
    <row r="143">
      <c r="A143" s="1" t="s">
        <v>1061</v>
      </c>
      <c r="B143" s="1" t="s">
        <v>1062</v>
      </c>
      <c r="C143" s="1" t="s">
        <v>1063</v>
      </c>
      <c r="D143" s="1" t="s">
        <v>493</v>
      </c>
      <c r="E143" s="1" t="s">
        <v>1064</v>
      </c>
      <c r="F143" s="1" t="s">
        <v>1065</v>
      </c>
      <c r="G143" s="3" t="str">
        <f>IFERROR(__xludf.DUMMYFUNCTION("AI(""Preencha um valor adequado para esta célula com base no contexto da tabela"")"),"Timon - MA")</f>
        <v>Timon - MA</v>
      </c>
      <c r="H143" s="2" t="s">
        <v>1066</v>
      </c>
      <c r="I143" s="1" t="s">
        <v>497</v>
      </c>
      <c r="J143" s="3" t="str">
        <f>IFERROR(__xludf.DUMMYFUNCTION("IF(A143="""", """", IFS(REGEXMATCH(LOWER(A143), ""barbearia|barber""), ""Barbearia"", REGEXMATCH(LOWER(A143), ""sobrancelh|c[ií]lio|lash|micropigment|showbrancelhas""), ""Sobrancelhas e Cílios"", REGEXMATCH(LOWER(A143), ""maquia|make""), ""Maquiagem"", RE"&amp;"GEXMATCH(LOWER(A143), ""depil|epil""), ""Depilação"", REGEXMATCH(LOWER(A143), ""esmalteria|unha|nail|manicur|spa dos p[eé]s|kauu_nhas""), ""Manicure - Esmalteria"", REGEXMATCH(LOWER(A143), ""est[eé]tic|bronze|massot|terap|pilates|revitalize|dra""), ""Clín"&amp;"ica de Estética"", TRUE, ""Salão de Beleza""))"),"Salão de Beleza")</f>
        <v>Salão de Beleza</v>
      </c>
    </row>
    <row r="144">
      <c r="A144" s="1" t="s">
        <v>1067</v>
      </c>
      <c r="B144" s="1" t="s">
        <v>1068</v>
      </c>
      <c r="C144" s="1" t="s">
        <v>1069</v>
      </c>
      <c r="D144" s="1" t="s">
        <v>1070</v>
      </c>
      <c r="E144" s="1" t="s">
        <v>1071</v>
      </c>
      <c r="F144" s="1" t="s">
        <v>1072</v>
      </c>
      <c r="G144" s="3" t="str">
        <f>IFERROR(__xludf.DUMMYFUNCTION("AI(""Preencha um valor adequado para esta célula com base no contexto da tabela"")"),"Timon - MA")</f>
        <v>Timon - MA</v>
      </c>
      <c r="H144" s="2" t="s">
        <v>1073</v>
      </c>
      <c r="I144" s="1" t="s">
        <v>1074</v>
      </c>
      <c r="J144" s="3" t="str">
        <f>IFERROR(__xludf.DUMMYFUNCTION("IF(A144="""", """", IFS(REGEXMATCH(LOWER(A144), ""barbearia|barber""), ""Barbearia"", REGEXMATCH(LOWER(A144), ""sobrancelh|c[ií]lio|lash|micropigment|showbrancelhas""), ""Sobrancelhas e Cílios"", REGEXMATCH(LOWER(A144), ""maquia|make""), ""Maquiagem"", RE"&amp;"GEXMATCH(LOWER(A144), ""depil|epil""), ""Depilação"", REGEXMATCH(LOWER(A144), ""esmalteria|unha|nail|manicur|spa dos p[eé]s|kauu_nhas""), ""Manicure - Esmalteria"", REGEXMATCH(LOWER(A144), ""est[eé]tic|bronze|massot|terap|pilates|revitalize|dra""), ""Clín"&amp;"ica de Estética"", TRUE, ""Salão de Beleza""))"),"Salão de Beleza")</f>
        <v>Salão de Beleza</v>
      </c>
    </row>
    <row r="145">
      <c r="A145" s="1" t="s">
        <v>1075</v>
      </c>
      <c r="B145" s="1" t="s">
        <v>1076</v>
      </c>
      <c r="C145" s="1" t="s">
        <v>1077</v>
      </c>
      <c r="D145" s="1" t="s">
        <v>1078</v>
      </c>
      <c r="E145" s="1" t="s">
        <v>1079</v>
      </c>
      <c r="F145" s="1" t="s">
        <v>1080</v>
      </c>
      <c r="G145" s="3" t="str">
        <f>IFERROR(__xludf.DUMMYFUNCTION("AI(""Preencha um valor adequado para esta célula com base no contexto da tabela"")"),"Timon - MA")</f>
        <v>Timon - MA</v>
      </c>
      <c r="H145" s="2" t="s">
        <v>1081</v>
      </c>
      <c r="I145" s="1" t="s">
        <v>1082</v>
      </c>
      <c r="J145" s="3" t="str">
        <f>IFERROR(__xludf.DUMMYFUNCTION("IF(A145="""", """", IFS(REGEXMATCH(LOWER(A145), ""barbearia|barber""), ""Barbearia"", REGEXMATCH(LOWER(A145), ""sobrancelh|c[ií]lio|lash|micropigment|showbrancelhas""), ""Sobrancelhas e Cílios"", REGEXMATCH(LOWER(A145), ""maquia|make""), ""Maquiagem"", RE"&amp;"GEXMATCH(LOWER(A145), ""depil|epil""), ""Depilação"", REGEXMATCH(LOWER(A145), ""esmalteria|unha|nail|manicur|spa dos p[eé]s|kauu_nhas""), ""Manicure - Esmalteria"", REGEXMATCH(LOWER(A145), ""est[eé]tic|bronze|massot|terap|pilates|revitalize|dra""), ""Clín"&amp;"ica de Estética"", TRUE, ""Salão de Beleza""))"),"Salão de Beleza")</f>
        <v>Salão de Beleza</v>
      </c>
    </row>
    <row r="146">
      <c r="A146" s="1" t="s">
        <v>1083</v>
      </c>
      <c r="B146" s="1" t="s">
        <v>1084</v>
      </c>
      <c r="C146" s="1" t="s">
        <v>1085</v>
      </c>
      <c r="D146" s="1" t="s">
        <v>1086</v>
      </c>
      <c r="E146" s="1" t="s">
        <v>1087</v>
      </c>
      <c r="F146" s="1" t="s">
        <v>1088</v>
      </c>
      <c r="G146" s="3" t="str">
        <f>IFERROR(__xludf.DUMMYFUNCTION("AI(""Preencha um valor adequado para esta célula com base no contexto da tabela"")"),"Timon - MA")</f>
        <v>Timon - MA</v>
      </c>
      <c r="H146" s="2" t="s">
        <v>1089</v>
      </c>
      <c r="I146" s="1" t="s">
        <v>1090</v>
      </c>
      <c r="J146" s="3" t="str">
        <f>IFERROR(__xludf.DUMMYFUNCTION("IF(A146="""", """", IFS(REGEXMATCH(LOWER(A146), ""barbearia|barber""), ""Barbearia"", REGEXMATCH(LOWER(A146), ""sobrancelh|c[ií]lio|lash|micropigment|showbrancelhas""), ""Sobrancelhas e Cílios"", REGEXMATCH(LOWER(A146), ""maquia|make""), ""Maquiagem"", RE"&amp;"GEXMATCH(LOWER(A146), ""depil|epil""), ""Depilação"", REGEXMATCH(LOWER(A146), ""esmalteria|unha|nail|manicur|spa dos p[eé]s|kauu_nhas""), ""Manicure - Esmalteria"", REGEXMATCH(LOWER(A146), ""est[eé]tic|bronze|massot|terap|pilates|revitalize|dra""), ""Clín"&amp;"ica de Estética"", TRUE, ""Salão de Beleza""))"),"Salão de Beleza")</f>
        <v>Salão de Beleza</v>
      </c>
    </row>
    <row r="147">
      <c r="A147" s="1" t="s">
        <v>1091</v>
      </c>
      <c r="B147" s="1" t="s">
        <v>1092</v>
      </c>
      <c r="C147" s="1" t="s">
        <v>1093</v>
      </c>
      <c r="D147" s="1" t="s">
        <v>1094</v>
      </c>
      <c r="E147" s="1" t="s">
        <v>1095</v>
      </c>
      <c r="F147" s="1" t="s">
        <v>1096</v>
      </c>
      <c r="G147" s="3" t="str">
        <f>IFERROR(__xludf.DUMMYFUNCTION("AI(""Preencha um valor adequado para esta célula com base no contexto da tabela"")"),"Timon - MA")</f>
        <v>Timon - MA</v>
      </c>
      <c r="H147" s="2" t="s">
        <v>1097</v>
      </c>
      <c r="I147" s="1" t="s">
        <v>1098</v>
      </c>
      <c r="J147" s="3" t="str">
        <f>IFERROR(__xludf.DUMMYFUNCTION("IF(A147="""", """", IFS(REGEXMATCH(LOWER(A147), ""barbearia|barber""), ""Barbearia"", REGEXMATCH(LOWER(A147), ""sobrancelh|c[ií]lio|lash|micropigment|showbrancelhas""), ""Sobrancelhas e Cílios"", REGEXMATCH(LOWER(A147), ""maquia|make""), ""Maquiagem"", RE"&amp;"GEXMATCH(LOWER(A147), ""depil|epil""), ""Depilação"", REGEXMATCH(LOWER(A147), ""esmalteria|unha|nail|manicur|spa dos p[eé]s|kauu_nhas""), ""Manicure - Esmalteria"", REGEXMATCH(LOWER(A147), ""est[eé]tic|bronze|massot|terap|pilates|revitalize|dra""), ""Clín"&amp;"ica de Estética"", TRUE, ""Salão de Beleza""))"),"Salão de Beleza")</f>
        <v>Salão de Beleza</v>
      </c>
    </row>
    <row r="148">
      <c r="A148" s="1" t="s">
        <v>1099</v>
      </c>
      <c r="D148" s="1" t="s">
        <v>1100</v>
      </c>
      <c r="E148" s="1" t="s">
        <v>1101</v>
      </c>
      <c r="F148" s="1" t="s">
        <v>1102</v>
      </c>
      <c r="G148" s="3" t="str">
        <f>IFERROR(__xludf.DUMMYFUNCTION("AI(""Preencha um valor adequado para esta célula com base no contexto da tabela"")"),"Timon - MA")</f>
        <v>Timon - MA</v>
      </c>
      <c r="H148" s="2" t="s">
        <v>1103</v>
      </c>
      <c r="I148" s="1" t="s">
        <v>1104</v>
      </c>
      <c r="J148" s="3" t="str">
        <f>IFERROR(__xludf.DUMMYFUNCTION("IF(A148="""", """", IFS(REGEXMATCH(LOWER(A148), ""barbearia|barber""), ""Barbearia"", REGEXMATCH(LOWER(A148), ""sobrancelh|c[ií]lio|lash|micropigment|showbrancelhas""), ""Sobrancelhas e Cílios"", REGEXMATCH(LOWER(A148), ""maquia|make""), ""Maquiagem"", RE"&amp;"GEXMATCH(LOWER(A148), ""depil|epil""), ""Depilação"", REGEXMATCH(LOWER(A148), ""esmalteria|unha|nail|manicur|spa dos p[eé]s|kauu_nhas""), ""Manicure - Esmalteria"", REGEXMATCH(LOWER(A148), ""est[eé]tic|bronze|massot|terap|pilates|revitalize|dra""), ""Clín"&amp;"ica de Estética"", TRUE, ""Salão de Beleza""))"),"Salão de Beleza")</f>
        <v>Salão de Beleza</v>
      </c>
    </row>
    <row r="149">
      <c r="A149" s="1" t="s">
        <v>1105</v>
      </c>
      <c r="B149" s="1" t="s">
        <v>1106</v>
      </c>
      <c r="C149" s="1" t="s">
        <v>1107</v>
      </c>
      <c r="D149" s="1" t="s">
        <v>1108</v>
      </c>
      <c r="E149" s="1" t="s">
        <v>1109</v>
      </c>
      <c r="F149" s="1" t="s">
        <v>1110</v>
      </c>
      <c r="G149" s="3" t="str">
        <f>IFERROR(__xludf.DUMMYFUNCTION("AI(""Preencha um valor adequado para esta célula com base no contexto da tabela"")"),"Timon - MA")</f>
        <v>Timon - MA</v>
      </c>
      <c r="H149" s="2" t="s">
        <v>1111</v>
      </c>
      <c r="I149" s="1" t="s">
        <v>1112</v>
      </c>
      <c r="J149" s="3" t="str">
        <f>IFERROR(__xludf.DUMMYFUNCTION("IF(A149="""", """", IFS(REGEXMATCH(LOWER(A149), ""barbearia|barber""), ""Barbearia"", REGEXMATCH(LOWER(A149), ""sobrancelh|c[ií]lio|lash|micropigment|showbrancelhas""), ""Sobrancelhas e Cílios"", REGEXMATCH(LOWER(A149), ""maquia|make""), ""Maquiagem"", RE"&amp;"GEXMATCH(LOWER(A149), ""depil|epil""), ""Depilação"", REGEXMATCH(LOWER(A149), ""esmalteria|unha|nail|manicur|spa dos p[eé]s|kauu_nhas""), ""Manicure - Esmalteria"", REGEXMATCH(LOWER(A149), ""est[eé]tic|bronze|massot|terap|pilates|revitalize|dra""), ""Clín"&amp;"ica de Estética"", TRUE, ""Salão de Beleza""))"),"Salão de Beleza")</f>
        <v>Salão de Beleza</v>
      </c>
    </row>
    <row r="150">
      <c r="A150" s="1" t="s">
        <v>1113</v>
      </c>
      <c r="B150" s="1" t="s">
        <v>1114</v>
      </c>
      <c r="C150" s="1" t="s">
        <v>1115</v>
      </c>
      <c r="D150" s="1" t="s">
        <v>1116</v>
      </c>
      <c r="E150" s="1" t="s">
        <v>1117</v>
      </c>
      <c r="F150" s="1" t="s">
        <v>1118</v>
      </c>
      <c r="G150" s="3" t="str">
        <f>IFERROR(__xludf.DUMMYFUNCTION("AI(""Preencha um valor adequado para esta célula com base no contexto da tabela"")"),"Timon - MA")</f>
        <v>Timon - MA</v>
      </c>
      <c r="H150" s="2" t="s">
        <v>1119</v>
      </c>
      <c r="I150" s="1" t="s">
        <v>1120</v>
      </c>
      <c r="J150" s="3" t="str">
        <f>IFERROR(__xludf.DUMMYFUNCTION("IF(A150="""", """", IFS(REGEXMATCH(LOWER(A150), ""barbearia|barber""), ""Barbearia"", REGEXMATCH(LOWER(A150), ""sobrancelh|c[ií]lio|lash|micropigment|showbrancelhas""), ""Sobrancelhas e Cílios"", REGEXMATCH(LOWER(A150), ""maquia|make""), ""Maquiagem"", RE"&amp;"GEXMATCH(LOWER(A150), ""depil|epil""), ""Depilação"", REGEXMATCH(LOWER(A150), ""esmalteria|unha|nail|manicur|spa dos p[eé]s|kauu_nhas""), ""Manicure - Esmalteria"", REGEXMATCH(LOWER(A150), ""est[eé]tic|bronze|massot|terap|pilates|revitalize|dra""), ""Clín"&amp;"ica de Estética"", TRUE, ""Salão de Beleza""))"),"Salão de Beleza")</f>
        <v>Salão de Beleza</v>
      </c>
    </row>
    <row r="151">
      <c r="A151" s="1" t="s">
        <v>1121</v>
      </c>
      <c r="B151" s="1" t="s">
        <v>1122</v>
      </c>
      <c r="C151" s="1" t="s">
        <v>1123</v>
      </c>
      <c r="D151" s="1" t="s">
        <v>1124</v>
      </c>
      <c r="E151" s="1" t="s">
        <v>1125</v>
      </c>
      <c r="F151" s="1" t="s">
        <v>1126</v>
      </c>
      <c r="G151" s="3" t="str">
        <f>IFERROR(__xludf.DUMMYFUNCTION("AI(""Preencha um valor adequado para esta célula com base no contexto da tabela"")"),"Timon - MA")</f>
        <v>Timon - MA</v>
      </c>
      <c r="H151" s="2" t="s">
        <v>1127</v>
      </c>
      <c r="I151" s="1" t="s">
        <v>1128</v>
      </c>
      <c r="J151" s="3" t="str">
        <f>IFERROR(__xludf.DUMMYFUNCTION("IF(A151="""", """", IFS(REGEXMATCH(LOWER(A151), ""barbearia|barber""), ""Barbearia"", REGEXMATCH(LOWER(A151), ""sobrancelh|c[ií]lio|lash|micropigment|showbrancelhas""), ""Sobrancelhas e Cílios"", REGEXMATCH(LOWER(A151), ""maquia|make""), ""Maquiagem"", RE"&amp;"GEXMATCH(LOWER(A151), ""depil|epil""), ""Depilação"", REGEXMATCH(LOWER(A151), ""esmalteria|unha|nail|manicur|spa dos p[eé]s|kauu_nhas""), ""Manicure - Esmalteria"", REGEXMATCH(LOWER(A151), ""est[eé]tic|bronze|massot|terap|pilates|revitalize|dra""), ""Clín"&amp;"ica de Estética"", TRUE, ""Salão de Beleza""))"),"Salão de Beleza")</f>
        <v>Salão de Beleza</v>
      </c>
    </row>
    <row r="152">
      <c r="A152" s="1" t="s">
        <v>1129</v>
      </c>
      <c r="B152" s="1" t="s">
        <v>1130</v>
      </c>
      <c r="C152" s="1" t="s">
        <v>1131</v>
      </c>
      <c r="D152" s="1" t="s">
        <v>1132</v>
      </c>
      <c r="E152" s="1" t="s">
        <v>1133</v>
      </c>
      <c r="F152" s="1" t="s">
        <v>1134</v>
      </c>
      <c r="G152" s="3" t="str">
        <f>IFERROR(__xludf.DUMMYFUNCTION("AI(""Preencha um valor adequado para esta célula com base no contexto da tabela"")"),"Timon - MA")</f>
        <v>Timon - MA</v>
      </c>
      <c r="H152" s="2" t="s">
        <v>1135</v>
      </c>
      <c r="I152" s="1" t="s">
        <v>1136</v>
      </c>
      <c r="J152" s="3" t="str">
        <f>IFERROR(__xludf.DUMMYFUNCTION("IF(A152="""", """", IFS(REGEXMATCH(LOWER(A152), ""barbearia|barber""), ""Barbearia"", REGEXMATCH(LOWER(A152), ""sobrancelh|c[ií]lio|lash|micropigment|showbrancelhas""), ""Sobrancelhas e Cílios"", REGEXMATCH(LOWER(A152), ""maquia|make""), ""Maquiagem"", RE"&amp;"GEXMATCH(LOWER(A152), ""depil|epil""), ""Depilação"", REGEXMATCH(LOWER(A152), ""esmalteria|unha|nail|manicur|spa dos p[eé]s|kauu_nhas""), ""Manicure - Esmalteria"", REGEXMATCH(LOWER(A152), ""est[eé]tic|bronze|massot|terap|pilates|revitalize|dra""), ""Clín"&amp;"ica de Estética"", TRUE, ""Salão de Beleza""))"),"Salão de Beleza")</f>
        <v>Salão de Beleza</v>
      </c>
    </row>
    <row r="153">
      <c r="A153" s="1" t="s">
        <v>1137</v>
      </c>
      <c r="B153" s="1" t="s">
        <v>1138</v>
      </c>
      <c r="C153" s="1" t="s">
        <v>1139</v>
      </c>
      <c r="D153" s="1" t="s">
        <v>1140</v>
      </c>
      <c r="E153" s="1" t="s">
        <v>1141</v>
      </c>
      <c r="F153" s="1" t="s">
        <v>1142</v>
      </c>
      <c r="G153" s="3" t="str">
        <f>IFERROR(__xludf.DUMMYFUNCTION("AI(""Preencha um valor adequado para esta célula com base no contexto da tabela"")"),"Timon - MA")</f>
        <v>Timon - MA</v>
      </c>
      <c r="H153" s="2" t="s">
        <v>1143</v>
      </c>
      <c r="I153" s="1" t="s">
        <v>1144</v>
      </c>
      <c r="J153" s="3" t="str">
        <f>IFERROR(__xludf.DUMMYFUNCTION("IF(A153="""", """", IFS(REGEXMATCH(LOWER(A153), ""barbearia|barber""), ""Barbearia"", REGEXMATCH(LOWER(A153), ""sobrancelh|c[ií]lio|lash|micropigment|showbrancelhas""), ""Sobrancelhas e Cílios"", REGEXMATCH(LOWER(A153), ""maquia|make""), ""Maquiagem"", RE"&amp;"GEXMATCH(LOWER(A153), ""depil|epil""), ""Depilação"", REGEXMATCH(LOWER(A153), ""esmalteria|unha|nail|manicur|spa dos p[eé]s|kauu_nhas""), ""Manicure - Esmalteria"", REGEXMATCH(LOWER(A153), ""est[eé]tic|bronze|massot|terap|pilates|revitalize|dra""), ""Clín"&amp;"ica de Estética"", TRUE, ""Salão de Beleza""))"),"Salão de Beleza")</f>
        <v>Salão de Beleza</v>
      </c>
    </row>
    <row r="154">
      <c r="A154" s="1" t="s">
        <v>1145</v>
      </c>
      <c r="B154" s="1" t="s">
        <v>1146</v>
      </c>
      <c r="C154" s="1" t="s">
        <v>1147</v>
      </c>
      <c r="D154" s="1" t="s">
        <v>1148</v>
      </c>
      <c r="E154" s="1" t="s">
        <v>1149</v>
      </c>
      <c r="F154" s="1" t="s">
        <v>1150</v>
      </c>
      <c r="G154" s="3" t="str">
        <f>IFERROR(__xludf.DUMMYFUNCTION("AI(""Preencha um valor adequado para esta célula com base no contexto da tabela"")"),"Timon - MA")</f>
        <v>Timon - MA</v>
      </c>
      <c r="H154" s="2" t="s">
        <v>1151</v>
      </c>
      <c r="I154" s="1" t="s">
        <v>1152</v>
      </c>
      <c r="J154" s="3" t="str">
        <f>IFERROR(__xludf.DUMMYFUNCTION("IF(A154="""", """", IFS(REGEXMATCH(LOWER(A154), ""barbearia|barber""), ""Barbearia"", REGEXMATCH(LOWER(A154), ""sobrancelh|c[ií]lio|lash|micropigment|showbrancelhas""), ""Sobrancelhas e Cílios"", REGEXMATCH(LOWER(A154), ""maquia|make""), ""Maquiagem"", RE"&amp;"GEXMATCH(LOWER(A154), ""depil|epil""), ""Depilação"", REGEXMATCH(LOWER(A154), ""esmalteria|unha|nail|manicur|spa dos p[eé]s|kauu_nhas""), ""Manicure - Esmalteria"", REGEXMATCH(LOWER(A154), ""est[eé]tic|bronze|massot|terap|pilates|revitalize|dra""), ""Clín"&amp;"ica de Estética"", TRUE, ""Salão de Beleza""))"),"Salão de Beleza")</f>
        <v>Salão de Beleza</v>
      </c>
    </row>
    <row r="155">
      <c r="A155" s="1" t="s">
        <v>1153</v>
      </c>
      <c r="B155" s="1" t="s">
        <v>1154</v>
      </c>
      <c r="C155" s="1" t="s">
        <v>1155</v>
      </c>
      <c r="D155" s="1" t="s">
        <v>1156</v>
      </c>
      <c r="E155" s="1" t="s">
        <v>1157</v>
      </c>
      <c r="F155" s="1" t="s">
        <v>1158</v>
      </c>
      <c r="G155" s="3" t="str">
        <f>IFERROR(__xludf.DUMMYFUNCTION("AI(""Preencha um valor adequado para esta célula com base no contexto da tabela"")"),"Timon - MA")</f>
        <v>Timon - MA</v>
      </c>
      <c r="H155" s="2" t="s">
        <v>1159</v>
      </c>
      <c r="I155" s="1" t="s">
        <v>1160</v>
      </c>
      <c r="J155" s="3" t="str">
        <f>IFERROR(__xludf.DUMMYFUNCTION("IF(A155="""", """", IFS(REGEXMATCH(LOWER(A155), ""barbearia|barber""), ""Barbearia"", REGEXMATCH(LOWER(A155), ""sobrancelh|c[ií]lio|lash|micropigment|showbrancelhas""), ""Sobrancelhas e Cílios"", REGEXMATCH(LOWER(A155), ""maquia|make""), ""Maquiagem"", RE"&amp;"GEXMATCH(LOWER(A155), ""depil|epil""), ""Depilação"", REGEXMATCH(LOWER(A155), ""esmalteria|unha|nail|manicur|spa dos p[eé]s|kauu_nhas""), ""Manicure - Esmalteria"", REGEXMATCH(LOWER(A155), ""est[eé]tic|bronze|massot|terap|pilates|revitalize|dra""), ""Clín"&amp;"ica de Estética"", TRUE, ""Salão de Beleza""))"),"Salão de Beleza")</f>
        <v>Salão de Beleza</v>
      </c>
    </row>
    <row r="156">
      <c r="A156" s="1" t="s">
        <v>1161</v>
      </c>
      <c r="B156" s="1" t="s">
        <v>1162</v>
      </c>
      <c r="C156" s="1" t="s">
        <v>1163</v>
      </c>
      <c r="D156" s="1" t="s">
        <v>1164</v>
      </c>
      <c r="E156" s="1" t="s">
        <v>1165</v>
      </c>
      <c r="F156" s="1" t="s">
        <v>1166</v>
      </c>
      <c r="G156" s="3" t="str">
        <f>IFERROR(__xludf.DUMMYFUNCTION("AI(""Preencha um valor adequado para esta célula com base no contexto da tabela"")"),"Timon - MA")</f>
        <v>Timon - MA</v>
      </c>
      <c r="H156" s="2" t="s">
        <v>1167</v>
      </c>
      <c r="I156" s="1" t="s">
        <v>1168</v>
      </c>
      <c r="J156" s="3" t="str">
        <f>IFERROR(__xludf.DUMMYFUNCTION("IF(A156="""", """", IFS(REGEXMATCH(LOWER(A156), ""barbearia|barber""), ""Barbearia"", REGEXMATCH(LOWER(A156), ""sobrancelh|c[ií]lio|lash|micropigment|showbrancelhas""), ""Sobrancelhas e Cílios"", REGEXMATCH(LOWER(A156), ""maquia|make""), ""Maquiagem"", RE"&amp;"GEXMATCH(LOWER(A156), ""depil|epil""), ""Depilação"", REGEXMATCH(LOWER(A156), ""esmalteria|unha|nail|manicur|spa dos p[eé]s|kauu_nhas""), ""Manicure - Esmalteria"", REGEXMATCH(LOWER(A156), ""est[eé]tic|bronze|massot|terap|pilates|revitalize|dra""), ""Clín"&amp;"ica de Estética"", TRUE, ""Salão de Beleza""))"),"Salão de Beleza")</f>
        <v>Salão de Beleza</v>
      </c>
    </row>
    <row r="157">
      <c r="A157" s="1" t="s">
        <v>1169</v>
      </c>
      <c r="B157" s="1" t="s">
        <v>1170</v>
      </c>
      <c r="C157" s="1" t="s">
        <v>1171</v>
      </c>
      <c r="D157" s="1" t="s">
        <v>1172</v>
      </c>
      <c r="E157" s="1" t="s">
        <v>1173</v>
      </c>
      <c r="F157" s="1" t="s">
        <v>1174</v>
      </c>
      <c r="G157" s="3" t="str">
        <f>IFERROR(__xludf.DUMMYFUNCTION("AI(""Preencha um valor adequado para esta célula com base no contexto da tabela"")"),"Timon - MA")</f>
        <v>Timon - MA</v>
      </c>
      <c r="H157" s="2" t="s">
        <v>1175</v>
      </c>
      <c r="I157" s="1" t="s">
        <v>1176</v>
      </c>
      <c r="J157" s="3" t="str">
        <f>IFERROR(__xludf.DUMMYFUNCTION("IF(A157="""", """", IFS(REGEXMATCH(LOWER(A157), ""barbearia|barber""), ""Barbearia"", REGEXMATCH(LOWER(A157), ""sobrancelh|c[ií]lio|lash|micropigment|showbrancelhas""), ""Sobrancelhas e Cílios"", REGEXMATCH(LOWER(A157), ""maquia|make""), ""Maquiagem"", RE"&amp;"GEXMATCH(LOWER(A157), ""depil|epil""), ""Depilação"", REGEXMATCH(LOWER(A157), ""esmalteria|unha|nail|manicur|spa dos p[eé]s|kauu_nhas""), ""Manicure - Esmalteria"", REGEXMATCH(LOWER(A157), ""est[eé]tic|bronze|massot|terap|pilates|revitalize|dra""), ""Clín"&amp;"ica de Estética"", TRUE, ""Salão de Beleza""))"),"Salão de Beleza")</f>
        <v>Salão de Beleza</v>
      </c>
    </row>
    <row r="158">
      <c r="A158" s="1" t="s">
        <v>1177</v>
      </c>
      <c r="B158" s="1" t="s">
        <v>1178</v>
      </c>
      <c r="C158" s="1" t="s">
        <v>1179</v>
      </c>
      <c r="D158" s="1" t="s">
        <v>1180</v>
      </c>
      <c r="E158" s="1" t="s">
        <v>1181</v>
      </c>
      <c r="F158" s="1" t="s">
        <v>1182</v>
      </c>
      <c r="G158" s="3" t="str">
        <f>IFERROR(__xludf.DUMMYFUNCTION("AI(""Preencha um valor adequado para esta célula com base no contexto da tabela"")"),"Timon - MA")</f>
        <v>Timon - MA</v>
      </c>
      <c r="H158" s="2" t="s">
        <v>1183</v>
      </c>
      <c r="I158" s="1" t="s">
        <v>1184</v>
      </c>
      <c r="J158" s="3" t="str">
        <f>IFERROR(__xludf.DUMMYFUNCTION("IF(A158="""", """", IFS(REGEXMATCH(LOWER(A158), ""barbearia|barber""), ""Barbearia"", REGEXMATCH(LOWER(A158), ""sobrancelh|c[ií]lio|lash|micropigment|showbrancelhas""), ""Sobrancelhas e Cílios"", REGEXMATCH(LOWER(A158), ""maquia|make""), ""Maquiagem"", RE"&amp;"GEXMATCH(LOWER(A158), ""depil|epil""), ""Depilação"", REGEXMATCH(LOWER(A158), ""esmalteria|unha|nail|manicur|spa dos p[eé]s|kauu_nhas""), ""Manicure - Esmalteria"", REGEXMATCH(LOWER(A158), ""est[eé]tic|bronze|massot|terap|pilates|revitalize|dra""), ""Clín"&amp;"ica de Estética"", TRUE, ""Salão de Beleza""))"),"Salão de Beleza")</f>
        <v>Salão de Beleza</v>
      </c>
    </row>
    <row r="159">
      <c r="A159" s="1" t="s">
        <v>1185</v>
      </c>
      <c r="B159" s="1" t="s">
        <v>1186</v>
      </c>
      <c r="C159" s="1" t="s">
        <v>1187</v>
      </c>
      <c r="D159" s="1" t="s">
        <v>1188</v>
      </c>
      <c r="E159" s="1" t="s">
        <v>1189</v>
      </c>
      <c r="F159" s="1" t="s">
        <v>1190</v>
      </c>
      <c r="G159" s="3" t="str">
        <f>IFERROR(__xludf.DUMMYFUNCTION("AI(""Preencha um valor adequado para esta célula com base no contexto da tabela"")"),"Timon - MA")</f>
        <v>Timon - MA</v>
      </c>
      <c r="H159" s="2" t="s">
        <v>1191</v>
      </c>
      <c r="I159" s="1" t="s">
        <v>1192</v>
      </c>
      <c r="J159" s="3" t="str">
        <f>IFERROR(__xludf.DUMMYFUNCTION("IF(A159="""", """", IFS(REGEXMATCH(LOWER(A159), ""barbearia|barber""), ""Barbearia"", REGEXMATCH(LOWER(A159), ""sobrancelh|c[ií]lio|lash|micropigment|showbrancelhas""), ""Sobrancelhas e Cílios"", REGEXMATCH(LOWER(A159), ""maquia|make""), ""Maquiagem"", RE"&amp;"GEXMATCH(LOWER(A159), ""depil|epil""), ""Depilação"", REGEXMATCH(LOWER(A159), ""esmalteria|unha|nail|manicur|spa dos p[eé]s|kauu_nhas""), ""Manicure - Esmalteria"", REGEXMATCH(LOWER(A159), ""est[eé]tic|bronze|massot|terap|pilates|revitalize|dra""), ""Clín"&amp;"ica de Estética"", TRUE, ""Salão de Beleza""))"),"Salão de Beleza")</f>
        <v>Salão de Beleza</v>
      </c>
    </row>
    <row r="160">
      <c r="A160" s="1" t="s">
        <v>1193</v>
      </c>
      <c r="D160" s="1" t="s">
        <v>1194</v>
      </c>
      <c r="E160" s="1" t="s">
        <v>1195</v>
      </c>
      <c r="F160" s="1" t="s">
        <v>1196</v>
      </c>
      <c r="G160" s="3" t="str">
        <f>IFERROR(__xludf.DUMMYFUNCTION("AI(""Preencha um valor adequado para esta célula com base no contexto da tabela"")"),"Timon - MA")</f>
        <v>Timon - MA</v>
      </c>
      <c r="H160" s="2" t="s">
        <v>1197</v>
      </c>
      <c r="I160" s="1" t="s">
        <v>1198</v>
      </c>
      <c r="J160" s="3" t="str">
        <f>IFERROR(__xludf.DUMMYFUNCTION("IF(A160="""", """", IFS(REGEXMATCH(LOWER(A160), ""barbearia|barber""), ""Barbearia"", REGEXMATCH(LOWER(A160), ""sobrancelh|c[ií]lio|lash|micropigment|showbrancelhas""), ""Sobrancelhas e Cílios"", REGEXMATCH(LOWER(A160), ""maquia|make""), ""Maquiagem"", RE"&amp;"GEXMATCH(LOWER(A160), ""depil|epil""), ""Depilação"", REGEXMATCH(LOWER(A160), ""esmalteria|unha|nail|manicur|spa dos p[eé]s|kauu_nhas""), ""Manicure - Esmalteria"", REGEXMATCH(LOWER(A160), ""est[eé]tic|bronze|massot|terap|pilates|revitalize|dra""), ""Clín"&amp;"ica de Estética"", TRUE, ""Salão de Beleza""))"),"Salão de Beleza")</f>
        <v>Salão de Beleza</v>
      </c>
    </row>
    <row r="161">
      <c r="A161" s="1" t="s">
        <v>1199</v>
      </c>
      <c r="B161" s="1" t="s">
        <v>1200</v>
      </c>
      <c r="C161" s="1" t="s">
        <v>1201</v>
      </c>
      <c r="D161" s="1" t="s">
        <v>1202</v>
      </c>
      <c r="E161" s="1" t="s">
        <v>1203</v>
      </c>
      <c r="F161" s="1" t="s">
        <v>1204</v>
      </c>
      <c r="G161" s="3" t="str">
        <f>IFERROR(__xludf.DUMMYFUNCTION("AI(""Preencha um valor adequado para esta célula com base no contexto da tabela"")"),"Timon - MA")</f>
        <v>Timon - MA</v>
      </c>
      <c r="H161" s="2" t="s">
        <v>1205</v>
      </c>
      <c r="I161" s="1" t="s">
        <v>1206</v>
      </c>
      <c r="J161" s="3" t="str">
        <f>IFERROR(__xludf.DUMMYFUNCTION("IF(A161="""", """", IFS(REGEXMATCH(LOWER(A161), ""barbearia|barber""), ""Barbearia"", REGEXMATCH(LOWER(A161), ""sobrancelh|c[ií]lio|lash|micropigment|showbrancelhas""), ""Sobrancelhas e Cílios"", REGEXMATCH(LOWER(A161), ""maquia|make""), ""Maquiagem"", RE"&amp;"GEXMATCH(LOWER(A161), ""depil|epil""), ""Depilação"", REGEXMATCH(LOWER(A161), ""esmalteria|unha|nail|manicur|spa dos p[eé]s|kauu_nhas""), ""Manicure - Esmalteria"", REGEXMATCH(LOWER(A161), ""est[eé]tic|bronze|massot|terap|pilates|revitalize|dra""), ""Clín"&amp;"ica de Estética"", TRUE, ""Salão de Beleza""))"),"Salão de Beleza")</f>
        <v>Salão de Beleza</v>
      </c>
    </row>
    <row r="162">
      <c r="A162" s="1" t="s">
        <v>1207</v>
      </c>
      <c r="B162" s="1" t="s">
        <v>1208</v>
      </c>
      <c r="C162" s="1" t="s">
        <v>1209</v>
      </c>
      <c r="D162" s="1" t="s">
        <v>1210</v>
      </c>
      <c r="E162" s="1" t="s">
        <v>1211</v>
      </c>
      <c r="F162" s="1" t="s">
        <v>1212</v>
      </c>
      <c r="G162" s="3" t="str">
        <f>IFERROR(__xludf.DUMMYFUNCTION("AI(""Preencha um valor adequado para esta célula com base no contexto da tabela"")"),"Timon - MA")</f>
        <v>Timon - MA</v>
      </c>
      <c r="H162" s="2" t="s">
        <v>1213</v>
      </c>
      <c r="I162" s="1" t="s">
        <v>1214</v>
      </c>
      <c r="J162" s="3" t="str">
        <f>IFERROR(__xludf.DUMMYFUNCTION("IF(A162="""", """", IFS(REGEXMATCH(LOWER(A162), ""barbearia|barber""), ""Barbearia"", REGEXMATCH(LOWER(A162), ""sobrancelh|c[ií]lio|lash|micropigment|showbrancelhas""), ""Sobrancelhas e Cílios"", REGEXMATCH(LOWER(A162), ""maquia|make""), ""Maquiagem"", RE"&amp;"GEXMATCH(LOWER(A162), ""depil|epil""), ""Depilação"", REGEXMATCH(LOWER(A162), ""esmalteria|unha|nail|manicur|spa dos p[eé]s|kauu_nhas""), ""Manicure - Esmalteria"", REGEXMATCH(LOWER(A162), ""est[eé]tic|bronze|massot|terap|pilates|revitalize|dra""), ""Clín"&amp;"ica de Estética"", TRUE, ""Salão de Beleza""))"),"Salão de Beleza")</f>
        <v>Salão de Beleza</v>
      </c>
    </row>
    <row r="163">
      <c r="A163" s="1" t="s">
        <v>1215</v>
      </c>
      <c r="B163" s="1" t="s">
        <v>1216</v>
      </c>
      <c r="C163" s="1" t="s">
        <v>1217</v>
      </c>
      <c r="D163" s="1" t="s">
        <v>1218</v>
      </c>
      <c r="E163" s="1" t="s">
        <v>1219</v>
      </c>
      <c r="F163" s="1" t="s">
        <v>1220</v>
      </c>
      <c r="G163" s="3" t="str">
        <f>IFERROR(__xludf.DUMMYFUNCTION("AI(""Preencha um valor adequado para esta célula com base no contexto da tabela"")"),"Timon - MA")</f>
        <v>Timon - MA</v>
      </c>
      <c r="H163" s="2" t="s">
        <v>1221</v>
      </c>
      <c r="I163" s="1" t="s">
        <v>1222</v>
      </c>
      <c r="J163" s="3" t="str">
        <f>IFERROR(__xludf.DUMMYFUNCTION("IF(A163="""", """", IFS(REGEXMATCH(LOWER(A163), ""barbearia|barber""), ""Barbearia"", REGEXMATCH(LOWER(A163), ""sobrancelh|c[ií]lio|lash|micropigment|showbrancelhas""), ""Sobrancelhas e Cílios"", REGEXMATCH(LOWER(A163), ""maquia|make""), ""Maquiagem"", RE"&amp;"GEXMATCH(LOWER(A163), ""depil|epil""), ""Depilação"", REGEXMATCH(LOWER(A163), ""esmalteria|unha|nail|manicur|spa dos p[eé]s|kauu_nhas""), ""Manicure - Esmalteria"", REGEXMATCH(LOWER(A163), ""est[eé]tic|bronze|massot|terap|pilates|revitalize|dra""), ""Clín"&amp;"ica de Estética"", TRUE, ""Salão de Beleza""))"),"Clínica de Estética")</f>
        <v>Clínica de Estética</v>
      </c>
    </row>
    <row r="164">
      <c r="A164" s="1" t="s">
        <v>1223</v>
      </c>
      <c r="B164" s="1" t="s">
        <v>1224</v>
      </c>
      <c r="C164" s="1" t="s">
        <v>1225</v>
      </c>
      <c r="D164" s="1" t="s">
        <v>1226</v>
      </c>
      <c r="E164" s="1" t="s">
        <v>1227</v>
      </c>
      <c r="F164" s="1" t="s">
        <v>1228</v>
      </c>
      <c r="G164" s="3" t="str">
        <f>IFERROR(__xludf.DUMMYFUNCTION("AI(""Preencha um valor adequado para esta célula com base no contexto da tabela"")"),"Timon - MA")</f>
        <v>Timon - MA</v>
      </c>
      <c r="H164" s="2" t="s">
        <v>1229</v>
      </c>
      <c r="I164" s="1" t="s">
        <v>1230</v>
      </c>
      <c r="J164" s="3" t="str">
        <f>IFERROR(__xludf.DUMMYFUNCTION("IF(A164="""", """", IFS(REGEXMATCH(LOWER(A164), ""barbearia|barber""), ""Barbearia"", REGEXMATCH(LOWER(A164), ""sobrancelh|c[ií]lio|lash|micropigment|showbrancelhas""), ""Sobrancelhas e Cílios"", REGEXMATCH(LOWER(A164), ""maquia|make""), ""Maquiagem"", RE"&amp;"GEXMATCH(LOWER(A164), ""depil|epil""), ""Depilação"", REGEXMATCH(LOWER(A164), ""esmalteria|unha|nail|manicur|spa dos p[eé]s|kauu_nhas""), ""Manicure - Esmalteria"", REGEXMATCH(LOWER(A164), ""est[eé]tic|bronze|massot|terap|pilates|revitalize|dra""), ""Clín"&amp;"ica de Estética"", TRUE, ""Salão de Beleza""))"),"Salão de Beleza")</f>
        <v>Salão de Beleza</v>
      </c>
    </row>
    <row r="165">
      <c r="A165" s="1" t="s">
        <v>1231</v>
      </c>
      <c r="B165" s="1" t="s">
        <v>1232</v>
      </c>
      <c r="C165" s="1" t="s">
        <v>1233</v>
      </c>
      <c r="D165" s="1" t="s">
        <v>1234</v>
      </c>
      <c r="E165" s="1" t="s">
        <v>1235</v>
      </c>
      <c r="F165" s="1" t="s">
        <v>1236</v>
      </c>
      <c r="G165" s="3" t="str">
        <f>IFERROR(__xludf.DUMMYFUNCTION("AI(""Preencha um valor adequado para esta célula com base no contexto da tabela"")"),"Timon - MA")</f>
        <v>Timon - MA</v>
      </c>
      <c r="H165" s="2" t="s">
        <v>1237</v>
      </c>
      <c r="I165" s="1" t="s">
        <v>1238</v>
      </c>
      <c r="J165" s="3" t="str">
        <f>IFERROR(__xludf.DUMMYFUNCTION("IF(A165="""", """", IFS(REGEXMATCH(LOWER(A165), ""barbearia|barber""), ""Barbearia"", REGEXMATCH(LOWER(A165), ""sobrancelh|c[ií]lio|lash|micropigment|showbrancelhas""), ""Sobrancelhas e Cílios"", REGEXMATCH(LOWER(A165), ""maquia|make""), ""Maquiagem"", RE"&amp;"GEXMATCH(LOWER(A165), ""depil|epil""), ""Depilação"", REGEXMATCH(LOWER(A165), ""esmalteria|unha|nail|manicur|spa dos p[eé]s|kauu_nhas""), ""Manicure - Esmalteria"", REGEXMATCH(LOWER(A165), ""est[eé]tic|bronze|massot|terap|pilates|revitalize|dra""), ""Clín"&amp;"ica de Estética"", TRUE, ""Salão de Beleza""))"),"Salão de Beleza")</f>
        <v>Salão de Beleza</v>
      </c>
    </row>
    <row r="166">
      <c r="A166" s="1" t="s">
        <v>1239</v>
      </c>
      <c r="D166" s="1" t="s">
        <v>1240</v>
      </c>
      <c r="E166" s="1" t="s">
        <v>1241</v>
      </c>
      <c r="F166" s="1" t="s">
        <v>1242</v>
      </c>
      <c r="G166" s="3" t="str">
        <f>IFERROR(__xludf.DUMMYFUNCTION("AI(""Preencha um valor adequado para esta célula com base no contexto da tabela"")"),"Timon - MA")</f>
        <v>Timon - MA</v>
      </c>
      <c r="H166" s="2" t="s">
        <v>1243</v>
      </c>
      <c r="I166" s="1" t="s">
        <v>1244</v>
      </c>
      <c r="J166" s="3" t="str">
        <f>IFERROR(__xludf.DUMMYFUNCTION("IF(A166="""", """", IFS(REGEXMATCH(LOWER(A166), ""barbearia|barber""), ""Barbearia"", REGEXMATCH(LOWER(A166), ""sobrancelh|c[ií]lio|lash|micropigment|showbrancelhas""), ""Sobrancelhas e Cílios"", REGEXMATCH(LOWER(A166), ""maquia|make""), ""Maquiagem"", RE"&amp;"GEXMATCH(LOWER(A166), ""depil|epil""), ""Depilação"", REGEXMATCH(LOWER(A166), ""esmalteria|unha|nail|manicur|spa dos p[eé]s|kauu_nhas""), ""Manicure - Esmalteria"", REGEXMATCH(LOWER(A166), ""est[eé]tic|bronze|massot|terap|pilates|revitalize|dra""), ""Clín"&amp;"ica de Estética"", TRUE, ""Salão de Beleza""))"),"Salão de Beleza")</f>
        <v>Salão de Beleza</v>
      </c>
    </row>
    <row r="167">
      <c r="A167" s="1" t="s">
        <v>1245</v>
      </c>
      <c r="B167" s="1" t="s">
        <v>1246</v>
      </c>
      <c r="C167" s="1" t="s">
        <v>1247</v>
      </c>
      <c r="D167" s="1" t="s">
        <v>1248</v>
      </c>
      <c r="E167" s="1" t="s">
        <v>1249</v>
      </c>
      <c r="F167" s="1" t="s">
        <v>1250</v>
      </c>
      <c r="G167" s="3" t="str">
        <f>IFERROR(__xludf.DUMMYFUNCTION("AI(""Preencha um valor adequado para esta célula com base no contexto da tabela"")"),"Timon - MA")</f>
        <v>Timon - MA</v>
      </c>
      <c r="H167" s="2" t="s">
        <v>1251</v>
      </c>
      <c r="I167" s="1" t="s">
        <v>1252</v>
      </c>
      <c r="J167" s="3" t="str">
        <f>IFERROR(__xludf.DUMMYFUNCTION("IF(A167="""", """", IFS(REGEXMATCH(LOWER(A167), ""barbearia|barber""), ""Barbearia"", REGEXMATCH(LOWER(A167), ""sobrancelh|c[ií]lio|lash|micropigment|showbrancelhas""), ""Sobrancelhas e Cílios"", REGEXMATCH(LOWER(A167), ""maquia|make""), ""Maquiagem"", RE"&amp;"GEXMATCH(LOWER(A167), ""depil|epil""), ""Depilação"", REGEXMATCH(LOWER(A167), ""esmalteria|unha|nail|manicur|spa dos p[eé]s|kauu_nhas""), ""Manicure - Esmalteria"", REGEXMATCH(LOWER(A167), ""est[eé]tic|bronze|massot|terap|pilates|revitalize|dra""), ""Clín"&amp;"ica de Estética"", TRUE, ""Salão de Beleza""))"),"Salão de Beleza")</f>
        <v>Salão de Beleza</v>
      </c>
    </row>
    <row r="168">
      <c r="A168" s="1" t="s">
        <v>1253</v>
      </c>
      <c r="D168" s="1" t="s">
        <v>1254</v>
      </c>
      <c r="E168" s="1" t="s">
        <v>1255</v>
      </c>
      <c r="F168" s="1" t="s">
        <v>1256</v>
      </c>
      <c r="G168" s="3" t="str">
        <f>IFERROR(__xludf.DUMMYFUNCTION("AI(""Preencha um valor adequado para esta célula com base no contexto da tabela"")"),"Timon - MA")</f>
        <v>Timon - MA</v>
      </c>
      <c r="H168" s="2" t="s">
        <v>1257</v>
      </c>
      <c r="I168" s="1" t="s">
        <v>1258</v>
      </c>
      <c r="J168" s="3" t="str">
        <f>IFERROR(__xludf.DUMMYFUNCTION("IF(A168="""", """", IFS(REGEXMATCH(LOWER(A168), ""barbearia|barber""), ""Barbearia"", REGEXMATCH(LOWER(A168), ""sobrancelh|c[ií]lio|lash|micropigment|showbrancelhas""), ""Sobrancelhas e Cílios"", REGEXMATCH(LOWER(A168), ""maquia|make""), ""Maquiagem"", RE"&amp;"GEXMATCH(LOWER(A168), ""depil|epil""), ""Depilação"", REGEXMATCH(LOWER(A168), ""esmalteria|unha|nail|manicur|spa dos p[eé]s|kauu_nhas""), ""Manicure - Esmalteria"", REGEXMATCH(LOWER(A168), ""est[eé]tic|bronze|massot|terap|pilates|revitalize|dra""), ""Clín"&amp;"ica de Estética"", TRUE, ""Salão de Beleza""))"),"Salão de Beleza")</f>
        <v>Salão de Beleza</v>
      </c>
    </row>
    <row r="169">
      <c r="A169" s="1" t="s">
        <v>1259</v>
      </c>
      <c r="B169" s="1" t="s">
        <v>1260</v>
      </c>
      <c r="C169" s="1" t="s">
        <v>1261</v>
      </c>
      <c r="D169" s="1" t="s">
        <v>1262</v>
      </c>
      <c r="E169" s="1" t="s">
        <v>1263</v>
      </c>
      <c r="F169" s="1" t="s">
        <v>1264</v>
      </c>
      <c r="G169" s="3" t="str">
        <f>IFERROR(__xludf.DUMMYFUNCTION("AI(""Preencha um valor adequado para esta célula com base no contexto da tabela"")"),"Timon - MA")</f>
        <v>Timon - MA</v>
      </c>
      <c r="H169" s="2" t="s">
        <v>1265</v>
      </c>
      <c r="I169" s="1" t="s">
        <v>1266</v>
      </c>
      <c r="J169" s="3" t="str">
        <f>IFERROR(__xludf.DUMMYFUNCTION("IF(A169="""", """", IFS(REGEXMATCH(LOWER(A169), ""barbearia|barber""), ""Barbearia"", REGEXMATCH(LOWER(A169), ""sobrancelh|c[ií]lio|lash|micropigment|showbrancelhas""), ""Sobrancelhas e Cílios"", REGEXMATCH(LOWER(A169), ""maquia|make""), ""Maquiagem"", RE"&amp;"GEXMATCH(LOWER(A169), ""depil|epil""), ""Depilação"", REGEXMATCH(LOWER(A169), ""esmalteria|unha|nail|manicur|spa dos p[eé]s|kauu_nhas""), ""Manicure - Esmalteria"", REGEXMATCH(LOWER(A169), ""est[eé]tic|bronze|massot|terap|pilates|revitalize|dra""), ""Clín"&amp;"ica de Estética"", TRUE, ""Salão de Beleza""))"),"Sobrancelhas e Cílios")</f>
        <v>Sobrancelhas e Cílios</v>
      </c>
    </row>
    <row r="170">
      <c r="A170" s="1" t="s">
        <v>1267</v>
      </c>
      <c r="B170" s="1" t="s">
        <v>1268</v>
      </c>
      <c r="C170" s="1" t="s">
        <v>1269</v>
      </c>
      <c r="D170" s="1" t="s">
        <v>1270</v>
      </c>
      <c r="E170" s="1" t="s">
        <v>1271</v>
      </c>
      <c r="F170" s="1" t="s">
        <v>1272</v>
      </c>
      <c r="G170" s="3" t="str">
        <f>IFERROR(__xludf.DUMMYFUNCTION("AI(""Preencha um valor adequado para esta célula com base no contexto da tabela"")"),"Timon - MA")</f>
        <v>Timon - MA</v>
      </c>
      <c r="H170" s="2" t="s">
        <v>1273</v>
      </c>
      <c r="I170" s="1" t="s">
        <v>1274</v>
      </c>
      <c r="J170" s="3" t="str">
        <f>IFERROR(__xludf.DUMMYFUNCTION("IF(A170="""", """", IFS(REGEXMATCH(LOWER(A170), ""barbearia|barber""), ""Barbearia"", REGEXMATCH(LOWER(A170), ""sobrancelh|c[ií]lio|lash|micropigment|showbrancelhas""), ""Sobrancelhas e Cílios"", REGEXMATCH(LOWER(A170), ""maquia|make""), ""Maquiagem"", RE"&amp;"GEXMATCH(LOWER(A170), ""depil|epil""), ""Depilação"", REGEXMATCH(LOWER(A170), ""esmalteria|unha|nail|manicur|spa dos p[eé]s|kauu_nhas""), ""Manicure - Esmalteria"", REGEXMATCH(LOWER(A170), ""est[eé]tic|bronze|massot|terap|pilates|revitalize|dra""), ""Clín"&amp;"ica de Estética"", TRUE, ""Salão de Beleza""))"),"Salão de Beleza")</f>
        <v>Salão de Beleza</v>
      </c>
    </row>
    <row r="171">
      <c r="A171" s="1" t="s">
        <v>1275</v>
      </c>
      <c r="B171" s="1" t="s">
        <v>1276</v>
      </c>
      <c r="C171" s="1" t="s">
        <v>1277</v>
      </c>
      <c r="D171" s="1" t="s">
        <v>1278</v>
      </c>
      <c r="E171" s="1" t="s">
        <v>1279</v>
      </c>
      <c r="F171" s="1" t="s">
        <v>1280</v>
      </c>
      <c r="G171" s="3" t="str">
        <f>IFERROR(__xludf.DUMMYFUNCTION("AI(""Preencha um valor adequado para esta célula com base no contexto da tabela"")"),"Timon - MA")</f>
        <v>Timon - MA</v>
      </c>
      <c r="H171" s="2" t="s">
        <v>1281</v>
      </c>
      <c r="I171" s="1" t="s">
        <v>1282</v>
      </c>
      <c r="J171" s="3" t="str">
        <f>IFERROR(__xludf.DUMMYFUNCTION("IF(A171="""", """", IFS(REGEXMATCH(LOWER(A171), ""barbearia|barber""), ""Barbearia"", REGEXMATCH(LOWER(A171), ""sobrancelh|c[ií]lio|lash|micropigment|showbrancelhas""), ""Sobrancelhas e Cílios"", REGEXMATCH(LOWER(A171), ""maquia|make""), ""Maquiagem"", RE"&amp;"GEXMATCH(LOWER(A171), ""depil|epil""), ""Depilação"", REGEXMATCH(LOWER(A171), ""esmalteria|unha|nail|manicur|spa dos p[eé]s|kauu_nhas""), ""Manicure - Esmalteria"", REGEXMATCH(LOWER(A171), ""est[eé]tic|bronze|massot|terap|pilates|revitalize|dra""), ""Clín"&amp;"ica de Estética"", TRUE, ""Salão de Beleza""))"),"Salão de Beleza")</f>
        <v>Salão de Beleza</v>
      </c>
    </row>
    <row r="172">
      <c r="A172" s="1" t="s">
        <v>1283</v>
      </c>
      <c r="B172" s="1" t="s">
        <v>1284</v>
      </c>
      <c r="C172" s="1" t="s">
        <v>1285</v>
      </c>
      <c r="D172" s="1" t="s">
        <v>1286</v>
      </c>
      <c r="E172" s="1" t="s">
        <v>1287</v>
      </c>
      <c r="F172" s="1" t="s">
        <v>1288</v>
      </c>
      <c r="G172" s="3" t="str">
        <f>IFERROR(__xludf.DUMMYFUNCTION("AI(""Preencha um valor adequado para esta célula com base no contexto da tabela"")"),"Timon - MA")</f>
        <v>Timon - MA</v>
      </c>
      <c r="H172" s="2" t="s">
        <v>1289</v>
      </c>
      <c r="I172" s="1" t="s">
        <v>1290</v>
      </c>
      <c r="J172" s="3" t="str">
        <f>IFERROR(__xludf.DUMMYFUNCTION("IF(A172="""", """", IFS(REGEXMATCH(LOWER(A172), ""barbearia|barber""), ""Barbearia"", REGEXMATCH(LOWER(A172), ""sobrancelh|c[ií]lio|lash|micropigment|showbrancelhas""), ""Sobrancelhas e Cílios"", REGEXMATCH(LOWER(A172), ""maquia|make""), ""Maquiagem"", RE"&amp;"GEXMATCH(LOWER(A172), ""depil|epil""), ""Depilação"", REGEXMATCH(LOWER(A172), ""esmalteria|unha|nail|manicur|spa dos p[eé]s|kauu_nhas""), ""Manicure - Esmalteria"", REGEXMATCH(LOWER(A172), ""est[eé]tic|bronze|massot|terap|pilates|revitalize|dra""), ""Clín"&amp;"ica de Estética"", TRUE, ""Salão de Beleza""))"),"Salão de Beleza")</f>
        <v>Salão de Beleza</v>
      </c>
    </row>
    <row r="173">
      <c r="A173" s="1" t="s">
        <v>1291</v>
      </c>
      <c r="B173" s="1" t="s">
        <v>1292</v>
      </c>
      <c r="C173" s="1" t="s">
        <v>1293</v>
      </c>
      <c r="D173" s="1" t="s">
        <v>1294</v>
      </c>
      <c r="E173" s="1" t="s">
        <v>1295</v>
      </c>
      <c r="F173" s="1" t="s">
        <v>1296</v>
      </c>
      <c r="G173" s="3" t="str">
        <f>IFERROR(__xludf.DUMMYFUNCTION("AI(""Preencha um valor adequado para esta célula com base no contexto da tabela"")"),"Timon - MA")</f>
        <v>Timon - MA</v>
      </c>
      <c r="H173" s="2" t="s">
        <v>1297</v>
      </c>
      <c r="I173" s="1" t="s">
        <v>1298</v>
      </c>
      <c r="J173" s="3" t="str">
        <f>IFERROR(__xludf.DUMMYFUNCTION("IF(A173="""", """", IFS(REGEXMATCH(LOWER(A173), ""barbearia|barber""), ""Barbearia"", REGEXMATCH(LOWER(A173), ""sobrancelh|c[ií]lio|lash|micropigment|showbrancelhas""), ""Sobrancelhas e Cílios"", REGEXMATCH(LOWER(A173), ""maquia|make""), ""Maquiagem"", RE"&amp;"GEXMATCH(LOWER(A173), ""depil|epil""), ""Depilação"", REGEXMATCH(LOWER(A173), ""esmalteria|unha|nail|manicur|spa dos p[eé]s|kauu_nhas""), ""Manicure - Esmalteria"", REGEXMATCH(LOWER(A173), ""est[eé]tic|bronze|massot|terap|pilates|revitalize|dra""), ""Clín"&amp;"ica de Estética"", TRUE, ""Salão de Beleza""))"),"Salão de Beleza")</f>
        <v>Salão de Beleza</v>
      </c>
    </row>
    <row r="174">
      <c r="A174" s="1" t="s">
        <v>1299</v>
      </c>
      <c r="B174" s="1" t="s">
        <v>1300</v>
      </c>
      <c r="C174" s="1" t="s">
        <v>1301</v>
      </c>
      <c r="D174" s="1" t="s">
        <v>1302</v>
      </c>
      <c r="E174" s="1" t="s">
        <v>1303</v>
      </c>
      <c r="F174" s="1" t="s">
        <v>1304</v>
      </c>
      <c r="G174" s="3" t="str">
        <f>IFERROR(__xludf.DUMMYFUNCTION("AI(""Preencha um valor adequado para esta célula com base no contexto da tabela"")"),"Timon - MA")</f>
        <v>Timon - MA</v>
      </c>
      <c r="H174" s="2" t="s">
        <v>1305</v>
      </c>
      <c r="I174" s="1" t="s">
        <v>1306</v>
      </c>
      <c r="J174" s="3" t="str">
        <f>IFERROR(__xludf.DUMMYFUNCTION("IF(A174="""", """", IFS(REGEXMATCH(LOWER(A174), ""barbearia|barber""), ""Barbearia"", REGEXMATCH(LOWER(A174), ""sobrancelh|c[ií]lio|lash|micropigment|showbrancelhas""), ""Sobrancelhas e Cílios"", REGEXMATCH(LOWER(A174), ""maquia|make""), ""Maquiagem"", RE"&amp;"GEXMATCH(LOWER(A174), ""depil|epil""), ""Depilação"", REGEXMATCH(LOWER(A174), ""esmalteria|unha|nail|manicur|spa dos p[eé]s|kauu_nhas""), ""Manicure - Esmalteria"", REGEXMATCH(LOWER(A174), ""est[eé]tic|bronze|massot|terap|pilates|revitalize|dra""), ""Clín"&amp;"ica de Estética"", TRUE, ""Salão de Beleza""))"),"Salão de Beleza")</f>
        <v>Salão de Beleza</v>
      </c>
    </row>
    <row r="175">
      <c r="A175" s="1" t="s">
        <v>1307</v>
      </c>
      <c r="B175" s="1" t="s">
        <v>1308</v>
      </c>
      <c r="C175" s="1" t="s">
        <v>1309</v>
      </c>
      <c r="D175" s="1" t="s">
        <v>1310</v>
      </c>
      <c r="E175" s="1" t="s">
        <v>1311</v>
      </c>
      <c r="F175" s="1" t="s">
        <v>1312</v>
      </c>
      <c r="G175" s="3" t="str">
        <f>IFERROR(__xludf.DUMMYFUNCTION("AI(""Preencha um valor adequado para esta célula com base no contexto da tabela"")"),"Timon - MA")</f>
        <v>Timon - MA</v>
      </c>
      <c r="H175" s="2" t="s">
        <v>1313</v>
      </c>
      <c r="I175" s="1" t="s">
        <v>1314</v>
      </c>
      <c r="J175" s="3" t="str">
        <f>IFERROR(__xludf.DUMMYFUNCTION("IF(A175="""", """", IFS(REGEXMATCH(LOWER(A175), ""barbearia|barber""), ""Barbearia"", REGEXMATCH(LOWER(A175), ""sobrancelh|c[ií]lio|lash|micropigment|showbrancelhas""), ""Sobrancelhas e Cílios"", REGEXMATCH(LOWER(A175), ""maquia|make""), ""Maquiagem"", RE"&amp;"GEXMATCH(LOWER(A175), ""depil|epil""), ""Depilação"", REGEXMATCH(LOWER(A175), ""esmalteria|unha|nail|manicur|spa dos p[eé]s|kauu_nhas""), ""Manicure - Esmalteria"", REGEXMATCH(LOWER(A175), ""est[eé]tic|bronze|massot|terap|pilates|revitalize|dra""), ""Clín"&amp;"ica de Estética"", TRUE, ""Salão de Beleza""))"),"Sobrancelhas e Cílios")</f>
        <v>Sobrancelhas e Cílios</v>
      </c>
    </row>
    <row r="176">
      <c r="A176" s="1" t="s">
        <v>1315</v>
      </c>
      <c r="B176" s="1" t="s">
        <v>1316</v>
      </c>
      <c r="C176" s="1" t="s">
        <v>1317</v>
      </c>
      <c r="D176" s="1" t="s">
        <v>1318</v>
      </c>
      <c r="E176" s="1" t="s">
        <v>1319</v>
      </c>
      <c r="F176" s="1" t="s">
        <v>1320</v>
      </c>
      <c r="G176" s="3" t="str">
        <f>IFERROR(__xludf.DUMMYFUNCTION("AI(""Preencha um valor adequado para esta célula com base no contexto da tabela"")"),"Timon - MA")</f>
        <v>Timon - MA</v>
      </c>
      <c r="H176" s="2" t="s">
        <v>1321</v>
      </c>
      <c r="I176" s="1" t="s">
        <v>1322</v>
      </c>
      <c r="J176" s="3" t="str">
        <f>IFERROR(__xludf.DUMMYFUNCTION("IF(A176="""", """", IFS(REGEXMATCH(LOWER(A176), ""barbearia|barber""), ""Barbearia"", REGEXMATCH(LOWER(A176), ""sobrancelh|c[ií]lio|lash|micropigment|showbrancelhas""), ""Sobrancelhas e Cílios"", REGEXMATCH(LOWER(A176), ""maquia|make""), ""Maquiagem"", RE"&amp;"GEXMATCH(LOWER(A176), ""depil|epil""), ""Depilação"", REGEXMATCH(LOWER(A176), ""esmalteria|unha|nail|manicur|spa dos p[eé]s|kauu_nhas""), ""Manicure - Esmalteria"", REGEXMATCH(LOWER(A176), ""est[eé]tic|bronze|massot|terap|pilates|revitalize|dra""), ""Clín"&amp;"ica de Estética"", TRUE, ""Salão de Beleza""))"),"Salão de Beleza")</f>
        <v>Salão de Beleza</v>
      </c>
    </row>
    <row r="177">
      <c r="A177" s="1" t="s">
        <v>1323</v>
      </c>
      <c r="B177" s="1" t="s">
        <v>1324</v>
      </c>
      <c r="C177" s="1" t="s">
        <v>1325</v>
      </c>
      <c r="D177" s="1" t="s">
        <v>1326</v>
      </c>
      <c r="E177" s="1" t="s">
        <v>1327</v>
      </c>
      <c r="F177" s="1" t="s">
        <v>1328</v>
      </c>
      <c r="G177" s="3" t="str">
        <f>IFERROR(__xludf.DUMMYFUNCTION("AI(""Preencha um valor adequado para esta célula com base no contexto da tabela"")"),"Timon - MA")</f>
        <v>Timon - MA</v>
      </c>
      <c r="H177" s="2" t="s">
        <v>1329</v>
      </c>
      <c r="I177" s="1" t="s">
        <v>1330</v>
      </c>
      <c r="J177" s="3" t="str">
        <f>IFERROR(__xludf.DUMMYFUNCTION("IF(A177="""", """", IFS(REGEXMATCH(LOWER(A177), ""barbearia|barber""), ""Barbearia"", REGEXMATCH(LOWER(A177), ""sobrancelh|c[ií]lio|lash|micropigment|showbrancelhas""), ""Sobrancelhas e Cílios"", REGEXMATCH(LOWER(A177), ""maquia|make""), ""Maquiagem"", RE"&amp;"GEXMATCH(LOWER(A177), ""depil|epil""), ""Depilação"", REGEXMATCH(LOWER(A177), ""esmalteria|unha|nail|manicur|spa dos p[eé]s|kauu_nhas""), ""Manicure - Esmalteria"", REGEXMATCH(LOWER(A177), ""est[eé]tic|bronze|massot|terap|pilates|revitalize|dra""), ""Clín"&amp;"ica de Estética"", TRUE, ""Salão de Beleza""))"),"Salão de Beleza")</f>
        <v>Salão de Beleza</v>
      </c>
    </row>
    <row r="178">
      <c r="A178" s="1" t="s">
        <v>1331</v>
      </c>
      <c r="B178" s="1" t="s">
        <v>1332</v>
      </c>
      <c r="C178" s="1" t="s">
        <v>1333</v>
      </c>
      <c r="D178" s="1" t="s">
        <v>1334</v>
      </c>
      <c r="E178" s="1" t="s">
        <v>1335</v>
      </c>
      <c r="F178" s="1" t="s">
        <v>1336</v>
      </c>
      <c r="G178" s="3" t="str">
        <f>IFERROR(__xludf.DUMMYFUNCTION("AI(""Preencha um valor adequado para esta célula com base no contexto da tabela"")"),"Timon - MA")</f>
        <v>Timon - MA</v>
      </c>
      <c r="H178" s="2" t="s">
        <v>1337</v>
      </c>
      <c r="I178" s="1" t="s">
        <v>1338</v>
      </c>
      <c r="J178" s="3" t="str">
        <f>IFERROR(__xludf.DUMMYFUNCTION("IF(A178="""", """", IFS(REGEXMATCH(LOWER(A178), ""barbearia|barber""), ""Barbearia"", REGEXMATCH(LOWER(A178), ""sobrancelh|c[ií]lio|lash|micropigment|showbrancelhas""), ""Sobrancelhas e Cílios"", REGEXMATCH(LOWER(A178), ""maquia|make""), ""Maquiagem"", RE"&amp;"GEXMATCH(LOWER(A178), ""depil|epil""), ""Depilação"", REGEXMATCH(LOWER(A178), ""esmalteria|unha|nail|manicur|spa dos p[eé]s|kauu_nhas""), ""Manicure - Esmalteria"", REGEXMATCH(LOWER(A178), ""est[eé]tic|bronze|massot|terap|pilates|revitalize|dra""), ""Clín"&amp;"ica de Estética"", TRUE, ""Salão de Beleza""))"),"Manicure - Esmalteria")</f>
        <v>Manicure - Esmalteria</v>
      </c>
    </row>
    <row r="179">
      <c r="A179" s="1" t="s">
        <v>1339</v>
      </c>
      <c r="B179" s="1" t="s">
        <v>1340</v>
      </c>
      <c r="C179" s="1" t="s">
        <v>1341</v>
      </c>
      <c r="D179" s="1" t="s">
        <v>1342</v>
      </c>
      <c r="E179" s="1" t="s">
        <v>1343</v>
      </c>
      <c r="F179" s="1" t="s">
        <v>1344</v>
      </c>
      <c r="G179" s="3" t="str">
        <f>IFERROR(__xludf.DUMMYFUNCTION("AI(""Preencha um valor adequado para esta célula com base no contexto da tabela"")"),"Timon - MA")</f>
        <v>Timon - MA</v>
      </c>
      <c r="H179" s="2" t="s">
        <v>1345</v>
      </c>
      <c r="I179" s="1" t="s">
        <v>1346</v>
      </c>
      <c r="J179" s="3" t="str">
        <f>IFERROR(__xludf.DUMMYFUNCTION("IF(A179="""", """", IFS(REGEXMATCH(LOWER(A179), ""barbearia|barber""), ""Barbearia"", REGEXMATCH(LOWER(A179), ""sobrancelh|c[ií]lio|lash|micropigment|showbrancelhas""), ""Sobrancelhas e Cílios"", REGEXMATCH(LOWER(A179), ""maquia|make""), ""Maquiagem"", RE"&amp;"GEXMATCH(LOWER(A179), ""depil|epil""), ""Depilação"", REGEXMATCH(LOWER(A179), ""esmalteria|unha|nail|manicur|spa dos p[eé]s|kauu_nhas""), ""Manicure - Esmalteria"", REGEXMATCH(LOWER(A179), ""est[eé]tic|bronze|massot|terap|pilates|revitalize|dra""), ""Clín"&amp;"ica de Estética"", TRUE, ""Salão de Beleza""))"),"Salão de Beleza")</f>
        <v>Salão de Beleza</v>
      </c>
    </row>
    <row r="180">
      <c r="A180" s="1" t="s">
        <v>1347</v>
      </c>
      <c r="B180" s="1" t="s">
        <v>1348</v>
      </c>
      <c r="C180" s="1" t="s">
        <v>1349</v>
      </c>
      <c r="D180" s="1" t="s">
        <v>1350</v>
      </c>
      <c r="E180" s="1" t="s">
        <v>1351</v>
      </c>
      <c r="F180" s="1" t="s">
        <v>1352</v>
      </c>
      <c r="G180" s="3" t="str">
        <f>IFERROR(__xludf.DUMMYFUNCTION("AI(""Preencha um valor adequado para esta célula com base no contexto da tabela"")"),"Timon - MA")</f>
        <v>Timon - MA</v>
      </c>
      <c r="H180" s="2" t="s">
        <v>1353</v>
      </c>
      <c r="I180" s="1" t="s">
        <v>1354</v>
      </c>
      <c r="J180" s="3" t="str">
        <f>IFERROR(__xludf.DUMMYFUNCTION("IF(A180="""", """", IFS(REGEXMATCH(LOWER(A180), ""barbearia|barber""), ""Barbearia"", REGEXMATCH(LOWER(A180), ""sobrancelh|c[ií]lio|lash|micropigment|showbrancelhas""), ""Sobrancelhas e Cílios"", REGEXMATCH(LOWER(A180), ""maquia|make""), ""Maquiagem"", RE"&amp;"GEXMATCH(LOWER(A180), ""depil|epil""), ""Depilação"", REGEXMATCH(LOWER(A180), ""esmalteria|unha|nail|manicur|spa dos p[eé]s|kauu_nhas""), ""Manicure - Esmalteria"", REGEXMATCH(LOWER(A180), ""est[eé]tic|bronze|massot|terap|pilates|revitalize|dra""), ""Clín"&amp;"ica de Estética"", TRUE, ""Salão de Beleza""))"),"Salão de Beleza")</f>
        <v>Salão de Beleza</v>
      </c>
    </row>
    <row r="181">
      <c r="A181" s="1" t="s">
        <v>1355</v>
      </c>
      <c r="B181" s="1" t="s">
        <v>1356</v>
      </c>
      <c r="C181" s="1" t="s">
        <v>1357</v>
      </c>
      <c r="D181" s="1" t="s">
        <v>1358</v>
      </c>
      <c r="E181" s="1" t="s">
        <v>1359</v>
      </c>
      <c r="F181" s="1" t="s">
        <v>1360</v>
      </c>
      <c r="G181" s="3" t="str">
        <f>IFERROR(__xludf.DUMMYFUNCTION("AI(""Preencha um valor adequado para esta célula com base no contexto da tabela"")"),"Timon - MA")</f>
        <v>Timon - MA</v>
      </c>
      <c r="H181" s="2" t="s">
        <v>1361</v>
      </c>
      <c r="I181" s="1" t="s">
        <v>1362</v>
      </c>
      <c r="J181" s="3" t="str">
        <f>IFERROR(__xludf.DUMMYFUNCTION("IF(A181="""", """", IFS(REGEXMATCH(LOWER(A181), ""barbearia|barber""), ""Barbearia"", REGEXMATCH(LOWER(A181), ""sobrancelh|c[ií]lio|lash|micropigment|showbrancelhas""), ""Sobrancelhas e Cílios"", REGEXMATCH(LOWER(A181), ""maquia|make""), ""Maquiagem"", RE"&amp;"GEXMATCH(LOWER(A181), ""depil|epil""), ""Depilação"", REGEXMATCH(LOWER(A181), ""esmalteria|unha|nail|manicur|spa dos p[eé]s|kauu_nhas""), ""Manicure - Esmalteria"", REGEXMATCH(LOWER(A181), ""est[eé]tic|bronze|massot|terap|pilates|revitalize|dra""), ""Clín"&amp;"ica de Estética"", TRUE, ""Salão de Beleza""))"),"Salão de Beleza")</f>
        <v>Salão de Beleza</v>
      </c>
    </row>
    <row r="182">
      <c r="A182" s="1" t="s">
        <v>1363</v>
      </c>
      <c r="D182" s="1" t="s">
        <v>1364</v>
      </c>
      <c r="E182" s="1" t="s">
        <v>1365</v>
      </c>
      <c r="F182" s="1" t="s">
        <v>1366</v>
      </c>
      <c r="G182" s="3" t="str">
        <f>IFERROR(__xludf.DUMMYFUNCTION("AI(""Preencha um valor adequado para esta célula com base no contexto da tabela"")"),"Timon - MA")</f>
        <v>Timon - MA</v>
      </c>
      <c r="H182" s="2" t="s">
        <v>1367</v>
      </c>
      <c r="I182" s="1" t="s">
        <v>1368</v>
      </c>
      <c r="J182" s="3" t="str">
        <f>IFERROR(__xludf.DUMMYFUNCTION("IF(A182="""", """", IFS(REGEXMATCH(LOWER(A182), ""barbearia|barber""), ""Barbearia"", REGEXMATCH(LOWER(A182), ""sobrancelh|c[ií]lio|lash|micropigment|showbrancelhas""), ""Sobrancelhas e Cílios"", REGEXMATCH(LOWER(A182), ""maquia|make""), ""Maquiagem"", RE"&amp;"GEXMATCH(LOWER(A182), ""depil|epil""), ""Depilação"", REGEXMATCH(LOWER(A182), ""esmalteria|unha|nail|manicur|spa dos p[eé]s|kauu_nhas""), ""Manicure - Esmalteria"", REGEXMATCH(LOWER(A182), ""est[eé]tic|bronze|massot|terap|pilates|revitalize|dra""), ""Clín"&amp;"ica de Estética"", TRUE, ""Salão de Beleza""))"),"Salão de Beleza")</f>
        <v>Salão de Beleza</v>
      </c>
    </row>
    <row r="183">
      <c r="A183" s="1" t="s">
        <v>1369</v>
      </c>
      <c r="D183" s="1" t="s">
        <v>1370</v>
      </c>
      <c r="E183" s="1" t="s">
        <v>1371</v>
      </c>
      <c r="F183" s="1" t="s">
        <v>1372</v>
      </c>
      <c r="G183" s="3" t="str">
        <f>IFERROR(__xludf.DUMMYFUNCTION("AI(""Preencha um valor adequado para esta célula com base no contexto da tabela"")"),"Timon - MA")</f>
        <v>Timon - MA</v>
      </c>
      <c r="H183" s="2" t="s">
        <v>1373</v>
      </c>
      <c r="I183" s="1" t="s">
        <v>1374</v>
      </c>
      <c r="J183" s="3" t="str">
        <f>IFERROR(__xludf.DUMMYFUNCTION("IF(A183="""", """", IFS(REGEXMATCH(LOWER(A183), ""barbearia|barber""), ""Barbearia"", REGEXMATCH(LOWER(A183), ""sobrancelh|c[ií]lio|lash|micropigment|showbrancelhas""), ""Sobrancelhas e Cílios"", REGEXMATCH(LOWER(A183), ""maquia|make""), ""Maquiagem"", RE"&amp;"GEXMATCH(LOWER(A183), ""depil|epil""), ""Depilação"", REGEXMATCH(LOWER(A183), ""esmalteria|unha|nail|manicur|spa dos p[eé]s|kauu_nhas""), ""Manicure - Esmalteria"", REGEXMATCH(LOWER(A183), ""est[eé]tic|bronze|massot|terap|pilates|revitalize|dra""), ""Clín"&amp;"ica de Estética"", TRUE, ""Salão de Beleza""))"),"Salão de Beleza")</f>
        <v>Salão de Beleza</v>
      </c>
    </row>
    <row r="184">
      <c r="A184" s="1" t="s">
        <v>1375</v>
      </c>
      <c r="B184" s="1" t="s">
        <v>1376</v>
      </c>
      <c r="C184" s="1" t="s">
        <v>1377</v>
      </c>
      <c r="D184" s="1" t="s">
        <v>1378</v>
      </c>
      <c r="E184" s="1" t="s">
        <v>1379</v>
      </c>
      <c r="F184" s="1" t="s">
        <v>1380</v>
      </c>
      <c r="G184" s="3" t="str">
        <f>IFERROR(__xludf.DUMMYFUNCTION("AI(""Preencha um valor adequado para esta célula com base no contexto da tabela"")"),"Timon - MA")</f>
        <v>Timon - MA</v>
      </c>
      <c r="H184" s="2" t="s">
        <v>1381</v>
      </c>
      <c r="I184" s="1" t="s">
        <v>1382</v>
      </c>
      <c r="J184" s="3" t="str">
        <f>IFERROR(__xludf.DUMMYFUNCTION("IF(A184="""", """", IFS(REGEXMATCH(LOWER(A184), ""barbearia|barber""), ""Barbearia"", REGEXMATCH(LOWER(A184), ""sobrancelh|c[ií]lio|lash|micropigment|showbrancelhas""), ""Sobrancelhas e Cílios"", REGEXMATCH(LOWER(A184), ""maquia|make""), ""Maquiagem"", RE"&amp;"GEXMATCH(LOWER(A184), ""depil|epil""), ""Depilação"", REGEXMATCH(LOWER(A184), ""esmalteria|unha|nail|manicur|spa dos p[eé]s|kauu_nhas""), ""Manicure - Esmalteria"", REGEXMATCH(LOWER(A184), ""est[eé]tic|bronze|massot|terap|pilates|revitalize|dra""), ""Clín"&amp;"ica de Estética"", TRUE, ""Salão de Beleza""))"),"Salão de Beleza")</f>
        <v>Salão de Beleza</v>
      </c>
    </row>
    <row r="185">
      <c r="A185" s="1" t="s">
        <v>1383</v>
      </c>
      <c r="D185" s="1" t="s">
        <v>1384</v>
      </c>
      <c r="E185" s="1" t="s">
        <v>1385</v>
      </c>
      <c r="F185" s="1" t="s">
        <v>1386</v>
      </c>
      <c r="G185" s="3" t="str">
        <f>IFERROR(__xludf.DUMMYFUNCTION("AI(""Preencha um valor adequado para esta célula com base no contexto da tabela"")"),"Timon - MA")</f>
        <v>Timon - MA</v>
      </c>
      <c r="H185" s="2" t="s">
        <v>1387</v>
      </c>
      <c r="I185" s="1" t="s">
        <v>1388</v>
      </c>
      <c r="J185" s="3" t="str">
        <f>IFERROR(__xludf.DUMMYFUNCTION("IF(A185="""", """", IFS(REGEXMATCH(LOWER(A185), ""barbearia|barber""), ""Barbearia"", REGEXMATCH(LOWER(A185), ""sobrancelh|c[ií]lio|lash|micropigment|showbrancelhas""), ""Sobrancelhas e Cílios"", REGEXMATCH(LOWER(A185), ""maquia|make""), ""Maquiagem"", RE"&amp;"GEXMATCH(LOWER(A185), ""depil|epil""), ""Depilação"", REGEXMATCH(LOWER(A185), ""esmalteria|unha|nail|manicur|spa dos p[eé]s|kauu_nhas""), ""Manicure - Esmalteria"", REGEXMATCH(LOWER(A185), ""est[eé]tic|bronze|massot|terap|pilates|revitalize|dra""), ""Clín"&amp;"ica de Estética"", TRUE, ""Salão de Beleza""))"),"Clínica de Estética")</f>
        <v>Clínica de Estética</v>
      </c>
    </row>
    <row r="186">
      <c r="A186" s="1" t="s">
        <v>1389</v>
      </c>
      <c r="B186" s="1" t="s">
        <v>1390</v>
      </c>
      <c r="C186" s="1" t="s">
        <v>1391</v>
      </c>
      <c r="D186" s="1" t="s">
        <v>1392</v>
      </c>
      <c r="E186" s="1" t="s">
        <v>1393</v>
      </c>
      <c r="F186" s="1" t="s">
        <v>1394</v>
      </c>
      <c r="G186" s="3" t="str">
        <f>IFERROR(__xludf.DUMMYFUNCTION("AI(""Preencha um valor adequado para esta célula com base no contexto da tabela"")"),"Timon - MA")</f>
        <v>Timon - MA</v>
      </c>
      <c r="H186" s="2" t="s">
        <v>1395</v>
      </c>
      <c r="I186" s="1" t="s">
        <v>1396</v>
      </c>
      <c r="J186" s="3" t="str">
        <f>IFERROR(__xludf.DUMMYFUNCTION("IF(A186="""", """", IFS(REGEXMATCH(LOWER(A186), ""barbearia|barber""), ""Barbearia"", REGEXMATCH(LOWER(A186), ""sobrancelh|c[ií]lio|lash|micropigment|showbrancelhas""), ""Sobrancelhas e Cílios"", REGEXMATCH(LOWER(A186), ""maquia|make""), ""Maquiagem"", RE"&amp;"GEXMATCH(LOWER(A186), ""depil|epil""), ""Depilação"", REGEXMATCH(LOWER(A186), ""esmalteria|unha|nail|manicur|spa dos p[eé]s|kauu_nhas""), ""Manicure - Esmalteria"", REGEXMATCH(LOWER(A186), ""est[eé]tic|bronze|massot|terap|pilates|revitalize|dra""), ""Clín"&amp;"ica de Estética"", TRUE, ""Salão de Beleza""))"),"Depilação")</f>
        <v>Depilação</v>
      </c>
    </row>
    <row r="187">
      <c r="A187" s="1" t="s">
        <v>1397</v>
      </c>
      <c r="B187" s="1" t="s">
        <v>1398</v>
      </c>
      <c r="C187" s="1" t="s">
        <v>1399</v>
      </c>
      <c r="D187" s="1" t="s">
        <v>1400</v>
      </c>
      <c r="E187" s="1" t="s">
        <v>1401</v>
      </c>
      <c r="F187" s="1" t="s">
        <v>1402</v>
      </c>
      <c r="G187" s="3" t="str">
        <f>IFERROR(__xludf.DUMMYFUNCTION("AI(""Preencha um valor adequado para esta célula com base no contexto da tabela"")"),"Timon - MA")</f>
        <v>Timon - MA</v>
      </c>
      <c r="H187" s="2" t="s">
        <v>1403</v>
      </c>
      <c r="I187" s="1" t="s">
        <v>1404</v>
      </c>
      <c r="J187" s="3" t="str">
        <f>IFERROR(__xludf.DUMMYFUNCTION("IF(A187="""", """", IFS(REGEXMATCH(LOWER(A187), ""barbearia|barber""), ""Barbearia"", REGEXMATCH(LOWER(A187), ""sobrancelh|c[ií]lio|lash|micropigment|showbrancelhas""), ""Sobrancelhas e Cílios"", REGEXMATCH(LOWER(A187), ""maquia|make""), ""Maquiagem"", RE"&amp;"GEXMATCH(LOWER(A187), ""depil|epil""), ""Depilação"", REGEXMATCH(LOWER(A187), ""esmalteria|unha|nail|manicur|spa dos p[eé]s|kauu_nhas""), ""Manicure - Esmalteria"", REGEXMATCH(LOWER(A187), ""est[eé]tic|bronze|massot|terap|pilates|revitalize|dra""), ""Clín"&amp;"ica de Estética"", TRUE, ""Salão de Beleza""))"),"Manicure - Esmalteria")</f>
        <v>Manicure - Esmalteria</v>
      </c>
    </row>
    <row r="188">
      <c r="A188" s="1" t="s">
        <v>1405</v>
      </c>
      <c r="B188" s="1" t="s">
        <v>1406</v>
      </c>
      <c r="C188" s="1" t="s">
        <v>1407</v>
      </c>
      <c r="D188" s="1" t="s">
        <v>1408</v>
      </c>
      <c r="E188" s="1" t="s">
        <v>1409</v>
      </c>
      <c r="F188" s="1" t="s">
        <v>1410</v>
      </c>
      <c r="G188" s="3" t="str">
        <f>IFERROR(__xludf.DUMMYFUNCTION("AI(""Preencha um valor adequado para esta célula com base no contexto da tabela"")"),"Timon - MA")</f>
        <v>Timon - MA</v>
      </c>
      <c r="H188" s="2" t="s">
        <v>1411</v>
      </c>
      <c r="I188" s="1" t="s">
        <v>1412</v>
      </c>
      <c r="J188" s="3" t="str">
        <f>IFERROR(__xludf.DUMMYFUNCTION("IF(A188="""", """", IFS(REGEXMATCH(LOWER(A188), ""barbearia|barber""), ""Barbearia"", REGEXMATCH(LOWER(A188), ""sobrancelh|c[ií]lio|lash|micropigment|showbrancelhas""), ""Sobrancelhas e Cílios"", REGEXMATCH(LOWER(A188), ""maquia|make""), ""Maquiagem"", RE"&amp;"GEXMATCH(LOWER(A188), ""depil|epil""), ""Depilação"", REGEXMATCH(LOWER(A188), ""esmalteria|unha|nail|manicur|spa dos p[eé]s|kauu_nhas""), ""Manicure - Esmalteria"", REGEXMATCH(LOWER(A188), ""est[eé]tic|bronze|massot|terap|pilates|revitalize|dra""), ""Clín"&amp;"ica de Estética"", TRUE, ""Salão de Beleza""))"),"Clínica de Estética")</f>
        <v>Clínica de Estética</v>
      </c>
    </row>
    <row r="189">
      <c r="A189" s="1" t="s">
        <v>1413</v>
      </c>
      <c r="B189" s="1" t="s">
        <v>1414</v>
      </c>
      <c r="C189" s="1" t="s">
        <v>1415</v>
      </c>
      <c r="D189" s="1" t="s">
        <v>1416</v>
      </c>
      <c r="E189" s="1" t="s">
        <v>1417</v>
      </c>
      <c r="F189" s="1" t="s">
        <v>1418</v>
      </c>
      <c r="G189" s="3" t="str">
        <f>IFERROR(__xludf.DUMMYFUNCTION("AI(""Preencha um valor adequado para esta célula com base no contexto da tabela"")"),"Timon - MA")</f>
        <v>Timon - MA</v>
      </c>
      <c r="H189" s="2" t="s">
        <v>1419</v>
      </c>
      <c r="I189" s="1" t="s">
        <v>1420</v>
      </c>
      <c r="J189" s="3" t="str">
        <f>IFERROR(__xludf.DUMMYFUNCTION("IF(A189="""", """", IFS(REGEXMATCH(LOWER(A189), ""barbearia|barber""), ""Barbearia"", REGEXMATCH(LOWER(A189), ""sobrancelh|c[ií]lio|lash|micropigment|showbrancelhas""), ""Sobrancelhas e Cílios"", REGEXMATCH(LOWER(A189), ""maquia|make""), ""Maquiagem"", RE"&amp;"GEXMATCH(LOWER(A189), ""depil|epil""), ""Depilação"", REGEXMATCH(LOWER(A189), ""esmalteria|unha|nail|manicur|spa dos p[eé]s|kauu_nhas""), ""Manicure - Esmalteria"", REGEXMATCH(LOWER(A189), ""est[eé]tic|bronze|massot|terap|pilates|revitalize|dra""), ""Clín"&amp;"ica de Estética"", TRUE, ""Salão de Beleza""))"),"Manicure - Esmalteria")</f>
        <v>Manicure - Esmalteria</v>
      </c>
    </row>
    <row r="190">
      <c r="A190" s="1" t="s">
        <v>1421</v>
      </c>
      <c r="D190" s="1" t="s">
        <v>1422</v>
      </c>
      <c r="E190" s="1" t="s">
        <v>758</v>
      </c>
      <c r="F190" s="1" t="s">
        <v>759</v>
      </c>
      <c r="G190" s="3" t="str">
        <f>IFERROR(__xludf.DUMMYFUNCTION("AI(""Preencha um valor adequado para esta célula com base no contexto da tabela"")"),"Timon - MA")</f>
        <v>Timon - MA</v>
      </c>
      <c r="H190" s="2" t="s">
        <v>1423</v>
      </c>
      <c r="I190" s="1" t="s">
        <v>761</v>
      </c>
      <c r="J190" s="3" t="str">
        <f>IFERROR(__xludf.DUMMYFUNCTION("IF(A190="""", """", IFS(REGEXMATCH(LOWER(A190), ""barbearia|barber""), ""Barbearia"", REGEXMATCH(LOWER(A190), ""sobrancelh|c[ií]lio|lash|micropigment|showbrancelhas""), ""Sobrancelhas e Cílios"", REGEXMATCH(LOWER(A190), ""maquia|make""), ""Maquiagem"", RE"&amp;"GEXMATCH(LOWER(A190), ""depil|epil""), ""Depilação"", REGEXMATCH(LOWER(A190), ""esmalteria|unha|nail|manicur|spa dos p[eé]s|kauu_nhas""), ""Manicure - Esmalteria"", REGEXMATCH(LOWER(A190), ""est[eé]tic|bronze|massot|terap|pilates|revitalize|dra""), ""Clín"&amp;"ica de Estética"", TRUE, ""Salão de Beleza""))"),"Salão de Beleza")</f>
        <v>Salão de Beleza</v>
      </c>
    </row>
    <row r="191">
      <c r="A191" s="1" t="s">
        <v>1424</v>
      </c>
      <c r="D191" s="1" t="s">
        <v>1425</v>
      </c>
      <c r="E191" s="1" t="s">
        <v>1426</v>
      </c>
      <c r="F191" s="1" t="s">
        <v>1427</v>
      </c>
      <c r="G191" s="3" t="str">
        <f>IFERROR(__xludf.DUMMYFUNCTION("AI(""Preencha um valor adequado para esta célula com base no contexto da tabela"")"),"Timon - MA")</f>
        <v>Timon - MA</v>
      </c>
      <c r="H191" s="2" t="s">
        <v>1428</v>
      </c>
      <c r="J191" s="3" t="str">
        <f>IFERROR(__xludf.DUMMYFUNCTION("IF(A191="""", """", IFS(REGEXMATCH(LOWER(A191), ""barbearia|barber""), ""Barbearia"", REGEXMATCH(LOWER(A191), ""sobrancelh|c[ií]lio|lash|micropigment|showbrancelhas""), ""Sobrancelhas e Cílios"", REGEXMATCH(LOWER(A191), ""maquia|make""), ""Maquiagem"", RE"&amp;"GEXMATCH(LOWER(A191), ""depil|epil""), ""Depilação"", REGEXMATCH(LOWER(A191), ""esmalteria|unha|nail|manicur|spa dos p[eé]s|kauu_nhas""), ""Manicure - Esmalteria"", REGEXMATCH(LOWER(A191), ""est[eé]tic|bronze|massot|terap|pilates|revitalize|dra""), ""Clín"&amp;"ica de Estética"", TRUE, ""Salão de Beleza""))"),"Salão de Beleza")</f>
        <v>Salão de Beleza</v>
      </c>
    </row>
    <row r="192">
      <c r="A192" s="1" t="s">
        <v>1429</v>
      </c>
      <c r="D192" s="1" t="s">
        <v>1430</v>
      </c>
      <c r="E192" s="1" t="s">
        <v>1431</v>
      </c>
      <c r="F192" s="1" t="s">
        <v>1432</v>
      </c>
      <c r="G192" s="3" t="str">
        <f>IFERROR(__xludf.DUMMYFUNCTION("AI(""Preencha um valor adequado para esta célula com base no contexto da tabela"")"),"Timon - MA")</f>
        <v>Timon - MA</v>
      </c>
      <c r="H192" s="2" t="s">
        <v>1433</v>
      </c>
      <c r="I192" s="1" t="s">
        <v>1434</v>
      </c>
      <c r="J192" s="3" t="str">
        <f>IFERROR(__xludf.DUMMYFUNCTION("IF(A192="""", """", IFS(REGEXMATCH(LOWER(A192), ""barbearia|barber""), ""Barbearia"", REGEXMATCH(LOWER(A192), ""sobrancelh|c[ií]lio|lash|micropigment|showbrancelhas""), ""Sobrancelhas e Cílios"", REGEXMATCH(LOWER(A192), ""maquia|make""), ""Maquiagem"", RE"&amp;"GEXMATCH(LOWER(A192), ""depil|epil""), ""Depilação"", REGEXMATCH(LOWER(A192), ""esmalteria|unha|nail|manicur|spa dos p[eé]s|kauu_nhas""), ""Manicure - Esmalteria"", REGEXMATCH(LOWER(A192), ""est[eé]tic|bronze|massot|terap|pilates|revitalize|dra""), ""Clín"&amp;"ica de Estética"", TRUE, ""Salão de Beleza""))"),"Clínica de Estética")</f>
        <v>Clínica de Estética</v>
      </c>
    </row>
    <row r="193">
      <c r="A193" s="1" t="s">
        <v>258</v>
      </c>
      <c r="B193" s="1" t="s">
        <v>1435</v>
      </c>
      <c r="C193" s="1" t="s">
        <v>1436</v>
      </c>
      <c r="D193" s="1" t="s">
        <v>1437</v>
      </c>
      <c r="E193" s="1" t="s">
        <v>1438</v>
      </c>
      <c r="F193" s="1" t="s">
        <v>1439</v>
      </c>
      <c r="G193" s="3" t="str">
        <f>IFERROR(__xludf.DUMMYFUNCTION("AI(""Preencha um valor adequado para esta célula com base no contexto da tabela"")"),"Timon - MA")</f>
        <v>Timon - MA</v>
      </c>
      <c r="H193" s="2" t="s">
        <v>1440</v>
      </c>
      <c r="I193" s="1" t="s">
        <v>1441</v>
      </c>
      <c r="J193" s="3" t="str">
        <f>IFERROR(__xludf.DUMMYFUNCTION("IF(A193="""", """", IFS(REGEXMATCH(LOWER(A193), ""barbearia|barber""), ""Barbearia"", REGEXMATCH(LOWER(A193), ""sobrancelh|c[ií]lio|lash|micropigment|showbrancelhas""), ""Sobrancelhas e Cílios"", REGEXMATCH(LOWER(A193), ""maquia|make""), ""Maquiagem"", RE"&amp;"GEXMATCH(LOWER(A193), ""depil|epil""), ""Depilação"", REGEXMATCH(LOWER(A193), ""esmalteria|unha|nail|manicur|spa dos p[eé]s|kauu_nhas""), ""Manicure - Esmalteria"", REGEXMATCH(LOWER(A193), ""est[eé]tic|bronze|massot|terap|pilates|revitalize|dra""), ""Clín"&amp;"ica de Estética"", TRUE, ""Salão de Beleza""))"),"Manicure - Esmalteria")</f>
        <v>Manicure - Esmalteria</v>
      </c>
    </row>
    <row r="194">
      <c r="A194" s="1" t="s">
        <v>1442</v>
      </c>
      <c r="B194" s="1" t="s">
        <v>1443</v>
      </c>
      <c r="C194" s="1" t="s">
        <v>1444</v>
      </c>
      <c r="D194" s="1" t="s">
        <v>1445</v>
      </c>
      <c r="E194" s="1" t="s">
        <v>1446</v>
      </c>
      <c r="F194" s="1" t="s">
        <v>1447</v>
      </c>
      <c r="G194" s="3" t="str">
        <f>IFERROR(__xludf.DUMMYFUNCTION("AI(""Preencha um valor adequado para esta célula com base no contexto da tabela"")"),"Timon - MA")</f>
        <v>Timon - MA</v>
      </c>
      <c r="H194" s="2" t="s">
        <v>1448</v>
      </c>
      <c r="I194" s="1" t="s">
        <v>1449</v>
      </c>
      <c r="J194" s="3" t="str">
        <f>IFERROR(__xludf.DUMMYFUNCTION("IF(A194="""", """", IFS(REGEXMATCH(LOWER(A194), ""barbearia|barber""), ""Barbearia"", REGEXMATCH(LOWER(A194), ""sobrancelh|c[ií]lio|lash|micropigment|showbrancelhas""), ""Sobrancelhas e Cílios"", REGEXMATCH(LOWER(A194), ""maquia|make""), ""Maquiagem"", RE"&amp;"GEXMATCH(LOWER(A194), ""depil|epil""), ""Depilação"", REGEXMATCH(LOWER(A194), ""esmalteria|unha|nail|manicur|spa dos p[eé]s|kauu_nhas""), ""Manicure - Esmalteria"", REGEXMATCH(LOWER(A194), ""est[eé]tic|bronze|massot|terap|pilates|revitalize|dra""), ""Clín"&amp;"ica de Estética"", TRUE, ""Salão de Beleza""))"),"Salão de Beleza")</f>
        <v>Salão de Beleza</v>
      </c>
    </row>
    <row r="195">
      <c r="A195" s="1" t="s">
        <v>1450</v>
      </c>
      <c r="D195" s="1" t="s">
        <v>1451</v>
      </c>
      <c r="E195" s="1" t="s">
        <v>1452</v>
      </c>
      <c r="F195" s="1" t="s">
        <v>1453</v>
      </c>
      <c r="G195" s="3" t="str">
        <f>IFERROR(__xludf.DUMMYFUNCTION("AI(""Preencha um valor adequado para esta célula com base no contexto da tabela"")"),"Timon - MA")</f>
        <v>Timon - MA</v>
      </c>
      <c r="H195" s="2" t="s">
        <v>1454</v>
      </c>
      <c r="I195" s="1" t="s">
        <v>1455</v>
      </c>
      <c r="J195" s="3" t="str">
        <f>IFERROR(__xludf.DUMMYFUNCTION("IF(A195="""", """", IFS(REGEXMATCH(LOWER(A195), ""barbearia|barber""), ""Barbearia"", REGEXMATCH(LOWER(A195), ""sobrancelh|c[ií]lio|lash|micropigment|showbrancelhas""), ""Sobrancelhas e Cílios"", REGEXMATCH(LOWER(A195), ""maquia|make""), ""Maquiagem"", RE"&amp;"GEXMATCH(LOWER(A195), ""depil|epil""), ""Depilação"", REGEXMATCH(LOWER(A195), ""esmalteria|unha|nail|manicur|spa dos p[eé]s|kauu_nhas""), ""Manicure - Esmalteria"", REGEXMATCH(LOWER(A195), ""est[eé]tic|bronze|massot|terap|pilates|revitalize|dra""), ""Clín"&amp;"ica de Estética"", TRUE, ""Salão de Beleza""))"),"Salão de Beleza")</f>
        <v>Salão de Beleza</v>
      </c>
    </row>
    <row r="196">
      <c r="A196" s="1" t="s">
        <v>1456</v>
      </c>
      <c r="B196" s="1" t="s">
        <v>1457</v>
      </c>
      <c r="C196" s="1" t="s">
        <v>1458</v>
      </c>
      <c r="D196" s="1" t="s">
        <v>1459</v>
      </c>
      <c r="E196" s="1" t="s">
        <v>1460</v>
      </c>
      <c r="F196" s="1" t="s">
        <v>1461</v>
      </c>
      <c r="G196" s="3" t="str">
        <f>IFERROR(__xludf.DUMMYFUNCTION("AI(""Preencha um valor adequado para esta célula com base no contexto da tabela"")"),"Timon - MA")</f>
        <v>Timon - MA</v>
      </c>
      <c r="H196" s="2" t="s">
        <v>1462</v>
      </c>
      <c r="I196" s="1" t="s">
        <v>1463</v>
      </c>
      <c r="J196" s="3" t="str">
        <f>IFERROR(__xludf.DUMMYFUNCTION("IF(A196="""", """", IFS(REGEXMATCH(LOWER(A196), ""barbearia|barber""), ""Barbearia"", REGEXMATCH(LOWER(A196), ""sobrancelh|c[ií]lio|lash|micropigment|showbrancelhas""), ""Sobrancelhas e Cílios"", REGEXMATCH(LOWER(A196), ""maquia|make""), ""Maquiagem"", RE"&amp;"GEXMATCH(LOWER(A196), ""depil|epil""), ""Depilação"", REGEXMATCH(LOWER(A196), ""esmalteria|unha|nail|manicur|spa dos p[eé]s|kauu_nhas""), ""Manicure - Esmalteria"", REGEXMATCH(LOWER(A196), ""est[eé]tic|bronze|massot|terap|pilates|revitalize|dra""), ""Clín"&amp;"ica de Estética"", TRUE, ""Salão de Beleza""))"),"Salão de Beleza")</f>
        <v>Salão de Beleza</v>
      </c>
    </row>
    <row r="197">
      <c r="A197" s="1" t="s">
        <v>1464</v>
      </c>
      <c r="D197" s="1" t="s">
        <v>1465</v>
      </c>
      <c r="E197" s="1" t="s">
        <v>1466</v>
      </c>
      <c r="F197" s="1" t="s">
        <v>1467</v>
      </c>
      <c r="G197" s="3" t="str">
        <f>IFERROR(__xludf.DUMMYFUNCTION("AI(""Preencha um valor adequado para esta célula com base no contexto da tabela"")"),"Timon - MA")</f>
        <v>Timon - MA</v>
      </c>
      <c r="H197" s="2" t="s">
        <v>1468</v>
      </c>
      <c r="I197" s="1" t="s">
        <v>1469</v>
      </c>
      <c r="J197" s="3" t="str">
        <f>IFERROR(__xludf.DUMMYFUNCTION("IF(A197="""", """", IFS(REGEXMATCH(LOWER(A197), ""barbearia|barber""), ""Barbearia"", REGEXMATCH(LOWER(A197), ""sobrancelh|c[ií]lio|lash|micropigment|showbrancelhas""), ""Sobrancelhas e Cílios"", REGEXMATCH(LOWER(A197), ""maquia|make""), ""Maquiagem"", RE"&amp;"GEXMATCH(LOWER(A197), ""depil|epil""), ""Depilação"", REGEXMATCH(LOWER(A197), ""esmalteria|unha|nail|manicur|spa dos p[eé]s|kauu_nhas""), ""Manicure - Esmalteria"", REGEXMATCH(LOWER(A197), ""est[eé]tic|bronze|massot|terap|pilates|revitalize|dra""), ""Clín"&amp;"ica de Estética"", TRUE, ""Salão de Beleza""))"),"Salão de Beleza")</f>
        <v>Salão de Beleza</v>
      </c>
    </row>
    <row r="198">
      <c r="A198" s="1" t="s">
        <v>1470</v>
      </c>
      <c r="B198" s="1" t="s">
        <v>1471</v>
      </c>
      <c r="C198" s="1" t="s">
        <v>1472</v>
      </c>
      <c r="D198" s="1" t="s">
        <v>1473</v>
      </c>
      <c r="E198" s="1" t="s">
        <v>1474</v>
      </c>
      <c r="F198" s="1" t="s">
        <v>1475</v>
      </c>
      <c r="G198" s="3" t="str">
        <f>IFERROR(__xludf.DUMMYFUNCTION("AI(""Preencha um valor adequado para esta célula com base no contexto da tabela"")"),"Timon - MA")</f>
        <v>Timon - MA</v>
      </c>
      <c r="H198" s="2" t="s">
        <v>1476</v>
      </c>
      <c r="I198" s="1" t="s">
        <v>1477</v>
      </c>
      <c r="J198" s="3" t="str">
        <f>IFERROR(__xludf.DUMMYFUNCTION("IF(A198="""", """", IFS(REGEXMATCH(LOWER(A198), ""barbearia|barber""), ""Barbearia"", REGEXMATCH(LOWER(A198), ""sobrancelh|c[ií]lio|lash|micropigment|showbrancelhas""), ""Sobrancelhas e Cílios"", REGEXMATCH(LOWER(A198), ""maquia|make""), ""Maquiagem"", RE"&amp;"GEXMATCH(LOWER(A198), ""depil|epil""), ""Depilação"", REGEXMATCH(LOWER(A198), ""esmalteria|unha|nail|manicur|spa dos p[eé]s|kauu_nhas""), ""Manicure - Esmalteria"", REGEXMATCH(LOWER(A198), ""est[eé]tic|bronze|massot|terap|pilates|revitalize|dra""), ""Clín"&amp;"ica de Estética"", TRUE, ""Salão de Beleza""))"),"Salão de Beleza")</f>
        <v>Salão de Beleza</v>
      </c>
    </row>
    <row r="199">
      <c r="A199" s="1" t="s">
        <v>1478</v>
      </c>
      <c r="B199" s="1" t="s">
        <v>1479</v>
      </c>
      <c r="C199" s="1" t="s">
        <v>1480</v>
      </c>
      <c r="D199" s="1" t="s">
        <v>1481</v>
      </c>
      <c r="E199" s="1" t="s">
        <v>1482</v>
      </c>
      <c r="F199" s="1" t="s">
        <v>1483</v>
      </c>
      <c r="G199" s="3" t="str">
        <f>IFERROR(__xludf.DUMMYFUNCTION("AI(""Preencha um valor adequado para esta célula com base no contexto da tabela"")"),"Timon - MA")</f>
        <v>Timon - MA</v>
      </c>
      <c r="H199" s="2" t="s">
        <v>1484</v>
      </c>
      <c r="I199" s="1" t="s">
        <v>1485</v>
      </c>
      <c r="J199" s="3" t="str">
        <f>IFERROR(__xludf.DUMMYFUNCTION("IF(A199="""", """", IFS(REGEXMATCH(LOWER(A199), ""barbearia|barber""), ""Barbearia"", REGEXMATCH(LOWER(A199), ""sobrancelh|c[ií]lio|lash|micropigment|showbrancelhas""), ""Sobrancelhas e Cílios"", REGEXMATCH(LOWER(A199), ""maquia|make""), ""Maquiagem"", RE"&amp;"GEXMATCH(LOWER(A199), ""depil|epil""), ""Depilação"", REGEXMATCH(LOWER(A199), ""esmalteria|unha|nail|manicur|spa dos p[eé]s|kauu_nhas""), ""Manicure - Esmalteria"", REGEXMATCH(LOWER(A199), ""est[eé]tic|bronze|massot|terap|pilates|revitalize|dra""), ""Clín"&amp;"ica de Estética"", TRUE, ""Salão de Beleza""))"),"Salão de Beleza")</f>
        <v>Salão de Beleza</v>
      </c>
    </row>
    <row r="200">
      <c r="A200" s="1" t="s">
        <v>1486</v>
      </c>
      <c r="B200" s="1" t="s">
        <v>1487</v>
      </c>
      <c r="C200" s="1" t="s">
        <v>1488</v>
      </c>
      <c r="D200" s="1" t="s">
        <v>1489</v>
      </c>
      <c r="E200" s="1" t="s">
        <v>1490</v>
      </c>
      <c r="F200" s="1" t="s">
        <v>1491</v>
      </c>
      <c r="G200" s="3" t="str">
        <f>IFERROR(__xludf.DUMMYFUNCTION("AI(""Preencha um valor adequado para esta célula com base no contexto da tabela"")"),"Timon - MA")</f>
        <v>Timon - MA</v>
      </c>
      <c r="H200" s="2" t="s">
        <v>1492</v>
      </c>
      <c r="I200" s="1" t="s">
        <v>1493</v>
      </c>
      <c r="J200" s="3" t="str">
        <f>IFERROR(__xludf.DUMMYFUNCTION("IF(A200="""", """", IFS(REGEXMATCH(LOWER(A200), ""barbearia|barber""), ""Barbearia"", REGEXMATCH(LOWER(A200), ""sobrancelh|c[ií]lio|lash|micropigment|showbrancelhas""), ""Sobrancelhas e Cílios"", REGEXMATCH(LOWER(A200), ""maquia|make""), ""Maquiagem"", RE"&amp;"GEXMATCH(LOWER(A200), ""depil|epil""), ""Depilação"", REGEXMATCH(LOWER(A200), ""esmalteria|unha|nail|manicur|spa dos p[eé]s|kauu_nhas""), ""Manicure - Esmalteria"", REGEXMATCH(LOWER(A200), ""est[eé]tic|bronze|massot|terap|pilates|revitalize|dra""), ""Clín"&amp;"ica de Estética"", TRUE, ""Salão de Beleza""))"),"Sobrancelhas e Cílios")</f>
        <v>Sobrancelhas e Cílios</v>
      </c>
    </row>
    <row r="201">
      <c r="A201" s="1" t="s">
        <v>1494</v>
      </c>
      <c r="D201" s="1" t="s">
        <v>1495</v>
      </c>
      <c r="E201" s="1" t="s">
        <v>1496</v>
      </c>
      <c r="F201" s="1" t="s">
        <v>1497</v>
      </c>
      <c r="G201" s="3" t="str">
        <f>IFERROR(__xludf.DUMMYFUNCTION("AI(""Preencha um valor adequado para esta célula com base no contexto da tabela"")"),"Timon - MA")</f>
        <v>Timon - MA</v>
      </c>
      <c r="H201" s="2" t="s">
        <v>1498</v>
      </c>
      <c r="I201" s="1" t="s">
        <v>1499</v>
      </c>
      <c r="J201" s="3" t="str">
        <f>IFERROR(__xludf.DUMMYFUNCTION("IF(A201="""", """", IFS(REGEXMATCH(LOWER(A201), ""barbearia|barber""), ""Barbearia"", REGEXMATCH(LOWER(A201), ""sobrancelh|c[ií]lio|lash|micropigment|showbrancelhas""), ""Sobrancelhas e Cílios"", REGEXMATCH(LOWER(A201), ""maquia|make""), ""Maquiagem"", RE"&amp;"GEXMATCH(LOWER(A201), ""depil|epil""), ""Depilação"", REGEXMATCH(LOWER(A201), ""esmalteria|unha|nail|manicur|spa dos p[eé]s|kauu_nhas""), ""Manicure - Esmalteria"", REGEXMATCH(LOWER(A201), ""est[eé]tic|bronze|massot|terap|pilates|revitalize|dra""), ""Clín"&amp;"ica de Estética"", TRUE, ""Salão de Beleza""))"),"Manicure - Esmalteria")</f>
        <v>Manicure - Esmalteria</v>
      </c>
    </row>
    <row r="202">
      <c r="A202" s="1" t="s">
        <v>1500</v>
      </c>
      <c r="B202" s="1" t="s">
        <v>1501</v>
      </c>
      <c r="C202" s="1" t="s">
        <v>1502</v>
      </c>
      <c r="D202" s="1" t="s">
        <v>1503</v>
      </c>
      <c r="E202" s="1" t="s">
        <v>1504</v>
      </c>
      <c r="F202" s="1" t="s">
        <v>1505</v>
      </c>
      <c r="G202" s="3" t="str">
        <f>IFERROR(__xludf.DUMMYFUNCTION("AI(""Preencha um valor adequado para esta célula com base no contexto da tabela"")"),"Timon - MA")</f>
        <v>Timon - MA</v>
      </c>
      <c r="H202" s="2" t="s">
        <v>1506</v>
      </c>
      <c r="I202" s="1" t="s">
        <v>682</v>
      </c>
      <c r="J202" s="3" t="str">
        <f>IFERROR(__xludf.DUMMYFUNCTION("IF(A202="""", """", IFS(REGEXMATCH(LOWER(A202), ""barbearia|barber""), ""Barbearia"", REGEXMATCH(LOWER(A202), ""sobrancelh|c[ií]lio|lash|micropigment|showbrancelhas""), ""Sobrancelhas e Cílios"", REGEXMATCH(LOWER(A202), ""maquia|make""), ""Maquiagem"", RE"&amp;"GEXMATCH(LOWER(A202), ""depil|epil""), ""Depilação"", REGEXMATCH(LOWER(A202), ""esmalteria|unha|nail|manicur|spa dos p[eé]s|kauu_nhas""), ""Manicure - Esmalteria"", REGEXMATCH(LOWER(A202), ""est[eé]tic|bronze|massot|terap|pilates|revitalize|dra""), ""Clín"&amp;"ica de Estética"", TRUE, ""Salão de Beleza""))"),"Manicure - Esmalteria")</f>
        <v>Manicure - Esmalteria</v>
      </c>
    </row>
    <row r="203">
      <c r="A203" s="1" t="s">
        <v>1507</v>
      </c>
      <c r="D203" s="1" t="s">
        <v>1508</v>
      </c>
      <c r="E203" s="1" t="s">
        <v>1509</v>
      </c>
      <c r="F203" s="1" t="s">
        <v>1510</v>
      </c>
      <c r="G203" s="3" t="str">
        <f>IFERROR(__xludf.DUMMYFUNCTION("AI(""Preencha um valor adequado para esta célula com base no contexto da tabela"")"),"Timon - MA")</f>
        <v>Timon - MA</v>
      </c>
      <c r="H203" s="2" t="s">
        <v>1511</v>
      </c>
      <c r="J203" s="3" t="str">
        <f>IFERROR(__xludf.DUMMYFUNCTION("IF(A203="""", """", IFS(REGEXMATCH(LOWER(A203), ""barbearia|barber""), ""Barbearia"", REGEXMATCH(LOWER(A203), ""sobrancelh|c[ií]lio|lash|micropigment|showbrancelhas""), ""Sobrancelhas e Cílios"", REGEXMATCH(LOWER(A203), ""maquia|make""), ""Maquiagem"", RE"&amp;"GEXMATCH(LOWER(A203), ""depil|epil""), ""Depilação"", REGEXMATCH(LOWER(A203), ""esmalteria|unha|nail|manicur|spa dos p[eé]s|kauu_nhas""), ""Manicure - Esmalteria"", REGEXMATCH(LOWER(A203), ""est[eé]tic|bronze|massot|terap|pilates|revitalize|dra""), ""Clín"&amp;"ica de Estética"", TRUE, ""Salão de Beleza""))"),"Salão de Beleza")</f>
        <v>Salão de Beleza</v>
      </c>
    </row>
    <row r="204">
      <c r="A204" s="1" t="s">
        <v>1512</v>
      </c>
      <c r="D204" s="1" t="s">
        <v>1513</v>
      </c>
      <c r="E204" s="1" t="s">
        <v>1514</v>
      </c>
      <c r="F204" s="1" t="s">
        <v>1515</v>
      </c>
      <c r="G204" s="3" t="str">
        <f>IFERROR(__xludf.DUMMYFUNCTION("AI(""Preencha um valor adequado para esta célula com base no contexto da tabela"")"),"Timon - MA")</f>
        <v>Timon - MA</v>
      </c>
      <c r="H204" s="2" t="s">
        <v>1516</v>
      </c>
      <c r="I204" s="1" t="s">
        <v>1517</v>
      </c>
      <c r="J204" s="3" t="str">
        <f>IFERROR(__xludf.DUMMYFUNCTION("IF(A204="""", """", IFS(REGEXMATCH(LOWER(A204), ""barbearia|barber""), ""Barbearia"", REGEXMATCH(LOWER(A204), ""sobrancelh|c[ií]lio|lash|micropigment|showbrancelhas""), ""Sobrancelhas e Cílios"", REGEXMATCH(LOWER(A204), ""maquia|make""), ""Maquiagem"", RE"&amp;"GEXMATCH(LOWER(A204), ""depil|epil""), ""Depilação"", REGEXMATCH(LOWER(A204), ""esmalteria|unha|nail|manicur|spa dos p[eé]s|kauu_nhas""), ""Manicure - Esmalteria"", REGEXMATCH(LOWER(A204), ""est[eé]tic|bronze|massot|terap|pilates|revitalize|dra""), ""Clín"&amp;"ica de Estética"", TRUE, ""Salão de Beleza""))"),"Salão de Beleza")</f>
        <v>Salão de Beleza</v>
      </c>
    </row>
    <row r="205">
      <c r="A205" s="1" t="s">
        <v>1518</v>
      </c>
      <c r="B205" s="1" t="s">
        <v>1519</v>
      </c>
      <c r="C205" s="1" t="s">
        <v>1520</v>
      </c>
      <c r="D205" s="1" t="s">
        <v>1521</v>
      </c>
      <c r="E205" s="1" t="s">
        <v>1522</v>
      </c>
      <c r="F205" s="1" t="s">
        <v>1523</v>
      </c>
      <c r="G205" s="3" t="str">
        <f>IFERROR(__xludf.DUMMYFUNCTION("AI(""Preencha um valor adequado para esta célula com base no contexto da tabela"")"),"Timon - MA")</f>
        <v>Timon - MA</v>
      </c>
      <c r="H205" s="2" t="s">
        <v>1524</v>
      </c>
      <c r="I205" s="1" t="s">
        <v>1525</v>
      </c>
      <c r="J205" s="3" t="str">
        <f>IFERROR(__xludf.DUMMYFUNCTION("IF(A205="""", """", IFS(REGEXMATCH(LOWER(A205), ""barbearia|barber""), ""Barbearia"", REGEXMATCH(LOWER(A205), ""sobrancelh|c[ií]lio|lash|micropigment|showbrancelhas""), ""Sobrancelhas e Cílios"", REGEXMATCH(LOWER(A205), ""maquia|make""), ""Maquiagem"", RE"&amp;"GEXMATCH(LOWER(A205), ""depil|epil""), ""Depilação"", REGEXMATCH(LOWER(A205), ""esmalteria|unha|nail|manicur|spa dos p[eé]s|kauu_nhas""), ""Manicure - Esmalteria"", REGEXMATCH(LOWER(A205), ""est[eé]tic|bronze|massot|terap|pilates|revitalize|dra""), ""Clín"&amp;"ica de Estética"", TRUE, ""Salão de Beleza""))"),"Salão de Beleza")</f>
        <v>Salão de Beleza</v>
      </c>
    </row>
    <row r="206">
      <c r="A206" s="1" t="s">
        <v>1526</v>
      </c>
      <c r="B206" s="1" t="s">
        <v>1527</v>
      </c>
      <c r="C206" s="1" t="s">
        <v>1528</v>
      </c>
      <c r="D206" s="1" t="s">
        <v>1529</v>
      </c>
      <c r="E206" s="1" t="s">
        <v>1530</v>
      </c>
      <c r="F206" s="1" t="s">
        <v>1531</v>
      </c>
      <c r="G206" s="3" t="str">
        <f>IFERROR(__xludf.DUMMYFUNCTION("AI(""Preencha um valor adequado para esta célula com base no contexto da tabela"")"),"Timon - MA")</f>
        <v>Timon - MA</v>
      </c>
      <c r="H206" s="2" t="s">
        <v>1532</v>
      </c>
      <c r="I206" s="1" t="s">
        <v>1533</v>
      </c>
      <c r="J206" s="3" t="str">
        <f>IFERROR(__xludf.DUMMYFUNCTION("IF(A206="""", """", IFS(REGEXMATCH(LOWER(A206), ""barbearia|barber""), ""Barbearia"", REGEXMATCH(LOWER(A206), ""sobrancelh|c[ií]lio|lash|micropigment|showbrancelhas""), ""Sobrancelhas e Cílios"", REGEXMATCH(LOWER(A206), ""maquia|make""), ""Maquiagem"", RE"&amp;"GEXMATCH(LOWER(A206), ""depil|epil""), ""Depilação"", REGEXMATCH(LOWER(A206), ""esmalteria|unha|nail|manicur|spa dos p[eé]s|kauu_nhas""), ""Manicure - Esmalteria"", REGEXMATCH(LOWER(A206), ""est[eé]tic|bronze|massot|terap|pilates|revitalize|dra""), ""Clín"&amp;"ica de Estética"", TRUE, ""Salão de Beleza""))"),"Sobrancelhas e Cílios")</f>
        <v>Sobrancelhas e Cílios</v>
      </c>
    </row>
    <row r="207">
      <c r="A207" s="1" t="s">
        <v>1534</v>
      </c>
      <c r="D207" s="1" t="s">
        <v>1535</v>
      </c>
      <c r="E207" s="1" t="s">
        <v>1536</v>
      </c>
      <c r="F207" s="1" t="s">
        <v>1537</v>
      </c>
      <c r="G207" s="3" t="str">
        <f>IFERROR(__xludf.DUMMYFUNCTION("AI(""Preencha um valor adequado para esta célula com base no contexto da tabela"")"),"Timon - MA")</f>
        <v>Timon - MA</v>
      </c>
      <c r="H207" s="2" t="s">
        <v>1538</v>
      </c>
      <c r="I207" s="1" t="s">
        <v>1539</v>
      </c>
      <c r="J207" s="3" t="str">
        <f>IFERROR(__xludf.DUMMYFUNCTION("IF(A207="""", """", IFS(REGEXMATCH(LOWER(A207), ""barbearia|barber""), ""Barbearia"", REGEXMATCH(LOWER(A207), ""sobrancelh|c[ií]lio|lash|micropigment|showbrancelhas""), ""Sobrancelhas e Cílios"", REGEXMATCH(LOWER(A207), ""maquia|make""), ""Maquiagem"", RE"&amp;"GEXMATCH(LOWER(A207), ""depil|epil""), ""Depilação"", REGEXMATCH(LOWER(A207), ""esmalteria|unha|nail|manicur|spa dos p[eé]s|kauu_nhas""), ""Manicure - Esmalteria"", REGEXMATCH(LOWER(A207), ""est[eé]tic|bronze|massot|terap|pilates|revitalize|dra""), ""Clín"&amp;"ica de Estética"", TRUE, ""Salão de Beleza""))"),"Salão de Beleza")</f>
        <v>Salão de Beleza</v>
      </c>
    </row>
    <row r="208">
      <c r="A208" s="1" t="s">
        <v>1540</v>
      </c>
      <c r="B208" s="1" t="s">
        <v>1541</v>
      </c>
      <c r="C208" s="1" t="s">
        <v>1542</v>
      </c>
      <c r="D208" s="1" t="s">
        <v>1543</v>
      </c>
      <c r="E208" s="1" t="s">
        <v>1544</v>
      </c>
      <c r="F208" s="1" t="s">
        <v>1545</v>
      </c>
      <c r="G208" s="3" t="str">
        <f>IFERROR(__xludf.DUMMYFUNCTION("AI(""Preencha um valor adequado para esta célula com base no contexto da tabela"")"),"Timon - MA")</f>
        <v>Timon - MA</v>
      </c>
      <c r="H208" s="2" t="s">
        <v>1546</v>
      </c>
      <c r="I208" s="1" t="s">
        <v>1547</v>
      </c>
      <c r="J208" s="3" t="str">
        <f>IFERROR(__xludf.DUMMYFUNCTION("IF(A208="""", """", IFS(REGEXMATCH(LOWER(A208), ""barbearia|barber""), ""Barbearia"", REGEXMATCH(LOWER(A208), ""sobrancelh|c[ií]lio|lash|micropigment|showbrancelhas""), ""Sobrancelhas e Cílios"", REGEXMATCH(LOWER(A208), ""maquia|make""), ""Maquiagem"", RE"&amp;"GEXMATCH(LOWER(A208), ""depil|epil""), ""Depilação"", REGEXMATCH(LOWER(A208), ""esmalteria|unha|nail|manicur|spa dos p[eé]s|kauu_nhas""), ""Manicure - Esmalteria"", REGEXMATCH(LOWER(A208), ""est[eé]tic|bronze|massot|terap|pilates|revitalize|dra""), ""Clín"&amp;"ica de Estética"", TRUE, ""Salão de Beleza""))"),"Clínica de Estética")</f>
        <v>Clínica de Estética</v>
      </c>
    </row>
    <row r="209">
      <c r="A209" s="1" t="s">
        <v>1548</v>
      </c>
      <c r="D209" s="1" t="s">
        <v>1549</v>
      </c>
      <c r="E209" s="1" t="s">
        <v>1550</v>
      </c>
      <c r="F209" s="1" t="s">
        <v>1551</v>
      </c>
      <c r="G209" s="3" t="str">
        <f>IFERROR(__xludf.DUMMYFUNCTION("AI(""Preencha um valor adequado para esta célula com base no contexto da tabela"")"),"Timon - MA")</f>
        <v>Timon - MA</v>
      </c>
      <c r="H209" s="2" t="s">
        <v>1552</v>
      </c>
      <c r="J209" s="3" t="str">
        <f>IFERROR(__xludf.DUMMYFUNCTION("IF(A209="""", """", IFS(REGEXMATCH(LOWER(A209), ""barbearia|barber""), ""Barbearia"", REGEXMATCH(LOWER(A209), ""sobrancelh|c[ií]lio|lash|micropigment|showbrancelhas""), ""Sobrancelhas e Cílios"", REGEXMATCH(LOWER(A209), ""maquia|make""), ""Maquiagem"", RE"&amp;"GEXMATCH(LOWER(A209), ""depil|epil""), ""Depilação"", REGEXMATCH(LOWER(A209), ""esmalteria|unha|nail|manicur|spa dos p[eé]s|kauu_nhas""), ""Manicure - Esmalteria"", REGEXMATCH(LOWER(A209), ""est[eé]tic|bronze|massot|terap|pilates|revitalize|dra""), ""Clín"&amp;"ica de Estética"", TRUE, ""Salão de Beleza""))"),"Salão de Beleza")</f>
        <v>Salão de Beleza</v>
      </c>
    </row>
    <row r="210">
      <c r="A210" s="1" t="s">
        <v>1553</v>
      </c>
      <c r="B210" s="1" t="s">
        <v>1300</v>
      </c>
      <c r="C210" s="1" t="s">
        <v>1301</v>
      </c>
      <c r="D210" s="1" t="s">
        <v>1554</v>
      </c>
      <c r="E210" s="1" t="s">
        <v>1555</v>
      </c>
      <c r="F210" s="1" t="s">
        <v>1556</v>
      </c>
      <c r="G210" s="3" t="str">
        <f>IFERROR(__xludf.DUMMYFUNCTION("AI(""Preencha um valor adequado para esta célula com base no contexto da tabela"")"),"Timon - MA")</f>
        <v>Timon - MA</v>
      </c>
      <c r="H210" s="2" t="s">
        <v>1557</v>
      </c>
      <c r="I210" s="1" t="s">
        <v>1558</v>
      </c>
      <c r="J210" s="3" t="str">
        <f>IFERROR(__xludf.DUMMYFUNCTION("IF(A210="""", """", IFS(REGEXMATCH(LOWER(A210), ""barbearia|barber""), ""Barbearia"", REGEXMATCH(LOWER(A210), ""sobrancelh|c[ií]lio|lash|micropigment|showbrancelhas""), ""Sobrancelhas e Cílios"", REGEXMATCH(LOWER(A210), ""maquia|make""), ""Maquiagem"", RE"&amp;"GEXMATCH(LOWER(A210), ""depil|epil""), ""Depilação"", REGEXMATCH(LOWER(A210), ""esmalteria|unha|nail|manicur|spa dos p[eé]s|kauu_nhas""), ""Manicure - Esmalteria"", REGEXMATCH(LOWER(A210), ""est[eé]tic|bronze|massot|terap|pilates|revitalize|dra""), ""Clín"&amp;"ica de Estética"", TRUE, ""Salão de Beleza""))"),"Salão de Beleza")</f>
        <v>Salão de Beleza</v>
      </c>
    </row>
    <row r="211">
      <c r="A211" s="1" t="s">
        <v>1559</v>
      </c>
      <c r="B211" s="1" t="s">
        <v>1560</v>
      </c>
      <c r="C211" s="1" t="s">
        <v>1561</v>
      </c>
      <c r="D211" s="1" t="s">
        <v>1562</v>
      </c>
      <c r="E211" s="1" t="s">
        <v>1563</v>
      </c>
      <c r="F211" s="1" t="s">
        <v>1564</v>
      </c>
      <c r="G211" s="3" t="str">
        <f>IFERROR(__xludf.DUMMYFUNCTION("AI(""Preencha um valor adequado para esta célula com base no contexto da tabela"")"),"Timon - MA")</f>
        <v>Timon - MA</v>
      </c>
      <c r="H211" s="2" t="s">
        <v>1565</v>
      </c>
      <c r="I211" s="1" t="s">
        <v>1566</v>
      </c>
      <c r="J211" s="3" t="str">
        <f>IFERROR(__xludf.DUMMYFUNCTION("IF(A211="""", """", IFS(REGEXMATCH(LOWER(A211), ""barbearia|barber""), ""Barbearia"", REGEXMATCH(LOWER(A211), ""sobrancelh|c[ií]lio|lash|micropigment|showbrancelhas""), ""Sobrancelhas e Cílios"", REGEXMATCH(LOWER(A211), ""maquia|make""), ""Maquiagem"", RE"&amp;"GEXMATCH(LOWER(A211), ""depil|epil""), ""Depilação"", REGEXMATCH(LOWER(A211), ""esmalteria|unha|nail|manicur|spa dos p[eé]s|kauu_nhas""), ""Manicure - Esmalteria"", REGEXMATCH(LOWER(A211), ""est[eé]tic|bronze|massot|terap|pilates|revitalize|dra""), ""Clín"&amp;"ica de Estética"", TRUE, ""Salão de Beleza""))"),"Salão de Beleza")</f>
        <v>Salão de Beleza</v>
      </c>
    </row>
    <row r="212">
      <c r="A212" s="1" t="s">
        <v>463</v>
      </c>
      <c r="D212" s="1" t="s">
        <v>1567</v>
      </c>
      <c r="E212" s="1" t="s">
        <v>1568</v>
      </c>
      <c r="F212" s="1" t="s">
        <v>1569</v>
      </c>
      <c r="G212" s="3" t="str">
        <f>IFERROR(__xludf.DUMMYFUNCTION("AI(""Preencha um valor adequado para esta célula com base no contexto da tabela"")"),"Timon - MA")</f>
        <v>Timon - MA</v>
      </c>
      <c r="H212" s="2" t="s">
        <v>1570</v>
      </c>
      <c r="I212" s="1" t="s">
        <v>1571</v>
      </c>
      <c r="J212" s="3" t="str">
        <f>IFERROR(__xludf.DUMMYFUNCTION("IF(A212="""", """", IFS(REGEXMATCH(LOWER(A212), ""barbearia|barber""), ""Barbearia"", REGEXMATCH(LOWER(A212), ""sobrancelh|c[ií]lio|lash|micropigment|showbrancelhas""), ""Sobrancelhas e Cílios"", REGEXMATCH(LOWER(A212), ""maquia|make""), ""Maquiagem"", RE"&amp;"GEXMATCH(LOWER(A212), ""depil|epil""), ""Depilação"", REGEXMATCH(LOWER(A212), ""esmalteria|unha|nail|manicur|spa dos p[eé]s|kauu_nhas""), ""Manicure - Esmalteria"", REGEXMATCH(LOWER(A212), ""est[eé]tic|bronze|massot|terap|pilates|revitalize|dra""), ""Clín"&amp;"ica de Estética"", TRUE, ""Salão de Beleza""))"),"Salão de Beleza")</f>
        <v>Salão de Beleza</v>
      </c>
    </row>
    <row r="213">
      <c r="A213" s="1" t="s">
        <v>1572</v>
      </c>
      <c r="D213" s="1" t="s">
        <v>1573</v>
      </c>
      <c r="E213" s="1" t="s">
        <v>1574</v>
      </c>
      <c r="F213" s="1" t="s">
        <v>1575</v>
      </c>
      <c r="G213" s="3" t="str">
        <f>IFERROR(__xludf.DUMMYFUNCTION("AI(""Preencha um valor adequado para esta célula com base no contexto da tabela"")"),"Timon - MA")</f>
        <v>Timon - MA</v>
      </c>
      <c r="H213" s="2" t="s">
        <v>1576</v>
      </c>
      <c r="I213" s="1" t="s">
        <v>1577</v>
      </c>
      <c r="J213" s="3" t="str">
        <f>IFERROR(__xludf.DUMMYFUNCTION("IF(A213="""", """", IFS(REGEXMATCH(LOWER(A213), ""barbearia|barber""), ""Barbearia"", REGEXMATCH(LOWER(A213), ""sobrancelh|c[ií]lio|lash|micropigment|showbrancelhas""), ""Sobrancelhas e Cílios"", REGEXMATCH(LOWER(A213), ""maquia|make""), ""Maquiagem"", RE"&amp;"GEXMATCH(LOWER(A213), ""depil|epil""), ""Depilação"", REGEXMATCH(LOWER(A213), ""esmalteria|unha|nail|manicur|spa dos p[eé]s|kauu_nhas""), ""Manicure - Esmalteria"", REGEXMATCH(LOWER(A213), ""est[eé]tic|bronze|massot|terap|pilates|revitalize|dra""), ""Clín"&amp;"ica de Estética"", TRUE, ""Salão de Beleza""))"),"Salão de Beleza")</f>
        <v>Salão de Beleza</v>
      </c>
    </row>
    <row r="214">
      <c r="A214" s="1" t="s">
        <v>1578</v>
      </c>
      <c r="D214" s="1" t="s">
        <v>1579</v>
      </c>
      <c r="E214" s="1" t="s">
        <v>1580</v>
      </c>
      <c r="F214" s="1" t="s">
        <v>1581</v>
      </c>
      <c r="G214" s="3" t="str">
        <f>IFERROR(__xludf.DUMMYFUNCTION("AI(""Preencha um valor adequado para esta célula com base no contexto da tabela"")"),"Timon - MA")</f>
        <v>Timon - MA</v>
      </c>
      <c r="H214" s="2" t="s">
        <v>1582</v>
      </c>
      <c r="I214" s="1" t="s">
        <v>1583</v>
      </c>
      <c r="J214" s="3" t="str">
        <f>IFERROR(__xludf.DUMMYFUNCTION("IF(A214="""", """", IFS(REGEXMATCH(LOWER(A214), ""barbearia|barber""), ""Barbearia"", REGEXMATCH(LOWER(A214), ""sobrancelh|c[ií]lio|lash|micropigment|showbrancelhas""), ""Sobrancelhas e Cílios"", REGEXMATCH(LOWER(A214), ""maquia|make""), ""Maquiagem"", RE"&amp;"GEXMATCH(LOWER(A214), ""depil|epil""), ""Depilação"", REGEXMATCH(LOWER(A214), ""esmalteria|unha|nail|manicur|spa dos p[eé]s|kauu_nhas""), ""Manicure - Esmalteria"", REGEXMATCH(LOWER(A214), ""est[eé]tic|bronze|massot|terap|pilates|revitalize|dra""), ""Clín"&amp;"ica de Estética"", TRUE, ""Salão de Beleza""))"),"Salão de Beleza")</f>
        <v>Salão de Beleza</v>
      </c>
    </row>
    <row r="215">
      <c r="A215" s="1" t="s">
        <v>1584</v>
      </c>
      <c r="B215" s="1" t="s">
        <v>1585</v>
      </c>
      <c r="C215" s="1" t="s">
        <v>1586</v>
      </c>
      <c r="D215" s="1" t="s">
        <v>1587</v>
      </c>
      <c r="E215" s="1" t="s">
        <v>1588</v>
      </c>
      <c r="F215" s="1" t="s">
        <v>1589</v>
      </c>
      <c r="G215" s="3" t="str">
        <f>IFERROR(__xludf.DUMMYFUNCTION("AI(""Preencha um valor adequado para esta célula com base no contexto da tabela"")"),"Timon - MA")</f>
        <v>Timon - MA</v>
      </c>
      <c r="H215" s="2" t="s">
        <v>1590</v>
      </c>
      <c r="I215" s="1" t="s">
        <v>1591</v>
      </c>
      <c r="J215" s="3" t="str">
        <f>IFERROR(__xludf.DUMMYFUNCTION("IF(A215="""", """", IFS(REGEXMATCH(LOWER(A215), ""barbearia|barber""), ""Barbearia"", REGEXMATCH(LOWER(A215), ""sobrancelh|c[ií]lio|lash|micropigment|showbrancelhas""), ""Sobrancelhas e Cílios"", REGEXMATCH(LOWER(A215), ""maquia|make""), ""Maquiagem"", RE"&amp;"GEXMATCH(LOWER(A215), ""depil|epil""), ""Depilação"", REGEXMATCH(LOWER(A215), ""esmalteria|unha|nail|manicur|spa dos p[eé]s|kauu_nhas""), ""Manicure - Esmalteria"", REGEXMATCH(LOWER(A215), ""est[eé]tic|bronze|massot|terap|pilates|revitalize|dra""), ""Clín"&amp;"ica de Estética"", TRUE, ""Salão de Beleza""))"),"Salão de Beleza")</f>
        <v>Salão de Beleza</v>
      </c>
    </row>
    <row r="216">
      <c r="A216" s="1" t="s">
        <v>1592</v>
      </c>
      <c r="D216" s="1" t="s">
        <v>1593</v>
      </c>
      <c r="E216" s="1" t="s">
        <v>1594</v>
      </c>
      <c r="F216" s="1" t="s">
        <v>1595</v>
      </c>
      <c r="G216" s="3" t="str">
        <f>IFERROR(__xludf.DUMMYFUNCTION("AI(""Preencha um valor adequado para esta célula com base no contexto da tabela"")"),"Timon - MA")</f>
        <v>Timon - MA</v>
      </c>
      <c r="H216" s="2" t="s">
        <v>1596</v>
      </c>
      <c r="J216" s="3" t="str">
        <f>IFERROR(__xludf.DUMMYFUNCTION("IF(A216="""", """", IFS(REGEXMATCH(LOWER(A216), ""barbearia|barber""), ""Barbearia"", REGEXMATCH(LOWER(A216), ""sobrancelh|c[ií]lio|lash|micropigment|showbrancelhas""), ""Sobrancelhas e Cílios"", REGEXMATCH(LOWER(A216), ""maquia|make""), ""Maquiagem"", RE"&amp;"GEXMATCH(LOWER(A216), ""depil|epil""), ""Depilação"", REGEXMATCH(LOWER(A216), ""esmalteria|unha|nail|manicur|spa dos p[eé]s|kauu_nhas""), ""Manicure - Esmalteria"", REGEXMATCH(LOWER(A216), ""est[eé]tic|bronze|massot|terap|pilates|revitalize|dra""), ""Clín"&amp;"ica de Estética"", TRUE, ""Salão de Beleza""))"),"Salão de Beleza")</f>
        <v>Salão de Beleza</v>
      </c>
    </row>
    <row r="217">
      <c r="A217" s="1" t="s">
        <v>1597</v>
      </c>
      <c r="D217" s="1" t="s">
        <v>1598</v>
      </c>
      <c r="E217" s="1" t="s">
        <v>1599</v>
      </c>
      <c r="F217" s="1" t="s">
        <v>1600</v>
      </c>
      <c r="G217" s="3" t="str">
        <f>IFERROR(__xludf.DUMMYFUNCTION("AI(""Preencha um valor adequado para esta célula com base no contexto da tabela"")"),"Timon - MA")</f>
        <v>Timon - MA</v>
      </c>
      <c r="H217" s="2" t="s">
        <v>1601</v>
      </c>
      <c r="J217" s="3" t="str">
        <f>IFERROR(__xludf.DUMMYFUNCTION("IF(A217="""", """", IFS(REGEXMATCH(LOWER(A217), ""barbearia|barber""), ""Barbearia"", REGEXMATCH(LOWER(A217), ""sobrancelh|c[ií]lio|lash|micropigment|showbrancelhas""), ""Sobrancelhas e Cílios"", REGEXMATCH(LOWER(A217), ""maquia|make""), ""Maquiagem"", RE"&amp;"GEXMATCH(LOWER(A217), ""depil|epil""), ""Depilação"", REGEXMATCH(LOWER(A217), ""esmalteria|unha|nail|manicur|spa dos p[eé]s|kauu_nhas""), ""Manicure - Esmalteria"", REGEXMATCH(LOWER(A217), ""est[eé]tic|bronze|massot|terap|pilates|revitalize|dra""), ""Clín"&amp;"ica de Estética"", TRUE, ""Salão de Beleza""))"),"Salão de Beleza")</f>
        <v>Salão de Beleza</v>
      </c>
    </row>
    <row r="218">
      <c r="A218" s="1" t="s">
        <v>1602</v>
      </c>
      <c r="D218" s="1" t="s">
        <v>1603</v>
      </c>
      <c r="E218" s="1" t="s">
        <v>1604</v>
      </c>
      <c r="F218" s="1" t="s">
        <v>1605</v>
      </c>
      <c r="G218" s="3" t="str">
        <f>IFERROR(__xludf.DUMMYFUNCTION("AI(""Preencha um valor adequado para esta célula com base no contexto da tabela"")"),"Timon - MA")</f>
        <v>Timon - MA</v>
      </c>
      <c r="H218" s="2" t="s">
        <v>1606</v>
      </c>
      <c r="I218" s="1" t="s">
        <v>1607</v>
      </c>
      <c r="J218" s="3" t="str">
        <f>IFERROR(__xludf.DUMMYFUNCTION("IF(A218="""", """", IFS(REGEXMATCH(LOWER(A218), ""barbearia|barber""), ""Barbearia"", REGEXMATCH(LOWER(A218), ""sobrancelh|c[ií]lio|lash|micropigment|showbrancelhas""), ""Sobrancelhas e Cílios"", REGEXMATCH(LOWER(A218), ""maquia|make""), ""Maquiagem"", RE"&amp;"GEXMATCH(LOWER(A218), ""depil|epil""), ""Depilação"", REGEXMATCH(LOWER(A218), ""esmalteria|unha|nail|manicur|spa dos p[eé]s|kauu_nhas""), ""Manicure - Esmalteria"", REGEXMATCH(LOWER(A218), ""est[eé]tic|bronze|massot|terap|pilates|revitalize|dra""), ""Clín"&amp;"ica de Estética"", TRUE, ""Salão de Beleza""))"),"Salão de Beleza")</f>
        <v>Salão de Beleza</v>
      </c>
    </row>
    <row r="219">
      <c r="A219" s="1" t="s">
        <v>1608</v>
      </c>
      <c r="B219" s="1" t="s">
        <v>1609</v>
      </c>
      <c r="C219" s="1" t="s">
        <v>1610</v>
      </c>
      <c r="D219" s="1" t="s">
        <v>1611</v>
      </c>
      <c r="E219" s="1" t="s">
        <v>1612</v>
      </c>
      <c r="F219" s="1" t="s">
        <v>1613</v>
      </c>
      <c r="G219" s="3" t="str">
        <f>IFERROR(__xludf.DUMMYFUNCTION("AI(""Preencha um valor adequado para esta célula com base no contexto da tabela"")"),"Timon - MA")</f>
        <v>Timon - MA</v>
      </c>
      <c r="H219" s="2" t="s">
        <v>1614</v>
      </c>
      <c r="I219" s="1" t="s">
        <v>1615</v>
      </c>
      <c r="J219" s="3" t="str">
        <f>IFERROR(__xludf.DUMMYFUNCTION("IF(A219="""", """", IFS(REGEXMATCH(LOWER(A219), ""barbearia|barber""), ""Barbearia"", REGEXMATCH(LOWER(A219), ""sobrancelh|c[ií]lio|lash|micropigment|showbrancelhas""), ""Sobrancelhas e Cílios"", REGEXMATCH(LOWER(A219), ""maquia|make""), ""Maquiagem"", RE"&amp;"GEXMATCH(LOWER(A219), ""depil|epil""), ""Depilação"", REGEXMATCH(LOWER(A219), ""esmalteria|unha|nail|manicur|spa dos p[eé]s|kauu_nhas""), ""Manicure - Esmalteria"", REGEXMATCH(LOWER(A219), ""est[eé]tic|bronze|massot|terap|pilates|revitalize|dra""), ""Clín"&amp;"ica de Estética"", TRUE, ""Salão de Beleza""))"),"Salão de Beleza")</f>
        <v>Salão de Beleza</v>
      </c>
    </row>
    <row r="220">
      <c r="A220" s="1" t="s">
        <v>1616</v>
      </c>
      <c r="B220" s="1" t="s">
        <v>1617</v>
      </c>
      <c r="C220" s="1" t="s">
        <v>1618</v>
      </c>
      <c r="D220" s="1" t="s">
        <v>1619</v>
      </c>
      <c r="E220" s="1" t="s">
        <v>1620</v>
      </c>
      <c r="F220" s="1" t="s">
        <v>1621</v>
      </c>
      <c r="G220" s="3" t="str">
        <f>IFERROR(__xludf.DUMMYFUNCTION("AI(""Preencha um valor adequado para esta célula com base no contexto da tabela"")"),"Timon - MA")</f>
        <v>Timon - MA</v>
      </c>
      <c r="H220" s="2" t="s">
        <v>1622</v>
      </c>
      <c r="I220" s="1" t="s">
        <v>1623</v>
      </c>
      <c r="J220" s="3" t="str">
        <f>IFERROR(__xludf.DUMMYFUNCTION("IF(A220="""", """", IFS(REGEXMATCH(LOWER(A220), ""barbearia|barber""), ""Barbearia"", REGEXMATCH(LOWER(A220), ""sobrancelh|c[ií]lio|lash|micropigment|showbrancelhas""), ""Sobrancelhas e Cílios"", REGEXMATCH(LOWER(A220), ""maquia|make""), ""Maquiagem"", RE"&amp;"GEXMATCH(LOWER(A220), ""depil|epil""), ""Depilação"", REGEXMATCH(LOWER(A220), ""esmalteria|unha|nail|manicur|spa dos p[eé]s|kauu_nhas""), ""Manicure - Esmalteria"", REGEXMATCH(LOWER(A220), ""est[eé]tic|bronze|massot|terap|pilates|revitalize|dra""), ""Clín"&amp;"ica de Estética"", TRUE, ""Salão de Beleza""))"),"Barbearia")</f>
        <v>Barbearia</v>
      </c>
    </row>
    <row r="221">
      <c r="A221" s="1" t="s">
        <v>1624</v>
      </c>
      <c r="B221" s="1" t="s">
        <v>1625</v>
      </c>
      <c r="C221" s="1" t="s">
        <v>1626</v>
      </c>
      <c r="D221" s="1" t="s">
        <v>1627</v>
      </c>
      <c r="E221" s="1" t="s">
        <v>1628</v>
      </c>
      <c r="F221" s="1" t="s">
        <v>1629</v>
      </c>
      <c r="G221" s="3" t="str">
        <f>IFERROR(__xludf.DUMMYFUNCTION("AI(""Preencha um valor adequado para esta célula com base no contexto da tabela"")"),"Timon - MA")</f>
        <v>Timon - MA</v>
      </c>
      <c r="H221" s="2" t="s">
        <v>1630</v>
      </c>
      <c r="I221" s="1" t="s">
        <v>1631</v>
      </c>
      <c r="J221" s="3" t="str">
        <f>IFERROR(__xludf.DUMMYFUNCTION("IF(A221="""", """", IFS(REGEXMATCH(LOWER(A221), ""barbearia|barber""), ""Barbearia"", REGEXMATCH(LOWER(A221), ""sobrancelh|c[ií]lio|lash|micropigment|showbrancelhas""), ""Sobrancelhas e Cílios"", REGEXMATCH(LOWER(A221), ""maquia|make""), ""Maquiagem"", RE"&amp;"GEXMATCH(LOWER(A221), ""depil|epil""), ""Depilação"", REGEXMATCH(LOWER(A221), ""esmalteria|unha|nail|manicur|spa dos p[eé]s|kauu_nhas""), ""Manicure - Esmalteria"", REGEXMATCH(LOWER(A221), ""est[eé]tic|bronze|massot|terap|pilates|revitalize|dra""), ""Clín"&amp;"ica de Estética"", TRUE, ""Salão de Beleza""))"),"Salão de Beleza")</f>
        <v>Salão de Beleza</v>
      </c>
    </row>
    <row r="222">
      <c r="A222" s="1" t="s">
        <v>1632</v>
      </c>
      <c r="B222" s="1" t="s">
        <v>1633</v>
      </c>
      <c r="C222" s="1" t="s">
        <v>1634</v>
      </c>
      <c r="D222" s="1" t="s">
        <v>1635</v>
      </c>
      <c r="E222" s="1" t="s">
        <v>1636</v>
      </c>
      <c r="F222" s="1" t="s">
        <v>1637</v>
      </c>
      <c r="G222" s="3" t="str">
        <f>IFERROR(__xludf.DUMMYFUNCTION("AI(""Preencha um valor adequado para esta célula com base no contexto da tabela"")"),"Timon - MA")</f>
        <v>Timon - MA</v>
      </c>
      <c r="H222" s="2" t="s">
        <v>1638</v>
      </c>
      <c r="I222" s="1" t="s">
        <v>1639</v>
      </c>
      <c r="J222" s="3" t="str">
        <f>IFERROR(__xludf.DUMMYFUNCTION("IF(A222="""", """", IFS(REGEXMATCH(LOWER(A222), ""barbearia|barber""), ""Barbearia"", REGEXMATCH(LOWER(A222), ""sobrancelh|c[ií]lio|lash|micropigment|showbrancelhas""), ""Sobrancelhas e Cílios"", REGEXMATCH(LOWER(A222), ""maquia|make""), ""Maquiagem"", RE"&amp;"GEXMATCH(LOWER(A222), ""depil|epil""), ""Depilação"", REGEXMATCH(LOWER(A222), ""esmalteria|unha|nail|manicur|spa dos p[eé]s|kauu_nhas""), ""Manicure - Esmalteria"", REGEXMATCH(LOWER(A222), ""est[eé]tic|bronze|massot|terap|pilates|revitalize|dra""), ""Clín"&amp;"ica de Estética"", TRUE, ""Salão de Beleza""))"),"Salão de Beleza")</f>
        <v>Salão de Beleza</v>
      </c>
    </row>
    <row r="223">
      <c r="A223" s="1" t="s">
        <v>1640</v>
      </c>
      <c r="B223" s="1" t="s">
        <v>1641</v>
      </c>
      <c r="C223" s="1" t="s">
        <v>1642</v>
      </c>
      <c r="D223" s="1" t="s">
        <v>1643</v>
      </c>
      <c r="E223" s="1" t="s">
        <v>1644</v>
      </c>
      <c r="F223" s="1" t="s">
        <v>1645</v>
      </c>
      <c r="G223" s="3" t="str">
        <f>IFERROR(__xludf.DUMMYFUNCTION("AI(""Preencha um valor adequado para esta célula com base no contexto da tabela"")"),"Timon - MA")</f>
        <v>Timon - MA</v>
      </c>
      <c r="H223" s="2" t="s">
        <v>1646</v>
      </c>
      <c r="I223" s="1" t="s">
        <v>1647</v>
      </c>
      <c r="J223" s="3" t="str">
        <f>IFERROR(__xludf.DUMMYFUNCTION("IF(A223="""", """", IFS(REGEXMATCH(LOWER(A223), ""barbearia|barber""), ""Barbearia"", REGEXMATCH(LOWER(A223), ""sobrancelh|c[ií]lio|lash|micropigment|showbrancelhas""), ""Sobrancelhas e Cílios"", REGEXMATCH(LOWER(A223), ""maquia|make""), ""Maquiagem"", RE"&amp;"GEXMATCH(LOWER(A223), ""depil|epil""), ""Depilação"", REGEXMATCH(LOWER(A223), ""esmalteria|unha|nail|manicur|spa dos p[eé]s|kauu_nhas""), ""Manicure - Esmalteria"", REGEXMATCH(LOWER(A223), ""est[eé]tic|bronze|massot|terap|pilates|revitalize|dra""), ""Clín"&amp;"ica de Estética"", TRUE, ""Salão de Beleza""))"),"Salão de Beleza")</f>
        <v>Salão de Beleza</v>
      </c>
    </row>
    <row r="224">
      <c r="A224" s="1" t="s">
        <v>1648</v>
      </c>
      <c r="D224" s="1" t="s">
        <v>1649</v>
      </c>
      <c r="E224" s="1" t="s">
        <v>1650</v>
      </c>
      <c r="F224" s="1" t="s">
        <v>1651</v>
      </c>
      <c r="G224" s="3" t="str">
        <f>IFERROR(__xludf.DUMMYFUNCTION("AI(""Preencha um valor adequado para esta célula com base no contexto da tabela"")"),"Timon - MA")</f>
        <v>Timon - MA</v>
      </c>
      <c r="H224" s="2" t="s">
        <v>1652</v>
      </c>
      <c r="I224" s="1" t="s">
        <v>1653</v>
      </c>
      <c r="J224" s="3" t="str">
        <f>IFERROR(__xludf.DUMMYFUNCTION("IF(A224="""", """", IFS(REGEXMATCH(LOWER(A224), ""barbearia|barber""), ""Barbearia"", REGEXMATCH(LOWER(A224), ""sobrancelh|c[ií]lio|lash|micropigment|showbrancelhas""), ""Sobrancelhas e Cílios"", REGEXMATCH(LOWER(A224), ""maquia|make""), ""Maquiagem"", RE"&amp;"GEXMATCH(LOWER(A224), ""depil|epil""), ""Depilação"", REGEXMATCH(LOWER(A224), ""esmalteria|unha|nail|manicur|spa dos p[eé]s|kauu_nhas""), ""Manicure - Esmalteria"", REGEXMATCH(LOWER(A224), ""est[eé]tic|bronze|massot|terap|pilates|revitalize|dra""), ""Clín"&amp;"ica de Estética"", TRUE, ""Salão de Beleza""))"),"Salão de Beleza")</f>
        <v>Salão de Beleza</v>
      </c>
    </row>
    <row r="225">
      <c r="A225" s="1" t="s">
        <v>1654</v>
      </c>
      <c r="B225" s="1" t="s">
        <v>1655</v>
      </c>
      <c r="C225" s="1" t="s">
        <v>1656</v>
      </c>
      <c r="D225" s="1" t="s">
        <v>1657</v>
      </c>
      <c r="E225" s="1" t="s">
        <v>1658</v>
      </c>
      <c r="F225" s="1" t="s">
        <v>1659</v>
      </c>
      <c r="G225" s="3" t="str">
        <f>IFERROR(__xludf.DUMMYFUNCTION("AI(""Preencha um valor adequado para esta célula com base no contexto da tabela"")"),"Timon - MA")</f>
        <v>Timon - MA</v>
      </c>
      <c r="H225" s="2" t="s">
        <v>1660</v>
      </c>
      <c r="I225" s="1" t="s">
        <v>1661</v>
      </c>
      <c r="J225" s="3" t="str">
        <f>IFERROR(__xludf.DUMMYFUNCTION("IF(A225="""", """", IFS(REGEXMATCH(LOWER(A225), ""barbearia|barber""), ""Barbearia"", REGEXMATCH(LOWER(A225), ""sobrancelh|c[ií]lio|lash|micropigment|showbrancelhas""), ""Sobrancelhas e Cílios"", REGEXMATCH(LOWER(A225), ""maquia|make""), ""Maquiagem"", RE"&amp;"GEXMATCH(LOWER(A225), ""depil|epil""), ""Depilação"", REGEXMATCH(LOWER(A225), ""esmalteria|unha|nail|manicur|spa dos p[eé]s|kauu_nhas""), ""Manicure - Esmalteria"", REGEXMATCH(LOWER(A225), ""est[eé]tic|bronze|massot|terap|pilates|revitalize|dra""), ""Clín"&amp;"ica de Estética"", TRUE, ""Salão de Beleza""))"),"Salão de Beleza")</f>
        <v>Salão de Beleza</v>
      </c>
    </row>
    <row r="226">
      <c r="A226" s="1" t="s">
        <v>1662</v>
      </c>
      <c r="B226" s="1" t="s">
        <v>1663</v>
      </c>
      <c r="C226" s="1" t="s">
        <v>1664</v>
      </c>
      <c r="D226" s="1" t="s">
        <v>1665</v>
      </c>
      <c r="E226" s="1" t="s">
        <v>1666</v>
      </c>
      <c r="F226" s="1" t="s">
        <v>1667</v>
      </c>
      <c r="G226" s="3" t="str">
        <f>IFERROR(__xludf.DUMMYFUNCTION("AI(""Preencha um valor adequado para esta célula com base no contexto da tabela"")"),"Timon - MA")</f>
        <v>Timon - MA</v>
      </c>
      <c r="H226" s="2" t="s">
        <v>1668</v>
      </c>
      <c r="I226" s="1" t="s">
        <v>1669</v>
      </c>
      <c r="J226" s="3" t="str">
        <f>IFERROR(__xludf.DUMMYFUNCTION("IF(A226="""", """", IFS(REGEXMATCH(LOWER(A226), ""barbearia|barber""), ""Barbearia"", REGEXMATCH(LOWER(A226), ""sobrancelh|c[ií]lio|lash|micropigment|showbrancelhas""), ""Sobrancelhas e Cílios"", REGEXMATCH(LOWER(A226), ""maquia|make""), ""Maquiagem"", RE"&amp;"GEXMATCH(LOWER(A226), ""depil|epil""), ""Depilação"", REGEXMATCH(LOWER(A226), ""esmalteria|unha|nail|manicur|spa dos p[eé]s|kauu_nhas""), ""Manicure - Esmalteria"", REGEXMATCH(LOWER(A226), ""est[eé]tic|bronze|massot|terap|pilates|revitalize|dra""), ""Clín"&amp;"ica de Estética"", TRUE, ""Salão de Beleza""))"),"Sobrancelhas e Cílios")</f>
        <v>Sobrancelhas e Cílios</v>
      </c>
    </row>
    <row r="227">
      <c r="A227" s="1" t="s">
        <v>1670</v>
      </c>
      <c r="B227" s="1" t="s">
        <v>1671</v>
      </c>
      <c r="C227" s="1" t="s">
        <v>1672</v>
      </c>
      <c r="D227" s="1" t="s">
        <v>1673</v>
      </c>
      <c r="E227" s="1" t="s">
        <v>1674</v>
      </c>
      <c r="F227" s="1" t="s">
        <v>1675</v>
      </c>
      <c r="G227" s="3" t="str">
        <f>IFERROR(__xludf.DUMMYFUNCTION("AI(""Preencha um valor adequado para esta célula com base no contexto da tabela"")"),"Timon - MA")</f>
        <v>Timon - MA</v>
      </c>
      <c r="H227" s="2" t="s">
        <v>1676</v>
      </c>
      <c r="I227" s="1" t="s">
        <v>1677</v>
      </c>
      <c r="J227" s="3" t="str">
        <f>IFERROR(__xludf.DUMMYFUNCTION("IF(A227="""", """", IFS(REGEXMATCH(LOWER(A227), ""barbearia|barber""), ""Barbearia"", REGEXMATCH(LOWER(A227), ""sobrancelh|c[ií]lio|lash|micropigment|showbrancelhas""), ""Sobrancelhas e Cílios"", REGEXMATCH(LOWER(A227), ""maquia|make""), ""Maquiagem"", RE"&amp;"GEXMATCH(LOWER(A227), ""depil|epil""), ""Depilação"", REGEXMATCH(LOWER(A227), ""esmalteria|unha|nail|manicur|spa dos p[eé]s|kauu_nhas""), ""Manicure - Esmalteria"", REGEXMATCH(LOWER(A227), ""est[eé]tic|bronze|massot|terap|pilates|revitalize|dra""), ""Clín"&amp;"ica de Estética"", TRUE, ""Salão de Beleza""))"),"Sobrancelhas e Cílios")</f>
        <v>Sobrancelhas e Cílios</v>
      </c>
    </row>
    <row r="228">
      <c r="A228" s="1" t="s">
        <v>1678</v>
      </c>
      <c r="B228" s="1" t="s">
        <v>1679</v>
      </c>
      <c r="C228" s="1" t="s">
        <v>1680</v>
      </c>
      <c r="D228" s="1" t="s">
        <v>1681</v>
      </c>
      <c r="E228" s="1" t="s">
        <v>1682</v>
      </c>
      <c r="F228" s="1" t="s">
        <v>1683</v>
      </c>
      <c r="G228" s="3" t="str">
        <f>IFERROR(__xludf.DUMMYFUNCTION("AI(""Preencha um valor adequado para esta célula com base no contexto da tabela"")"),"Timon - MA")</f>
        <v>Timon - MA</v>
      </c>
      <c r="H228" s="2" t="s">
        <v>1684</v>
      </c>
      <c r="I228" s="1" t="s">
        <v>1685</v>
      </c>
      <c r="J228" s="3" t="str">
        <f>IFERROR(__xludf.DUMMYFUNCTION("IF(A228="""", """", IFS(REGEXMATCH(LOWER(A228), ""barbearia|barber""), ""Barbearia"", REGEXMATCH(LOWER(A228), ""sobrancelh|c[ií]lio|lash|micropigment|showbrancelhas""), ""Sobrancelhas e Cílios"", REGEXMATCH(LOWER(A228), ""maquia|make""), ""Maquiagem"", RE"&amp;"GEXMATCH(LOWER(A228), ""depil|epil""), ""Depilação"", REGEXMATCH(LOWER(A228), ""esmalteria|unha|nail|manicur|spa dos p[eé]s|kauu_nhas""), ""Manicure - Esmalteria"", REGEXMATCH(LOWER(A228), ""est[eé]tic|bronze|massot|terap|pilates|revitalize|dra""), ""Clín"&amp;"ica de Estética"", TRUE, ""Salão de Beleza""))"),"Clínica de Estética")</f>
        <v>Clínica de Estética</v>
      </c>
    </row>
    <row r="229">
      <c r="A229" s="1" t="s">
        <v>1686</v>
      </c>
      <c r="B229" s="1" t="s">
        <v>1687</v>
      </c>
      <c r="C229" s="1" t="s">
        <v>1688</v>
      </c>
      <c r="D229" s="1" t="s">
        <v>1689</v>
      </c>
      <c r="E229" s="1" t="s">
        <v>1690</v>
      </c>
      <c r="F229" s="1" t="s">
        <v>1691</v>
      </c>
      <c r="G229" s="3" t="str">
        <f>IFERROR(__xludf.DUMMYFUNCTION("AI(""Preencha um valor adequado para esta célula com base no contexto da tabela"")"),"Timon - MA")</f>
        <v>Timon - MA</v>
      </c>
      <c r="H229" s="2" t="s">
        <v>1692</v>
      </c>
      <c r="I229" s="1" t="s">
        <v>1693</v>
      </c>
      <c r="J229" s="3" t="str">
        <f>IFERROR(__xludf.DUMMYFUNCTION("IF(A229="""", """", IFS(REGEXMATCH(LOWER(A229), ""barbearia|barber""), ""Barbearia"", REGEXMATCH(LOWER(A229), ""sobrancelh|c[ií]lio|lash|micropigment|showbrancelhas""), ""Sobrancelhas e Cílios"", REGEXMATCH(LOWER(A229), ""maquia|make""), ""Maquiagem"", RE"&amp;"GEXMATCH(LOWER(A229), ""depil|epil""), ""Depilação"", REGEXMATCH(LOWER(A229), ""esmalteria|unha|nail|manicur|spa dos p[eé]s|kauu_nhas""), ""Manicure - Esmalteria"", REGEXMATCH(LOWER(A229), ""est[eé]tic|bronze|massot|terap|pilates|revitalize|dra""), ""Clín"&amp;"ica de Estética"", TRUE, ""Salão de Beleza""))"),"Clínica de Estética")</f>
        <v>Clínica de Estética</v>
      </c>
    </row>
    <row r="230">
      <c r="A230" s="1" t="s">
        <v>1694</v>
      </c>
      <c r="B230" s="1" t="s">
        <v>1695</v>
      </c>
      <c r="C230" s="1" t="s">
        <v>1696</v>
      </c>
      <c r="D230" s="1" t="s">
        <v>1697</v>
      </c>
      <c r="E230" s="1" t="s">
        <v>1698</v>
      </c>
      <c r="F230" s="1" t="s">
        <v>1699</v>
      </c>
      <c r="G230" s="3" t="str">
        <f>IFERROR(__xludf.DUMMYFUNCTION("AI(""Preencha um valor adequado para esta célula com base no contexto da tabela"")"),"Timon - MA")</f>
        <v>Timon - MA</v>
      </c>
      <c r="H230" s="2" t="s">
        <v>1700</v>
      </c>
      <c r="I230" s="1" t="s">
        <v>1701</v>
      </c>
      <c r="J230" s="3" t="str">
        <f>IFERROR(__xludf.DUMMYFUNCTION("IF(A230="""", """", IFS(REGEXMATCH(LOWER(A230), ""barbearia|barber""), ""Barbearia"", REGEXMATCH(LOWER(A230), ""sobrancelh|c[ií]lio|lash|micropigment|showbrancelhas""), ""Sobrancelhas e Cílios"", REGEXMATCH(LOWER(A230), ""maquia|make""), ""Maquiagem"", RE"&amp;"GEXMATCH(LOWER(A230), ""depil|epil""), ""Depilação"", REGEXMATCH(LOWER(A230), ""esmalteria|unha|nail|manicur|spa dos p[eé]s|kauu_nhas""), ""Manicure - Esmalteria"", REGEXMATCH(LOWER(A230), ""est[eé]tic|bronze|massot|terap|pilates|revitalize|dra""), ""Clín"&amp;"ica de Estética"", TRUE, ""Salão de Beleza""))"),"Sobrancelhas e Cílios")</f>
        <v>Sobrancelhas e Cílios</v>
      </c>
    </row>
    <row r="231">
      <c r="A231" s="1" t="s">
        <v>1702</v>
      </c>
      <c r="B231" s="1" t="s">
        <v>1703</v>
      </c>
      <c r="C231" s="1" t="s">
        <v>1704</v>
      </c>
      <c r="D231" s="1" t="s">
        <v>1705</v>
      </c>
      <c r="E231" s="1" t="s">
        <v>1706</v>
      </c>
      <c r="F231" s="1" t="s">
        <v>1707</v>
      </c>
      <c r="G231" s="3" t="str">
        <f>IFERROR(__xludf.DUMMYFUNCTION("AI(""Preencha um valor adequado para esta célula com base no contexto da tabela"")"),"Timon - MA")</f>
        <v>Timon - MA</v>
      </c>
      <c r="H231" s="2" t="s">
        <v>1708</v>
      </c>
      <c r="I231" s="1" t="s">
        <v>1709</v>
      </c>
      <c r="J231" s="3" t="str">
        <f>IFERROR(__xludf.DUMMYFUNCTION("IF(A231="""", """", IFS(REGEXMATCH(LOWER(A231), ""barbearia|barber""), ""Barbearia"", REGEXMATCH(LOWER(A231), ""sobrancelh|c[ií]lio|lash|micropigment|showbrancelhas""), ""Sobrancelhas e Cílios"", REGEXMATCH(LOWER(A231), ""maquia|make""), ""Maquiagem"", RE"&amp;"GEXMATCH(LOWER(A231), ""depil|epil""), ""Depilação"", REGEXMATCH(LOWER(A231), ""esmalteria|unha|nail|manicur|spa dos p[eé]s|kauu_nhas""), ""Manicure - Esmalteria"", REGEXMATCH(LOWER(A231), ""est[eé]tic|bronze|massot|terap|pilates|revitalize|dra""), ""Clín"&amp;"ica de Estética"", TRUE, ""Salão de Beleza""))"),"Salão de Beleza")</f>
        <v>Salão de Beleza</v>
      </c>
    </row>
    <row r="232">
      <c r="A232" s="1" t="s">
        <v>1710</v>
      </c>
      <c r="B232" s="1" t="s">
        <v>1711</v>
      </c>
      <c r="C232" s="1" t="s">
        <v>1712</v>
      </c>
      <c r="D232" s="1" t="s">
        <v>1713</v>
      </c>
      <c r="E232" s="1" t="s">
        <v>1714</v>
      </c>
      <c r="F232" s="1" t="s">
        <v>1715</v>
      </c>
      <c r="G232" s="3" t="str">
        <f>IFERROR(__xludf.DUMMYFUNCTION("AI(""Preencha um valor adequado para esta célula com base no contexto da tabela"")"),"Timon - MA")</f>
        <v>Timon - MA</v>
      </c>
      <c r="H232" s="2" t="s">
        <v>1716</v>
      </c>
      <c r="I232" s="1" t="s">
        <v>1717</v>
      </c>
      <c r="J232" s="3" t="str">
        <f>IFERROR(__xludf.DUMMYFUNCTION("IF(A232="""", """", IFS(REGEXMATCH(LOWER(A232), ""barbearia|barber""), ""Barbearia"", REGEXMATCH(LOWER(A232), ""sobrancelh|c[ií]lio|lash|micropigment|showbrancelhas""), ""Sobrancelhas e Cílios"", REGEXMATCH(LOWER(A232), ""maquia|make""), ""Maquiagem"", RE"&amp;"GEXMATCH(LOWER(A232), ""depil|epil""), ""Depilação"", REGEXMATCH(LOWER(A232), ""esmalteria|unha|nail|manicur|spa dos p[eé]s|kauu_nhas""), ""Manicure - Esmalteria"", REGEXMATCH(LOWER(A232), ""est[eé]tic|bronze|massot|terap|pilates|revitalize|dra""), ""Clín"&amp;"ica de Estética"", TRUE, ""Salão de Beleza""))"),"Maquiagem")</f>
        <v>Maquiagem</v>
      </c>
    </row>
    <row r="233">
      <c r="A233" s="1" t="s">
        <v>1718</v>
      </c>
      <c r="B233" s="1" t="s">
        <v>1719</v>
      </c>
      <c r="C233" s="1" t="s">
        <v>1720</v>
      </c>
      <c r="D233" s="1" t="s">
        <v>1721</v>
      </c>
      <c r="E233" s="1" t="s">
        <v>1722</v>
      </c>
      <c r="F233" s="1" t="s">
        <v>1723</v>
      </c>
      <c r="G233" s="3" t="str">
        <f>IFERROR(__xludf.DUMMYFUNCTION("AI(""Preencha um valor adequado para esta célula com base no contexto da tabela"")"),"Timon - MA")</f>
        <v>Timon - MA</v>
      </c>
      <c r="H233" s="2" t="s">
        <v>1724</v>
      </c>
      <c r="I233" s="1" t="s">
        <v>1725</v>
      </c>
      <c r="J233" s="3" t="str">
        <f>IFERROR(__xludf.DUMMYFUNCTION("IF(A233="""", """", IFS(REGEXMATCH(LOWER(A233), ""barbearia|barber""), ""Barbearia"", REGEXMATCH(LOWER(A233), ""sobrancelh|c[ií]lio|lash|micropigment|showbrancelhas""), ""Sobrancelhas e Cílios"", REGEXMATCH(LOWER(A233), ""maquia|make""), ""Maquiagem"", RE"&amp;"GEXMATCH(LOWER(A233), ""depil|epil""), ""Depilação"", REGEXMATCH(LOWER(A233), ""esmalteria|unha|nail|manicur|spa dos p[eé]s|kauu_nhas""), ""Manicure - Esmalteria"", REGEXMATCH(LOWER(A233), ""est[eé]tic|bronze|massot|terap|pilates|revitalize|dra""), ""Clín"&amp;"ica de Estética"", TRUE, ""Salão de Beleza""))"),"Sobrancelhas e Cílios")</f>
        <v>Sobrancelhas e Cílios</v>
      </c>
    </row>
    <row r="234">
      <c r="A234" s="1" t="s">
        <v>1726</v>
      </c>
      <c r="B234" s="1" t="s">
        <v>1727</v>
      </c>
      <c r="C234" s="1" t="s">
        <v>1728</v>
      </c>
      <c r="D234" s="1" t="s">
        <v>1729</v>
      </c>
      <c r="E234" s="1" t="s">
        <v>1730</v>
      </c>
      <c r="F234" s="1" t="s">
        <v>1731</v>
      </c>
      <c r="G234" s="3" t="str">
        <f>IFERROR(__xludf.DUMMYFUNCTION("AI(""Preencha um valor adequado para esta célula com base no contexto da tabela"")"),"Timon - MA")</f>
        <v>Timon - MA</v>
      </c>
      <c r="H234" s="2" t="s">
        <v>1732</v>
      </c>
      <c r="I234" s="1" t="s">
        <v>1733</v>
      </c>
      <c r="J234" s="3" t="str">
        <f>IFERROR(__xludf.DUMMYFUNCTION("IF(A234="""", """", IFS(REGEXMATCH(LOWER(A234), ""barbearia|barber""), ""Barbearia"", REGEXMATCH(LOWER(A234), ""sobrancelh|c[ií]lio|lash|micropigment|showbrancelhas""), ""Sobrancelhas e Cílios"", REGEXMATCH(LOWER(A234), ""maquia|make""), ""Maquiagem"", RE"&amp;"GEXMATCH(LOWER(A234), ""depil|epil""), ""Depilação"", REGEXMATCH(LOWER(A234), ""esmalteria|unha|nail|manicur|spa dos p[eé]s|kauu_nhas""), ""Manicure - Esmalteria"", REGEXMATCH(LOWER(A234), ""est[eé]tic|bronze|massot|terap|pilates|revitalize|dra""), ""Clín"&amp;"ica de Estética"", TRUE, ""Salão de Beleza""))"),"Salão de Beleza")</f>
        <v>Salão de Beleza</v>
      </c>
    </row>
    <row r="235">
      <c r="A235" s="1" t="s">
        <v>1734</v>
      </c>
      <c r="B235" s="1" t="s">
        <v>1735</v>
      </c>
      <c r="C235" s="1" t="s">
        <v>1736</v>
      </c>
      <c r="D235" s="1" t="s">
        <v>1737</v>
      </c>
      <c r="E235" s="1" t="s">
        <v>1738</v>
      </c>
      <c r="F235" s="1" t="s">
        <v>1739</v>
      </c>
      <c r="G235" s="3" t="str">
        <f>IFERROR(__xludf.DUMMYFUNCTION("AI(""Preencha um valor adequado para esta célula com base no contexto da tabela"")"),"Timon - MA")</f>
        <v>Timon - MA</v>
      </c>
      <c r="H235" s="2" t="s">
        <v>1740</v>
      </c>
      <c r="I235" s="1" t="s">
        <v>1741</v>
      </c>
      <c r="J235" s="3" t="str">
        <f>IFERROR(__xludf.DUMMYFUNCTION("IF(A235="""", """", IFS(REGEXMATCH(LOWER(A235), ""barbearia|barber""), ""Barbearia"", REGEXMATCH(LOWER(A235), ""sobrancelh|c[ií]lio|lash|micropigment|showbrancelhas""), ""Sobrancelhas e Cílios"", REGEXMATCH(LOWER(A235), ""maquia|make""), ""Maquiagem"", RE"&amp;"GEXMATCH(LOWER(A235), ""depil|epil""), ""Depilação"", REGEXMATCH(LOWER(A235), ""esmalteria|unha|nail|manicur|spa dos p[eé]s|kauu_nhas""), ""Manicure - Esmalteria"", REGEXMATCH(LOWER(A235), ""est[eé]tic|bronze|massot|terap|pilates|revitalize|dra""), ""Clín"&amp;"ica de Estética"", TRUE, ""Salão de Beleza""))"),"Salão de Beleza")</f>
        <v>Salão de Beleza</v>
      </c>
    </row>
    <row r="236">
      <c r="A236" s="1" t="s">
        <v>1742</v>
      </c>
      <c r="B236" s="1" t="s">
        <v>1743</v>
      </c>
      <c r="C236" s="1" t="s">
        <v>1744</v>
      </c>
      <c r="D236" s="1" t="s">
        <v>1745</v>
      </c>
      <c r="E236" s="1" t="s">
        <v>1746</v>
      </c>
      <c r="F236" s="1" t="s">
        <v>1747</v>
      </c>
      <c r="G236" s="3" t="str">
        <f>IFERROR(__xludf.DUMMYFUNCTION("AI(""Preencha um valor adequado para esta célula com base no contexto da tabela"")"),"Timon - MA")</f>
        <v>Timon - MA</v>
      </c>
      <c r="H236" s="2" t="s">
        <v>1748</v>
      </c>
      <c r="I236" s="1" t="s">
        <v>1749</v>
      </c>
      <c r="J236" s="3" t="str">
        <f>IFERROR(__xludf.DUMMYFUNCTION("IF(A236="""", """", IFS(REGEXMATCH(LOWER(A236), ""barbearia|barber""), ""Barbearia"", REGEXMATCH(LOWER(A236), ""sobrancelh|c[ií]lio|lash|micropigment|showbrancelhas""), ""Sobrancelhas e Cílios"", REGEXMATCH(LOWER(A236), ""maquia|make""), ""Maquiagem"", RE"&amp;"GEXMATCH(LOWER(A236), ""depil|epil""), ""Depilação"", REGEXMATCH(LOWER(A236), ""esmalteria|unha|nail|manicur|spa dos p[eé]s|kauu_nhas""), ""Manicure - Esmalteria"", REGEXMATCH(LOWER(A236), ""est[eé]tic|bronze|massot|terap|pilates|revitalize|dra""), ""Clín"&amp;"ica de Estética"", TRUE, ""Salão de Beleza""))"),"Salão de Beleza")</f>
        <v>Salão de Beleza</v>
      </c>
    </row>
    <row r="237">
      <c r="A237" s="1" t="s">
        <v>1750</v>
      </c>
      <c r="B237" s="1" t="s">
        <v>1751</v>
      </c>
      <c r="C237" s="1" t="s">
        <v>1752</v>
      </c>
      <c r="D237" s="1" t="s">
        <v>1753</v>
      </c>
      <c r="E237" s="1" t="s">
        <v>1754</v>
      </c>
      <c r="F237" s="1" t="s">
        <v>1755</v>
      </c>
      <c r="G237" s="3" t="str">
        <f>IFERROR(__xludf.DUMMYFUNCTION("AI(""Preencha um valor adequado para esta célula com base no contexto da tabela"")"),"Timon - MA")</f>
        <v>Timon - MA</v>
      </c>
      <c r="H237" s="2" t="s">
        <v>1756</v>
      </c>
      <c r="I237" s="1" t="s">
        <v>1757</v>
      </c>
      <c r="J237" s="3" t="str">
        <f>IFERROR(__xludf.DUMMYFUNCTION("IF(A237="""", """", IFS(REGEXMATCH(LOWER(A237), ""barbearia|barber""), ""Barbearia"", REGEXMATCH(LOWER(A237), ""sobrancelh|c[ií]lio|lash|micropigment|showbrancelhas""), ""Sobrancelhas e Cílios"", REGEXMATCH(LOWER(A237), ""maquia|make""), ""Maquiagem"", RE"&amp;"GEXMATCH(LOWER(A237), ""depil|epil""), ""Depilação"", REGEXMATCH(LOWER(A237), ""esmalteria|unha|nail|manicur|spa dos p[eé]s|kauu_nhas""), ""Manicure - Esmalteria"", REGEXMATCH(LOWER(A237), ""est[eé]tic|bronze|massot|terap|pilates|revitalize|dra""), ""Clín"&amp;"ica de Estética"", TRUE, ""Salão de Beleza""))"),"Salão de Beleza")</f>
        <v>Salão de Beleza</v>
      </c>
    </row>
    <row r="238">
      <c r="A238" s="1" t="s">
        <v>1758</v>
      </c>
      <c r="B238" s="1" t="s">
        <v>1759</v>
      </c>
      <c r="C238" s="1" t="s">
        <v>1760</v>
      </c>
      <c r="D238" s="1" t="s">
        <v>1761</v>
      </c>
      <c r="E238" s="1" t="s">
        <v>1762</v>
      </c>
      <c r="F238" s="1" t="s">
        <v>1763</v>
      </c>
      <c r="G238" s="3" t="str">
        <f>IFERROR(__xludf.DUMMYFUNCTION("AI(""Preencha um valor adequado para esta célula com base no contexto da tabela"")"),"Timon - MA")</f>
        <v>Timon - MA</v>
      </c>
      <c r="H238" s="2" t="s">
        <v>1764</v>
      </c>
      <c r="I238" s="1" t="s">
        <v>1765</v>
      </c>
      <c r="J238" s="3" t="str">
        <f>IFERROR(__xludf.DUMMYFUNCTION("IF(A238="""", """", IFS(REGEXMATCH(LOWER(A238), ""barbearia|barber""), ""Barbearia"", REGEXMATCH(LOWER(A238), ""sobrancelh|c[ií]lio|lash|micropigment|showbrancelhas""), ""Sobrancelhas e Cílios"", REGEXMATCH(LOWER(A238), ""maquia|make""), ""Maquiagem"", RE"&amp;"GEXMATCH(LOWER(A238), ""depil|epil""), ""Depilação"", REGEXMATCH(LOWER(A238), ""esmalteria|unha|nail|manicur|spa dos p[eé]s|kauu_nhas""), ""Manicure - Esmalteria"", REGEXMATCH(LOWER(A238), ""est[eé]tic|bronze|massot|terap|pilates|revitalize|dra""), ""Clín"&amp;"ica de Estética"", TRUE, ""Salão de Beleza""))"),"Clínica de Estética")</f>
        <v>Clínica de Estética</v>
      </c>
    </row>
    <row r="239">
      <c r="A239" s="1" t="s">
        <v>1766</v>
      </c>
      <c r="B239" s="1" t="s">
        <v>1767</v>
      </c>
      <c r="C239" s="1" t="s">
        <v>1768</v>
      </c>
      <c r="D239" s="1" t="s">
        <v>1769</v>
      </c>
      <c r="E239" s="1" t="s">
        <v>1770</v>
      </c>
      <c r="F239" s="1" t="s">
        <v>1771</v>
      </c>
      <c r="G239" s="3" t="str">
        <f>IFERROR(__xludf.DUMMYFUNCTION("AI(""Preencha um valor adequado para esta célula com base no contexto da tabela"")"),"Timon - MA")</f>
        <v>Timon - MA</v>
      </c>
      <c r="H239" s="2" t="s">
        <v>1772</v>
      </c>
      <c r="I239" s="1" t="s">
        <v>1773</v>
      </c>
      <c r="J239" s="3" t="str">
        <f>IFERROR(__xludf.DUMMYFUNCTION("IF(A239="""", """", IFS(REGEXMATCH(LOWER(A239), ""barbearia|barber""), ""Barbearia"", REGEXMATCH(LOWER(A239), ""sobrancelh|c[ií]lio|lash|micropigment|showbrancelhas""), ""Sobrancelhas e Cílios"", REGEXMATCH(LOWER(A239), ""maquia|make""), ""Maquiagem"", RE"&amp;"GEXMATCH(LOWER(A239), ""depil|epil""), ""Depilação"", REGEXMATCH(LOWER(A239), ""esmalteria|unha|nail|manicur|spa dos p[eé]s|kauu_nhas""), ""Manicure - Esmalteria"", REGEXMATCH(LOWER(A239), ""est[eé]tic|bronze|massot|terap|pilates|revitalize|dra""), ""Clín"&amp;"ica de Estética"", TRUE, ""Salão de Beleza""))"),"Salão de Beleza")</f>
        <v>Salão de Beleza</v>
      </c>
    </row>
    <row r="240">
      <c r="A240" s="1" t="s">
        <v>1774</v>
      </c>
      <c r="B240" s="1" t="s">
        <v>1775</v>
      </c>
      <c r="C240" s="1" t="s">
        <v>1776</v>
      </c>
      <c r="E240" s="1" t="s">
        <v>1777</v>
      </c>
      <c r="F240" s="1" t="s">
        <v>1778</v>
      </c>
      <c r="G240" s="3" t="str">
        <f>IFERROR(__xludf.DUMMYFUNCTION("AI(""Preencha um valor adequado para esta célula com base no contexto da tabela"")"),"Timon - MA")</f>
        <v>Timon - MA</v>
      </c>
      <c r="H240" s="2" t="s">
        <v>1779</v>
      </c>
      <c r="J240" s="3" t="str">
        <f>IFERROR(__xludf.DUMMYFUNCTION("IF(A240="""", """", IFS(REGEXMATCH(LOWER(A240), ""barbearia|barber""), ""Barbearia"", REGEXMATCH(LOWER(A240), ""sobrancelh|c[ií]lio|lash|micropigment|showbrancelhas""), ""Sobrancelhas e Cílios"", REGEXMATCH(LOWER(A240), ""maquia|make""), ""Maquiagem"", RE"&amp;"GEXMATCH(LOWER(A240), ""depil|epil""), ""Depilação"", REGEXMATCH(LOWER(A240), ""esmalteria|unha|nail|manicur|spa dos p[eé]s|kauu_nhas""), ""Manicure - Esmalteria"", REGEXMATCH(LOWER(A240), ""est[eé]tic|bronze|massot|terap|pilates|revitalize|dra""), ""Clín"&amp;"ica de Estética"", TRUE, ""Salão de Beleza""))"),"Salão de Beleza")</f>
        <v>Salão de Beleza</v>
      </c>
    </row>
    <row r="241">
      <c r="A241" s="1" t="s">
        <v>1780</v>
      </c>
      <c r="B241" s="1" t="s">
        <v>1781</v>
      </c>
      <c r="C241" s="1" t="s">
        <v>1782</v>
      </c>
      <c r="D241" s="1" t="s">
        <v>1783</v>
      </c>
      <c r="E241" s="1" t="s">
        <v>1784</v>
      </c>
      <c r="F241" s="1" t="s">
        <v>1785</v>
      </c>
      <c r="G241" s="3" t="str">
        <f>IFERROR(__xludf.DUMMYFUNCTION("AI(""Preencha um valor adequado para esta célula com base no contexto da tabela"")"),"Timon - MA")</f>
        <v>Timon - MA</v>
      </c>
      <c r="H241" s="2" t="s">
        <v>1786</v>
      </c>
      <c r="I241" s="1" t="s">
        <v>1787</v>
      </c>
      <c r="J241" s="3" t="str">
        <f>IFERROR(__xludf.DUMMYFUNCTION("IF(A241="""", """", IFS(REGEXMATCH(LOWER(A241), ""barbearia|barber""), ""Barbearia"", REGEXMATCH(LOWER(A241), ""sobrancelh|c[ií]lio|lash|micropigment|showbrancelhas""), ""Sobrancelhas e Cílios"", REGEXMATCH(LOWER(A241), ""maquia|make""), ""Maquiagem"", RE"&amp;"GEXMATCH(LOWER(A241), ""depil|epil""), ""Depilação"", REGEXMATCH(LOWER(A241), ""esmalteria|unha|nail|manicur|spa dos p[eé]s|kauu_nhas""), ""Manicure - Esmalteria"", REGEXMATCH(LOWER(A241), ""est[eé]tic|bronze|massot|terap|pilates|revitalize|dra""), ""Clín"&amp;"ica de Estética"", TRUE, ""Salão de Beleza""))"),"Salão de Beleza")</f>
        <v>Salão de Beleza</v>
      </c>
    </row>
    <row r="242">
      <c r="A242" s="1" t="s">
        <v>1788</v>
      </c>
      <c r="B242" s="1" t="s">
        <v>1789</v>
      </c>
      <c r="C242" s="1" t="s">
        <v>1790</v>
      </c>
      <c r="D242" s="1" t="s">
        <v>1791</v>
      </c>
      <c r="E242" s="1" t="s">
        <v>1792</v>
      </c>
      <c r="F242" s="1" t="s">
        <v>1793</v>
      </c>
      <c r="G242" s="3" t="str">
        <f>IFERROR(__xludf.DUMMYFUNCTION("AI(""Preencha um valor adequado para esta célula com base no contexto da tabela"")"),"Timon - MA")</f>
        <v>Timon - MA</v>
      </c>
      <c r="H242" s="2" t="s">
        <v>1794</v>
      </c>
      <c r="I242" s="1" t="s">
        <v>1795</v>
      </c>
      <c r="J242" s="3" t="str">
        <f>IFERROR(__xludf.DUMMYFUNCTION("IF(A242="""", """", IFS(REGEXMATCH(LOWER(A242), ""barbearia|barber""), ""Barbearia"", REGEXMATCH(LOWER(A242), ""sobrancelh|c[ií]lio|lash|micropigment|showbrancelhas""), ""Sobrancelhas e Cílios"", REGEXMATCH(LOWER(A242), ""maquia|make""), ""Maquiagem"", RE"&amp;"GEXMATCH(LOWER(A242), ""depil|epil""), ""Depilação"", REGEXMATCH(LOWER(A242), ""esmalteria|unha|nail|manicur|spa dos p[eé]s|kauu_nhas""), ""Manicure - Esmalteria"", REGEXMATCH(LOWER(A242), ""est[eé]tic|bronze|massot|terap|pilates|revitalize|dra""), ""Clín"&amp;"ica de Estética"", TRUE, ""Salão de Beleza""))"),"Salão de Beleza")</f>
        <v>Salão de Beleza</v>
      </c>
    </row>
    <row r="243">
      <c r="A243" s="1" t="s">
        <v>1796</v>
      </c>
      <c r="D243" s="1" t="s">
        <v>1797</v>
      </c>
      <c r="E243" s="1" t="s">
        <v>1798</v>
      </c>
      <c r="F243" s="1" t="s">
        <v>1799</v>
      </c>
      <c r="G243" s="3" t="str">
        <f>IFERROR(__xludf.DUMMYFUNCTION("AI(""Preencha um valor adequado para esta célula com base no contexto da tabela"")"),"Timon - MA")</f>
        <v>Timon - MA</v>
      </c>
      <c r="H243" s="2" t="s">
        <v>1800</v>
      </c>
      <c r="I243" s="1" t="s">
        <v>1801</v>
      </c>
      <c r="J243" s="3" t="str">
        <f>IFERROR(__xludf.DUMMYFUNCTION("IF(A243="""", """", IFS(REGEXMATCH(LOWER(A243), ""barbearia|barber""), ""Barbearia"", REGEXMATCH(LOWER(A243), ""sobrancelh|c[ií]lio|lash|micropigment|showbrancelhas""), ""Sobrancelhas e Cílios"", REGEXMATCH(LOWER(A243), ""maquia|make""), ""Maquiagem"", RE"&amp;"GEXMATCH(LOWER(A243), ""depil|epil""), ""Depilação"", REGEXMATCH(LOWER(A243), ""esmalteria|unha|nail|manicur|spa dos p[eé]s|kauu_nhas""), ""Manicure - Esmalteria"", REGEXMATCH(LOWER(A243), ""est[eé]tic|bronze|massot|terap|pilates|revitalize|dra""), ""Clín"&amp;"ica de Estética"", TRUE, ""Salão de Beleza""))"),"Salão de Beleza")</f>
        <v>Salão de Beleza</v>
      </c>
    </row>
    <row r="244">
      <c r="A244" s="1" t="s">
        <v>1802</v>
      </c>
      <c r="D244" s="1" t="s">
        <v>1803</v>
      </c>
      <c r="E244" s="1" t="s">
        <v>1804</v>
      </c>
      <c r="F244" s="1" t="s">
        <v>1805</v>
      </c>
      <c r="G244" s="3" t="str">
        <f>IFERROR(__xludf.DUMMYFUNCTION("AI(""Preencha um valor adequado para esta célula com base no contexto da tabela"")"),"Timon - MA")</f>
        <v>Timon - MA</v>
      </c>
      <c r="H244" s="2" t="s">
        <v>1806</v>
      </c>
      <c r="I244" s="1" t="s">
        <v>1807</v>
      </c>
      <c r="J244" s="3" t="str">
        <f>IFERROR(__xludf.DUMMYFUNCTION("IF(A244="""", """", IFS(REGEXMATCH(LOWER(A244), ""barbearia|barber""), ""Barbearia"", REGEXMATCH(LOWER(A244), ""sobrancelh|c[ií]lio|lash|micropigment|showbrancelhas""), ""Sobrancelhas e Cílios"", REGEXMATCH(LOWER(A244), ""maquia|make""), ""Maquiagem"", RE"&amp;"GEXMATCH(LOWER(A244), ""depil|epil""), ""Depilação"", REGEXMATCH(LOWER(A244), ""esmalteria|unha|nail|manicur|spa dos p[eé]s|kauu_nhas""), ""Manicure - Esmalteria"", REGEXMATCH(LOWER(A244), ""est[eé]tic|bronze|massot|terap|pilates|revitalize|dra""), ""Clín"&amp;"ica de Estética"", TRUE, ""Salão de Beleza""))"),"Salão de Beleza")</f>
        <v>Salão de Beleza</v>
      </c>
    </row>
    <row r="245">
      <c r="A245" s="1" t="s">
        <v>1808</v>
      </c>
      <c r="B245" s="1" t="s">
        <v>1809</v>
      </c>
      <c r="C245" s="1" t="s">
        <v>1810</v>
      </c>
      <c r="D245" s="1" t="s">
        <v>1811</v>
      </c>
      <c r="E245" s="1" t="s">
        <v>1812</v>
      </c>
      <c r="F245" s="1" t="s">
        <v>1813</v>
      </c>
      <c r="G245" s="3" t="str">
        <f>IFERROR(__xludf.DUMMYFUNCTION("AI(""Preencha um valor adequado para esta célula com base no contexto da tabela"")"),"Timon - MA")</f>
        <v>Timon - MA</v>
      </c>
      <c r="H245" s="2" t="s">
        <v>1814</v>
      </c>
      <c r="I245" s="1" t="s">
        <v>1815</v>
      </c>
      <c r="J245" s="3" t="str">
        <f>IFERROR(__xludf.DUMMYFUNCTION("IF(A245="""", """", IFS(REGEXMATCH(LOWER(A245), ""barbearia|barber""), ""Barbearia"", REGEXMATCH(LOWER(A245), ""sobrancelh|c[ií]lio|lash|micropigment|showbrancelhas""), ""Sobrancelhas e Cílios"", REGEXMATCH(LOWER(A245), ""maquia|make""), ""Maquiagem"", RE"&amp;"GEXMATCH(LOWER(A245), ""depil|epil""), ""Depilação"", REGEXMATCH(LOWER(A245), ""esmalteria|unha|nail|manicur|spa dos p[eé]s|kauu_nhas""), ""Manicure - Esmalteria"", REGEXMATCH(LOWER(A245), ""est[eé]tic|bronze|massot|terap|pilates|revitalize|dra""), ""Clín"&amp;"ica de Estética"", TRUE, ""Salão de Beleza""))"),"Manicure - Esmalteria")</f>
        <v>Manicure - Esmalteria</v>
      </c>
    </row>
    <row r="246">
      <c r="A246" s="1" t="s">
        <v>1816</v>
      </c>
      <c r="D246" s="1" t="s">
        <v>1817</v>
      </c>
      <c r="E246" s="1" t="s">
        <v>1818</v>
      </c>
      <c r="F246" s="1" t="s">
        <v>1819</v>
      </c>
      <c r="G246" s="3" t="str">
        <f>IFERROR(__xludf.DUMMYFUNCTION("AI(""Preencha um valor adequado para esta célula com base no contexto da tabela"")"),"Timon - MA")</f>
        <v>Timon - MA</v>
      </c>
      <c r="H246" s="2" t="s">
        <v>1820</v>
      </c>
      <c r="I246" s="1" t="s">
        <v>1821</v>
      </c>
      <c r="J246" s="3" t="str">
        <f>IFERROR(__xludf.DUMMYFUNCTION("IF(A246="""", """", IFS(REGEXMATCH(LOWER(A246), ""barbearia|barber""), ""Barbearia"", REGEXMATCH(LOWER(A246), ""sobrancelh|c[ií]lio|lash|micropigment|showbrancelhas""), ""Sobrancelhas e Cílios"", REGEXMATCH(LOWER(A246), ""maquia|make""), ""Maquiagem"", RE"&amp;"GEXMATCH(LOWER(A246), ""depil|epil""), ""Depilação"", REGEXMATCH(LOWER(A246), ""esmalteria|unha|nail|manicur|spa dos p[eé]s|kauu_nhas""), ""Manicure - Esmalteria"", REGEXMATCH(LOWER(A246), ""est[eé]tic|bronze|massot|terap|pilates|revitalize|dra""), ""Clín"&amp;"ica de Estética"", TRUE, ""Salão de Beleza""))"),"Salão de Beleza")</f>
        <v>Salão de Beleza</v>
      </c>
    </row>
    <row r="247">
      <c r="A247" s="1" t="s">
        <v>1822</v>
      </c>
      <c r="B247" s="1" t="s">
        <v>1823</v>
      </c>
      <c r="C247" s="1" t="s">
        <v>1824</v>
      </c>
      <c r="D247" s="1" t="s">
        <v>1825</v>
      </c>
      <c r="E247" s="1" t="s">
        <v>1826</v>
      </c>
      <c r="F247" s="1" t="s">
        <v>1827</v>
      </c>
      <c r="G247" s="3" t="str">
        <f>IFERROR(__xludf.DUMMYFUNCTION("AI(""Preencha um valor adequado para esta célula com base no contexto da tabela"")"),"Timon - MA")</f>
        <v>Timon - MA</v>
      </c>
      <c r="H247" s="2" t="s">
        <v>1828</v>
      </c>
      <c r="I247" s="1" t="s">
        <v>1829</v>
      </c>
      <c r="J247" s="3" t="str">
        <f>IFERROR(__xludf.DUMMYFUNCTION("IF(A247="""", """", IFS(REGEXMATCH(LOWER(A247), ""barbearia|barber""), ""Barbearia"", REGEXMATCH(LOWER(A247), ""sobrancelh|c[ií]lio|lash|micropigment|showbrancelhas""), ""Sobrancelhas e Cílios"", REGEXMATCH(LOWER(A247), ""maquia|make""), ""Maquiagem"", RE"&amp;"GEXMATCH(LOWER(A247), ""depil|epil""), ""Depilação"", REGEXMATCH(LOWER(A247), ""esmalteria|unha|nail|manicur|spa dos p[eé]s|kauu_nhas""), ""Manicure - Esmalteria"", REGEXMATCH(LOWER(A247), ""est[eé]tic|bronze|massot|terap|pilates|revitalize|dra""), ""Clín"&amp;"ica de Estética"", TRUE, ""Salão de Beleza""))"),"Salão de Beleza")</f>
        <v>Salão de Beleza</v>
      </c>
    </row>
    <row r="248">
      <c r="A248" s="1" t="s">
        <v>1830</v>
      </c>
      <c r="B248" s="1" t="s">
        <v>1831</v>
      </c>
      <c r="C248" s="1" t="s">
        <v>1832</v>
      </c>
      <c r="D248" s="1" t="s">
        <v>1833</v>
      </c>
      <c r="E248" s="1" t="s">
        <v>1834</v>
      </c>
      <c r="F248" s="1" t="s">
        <v>1835</v>
      </c>
      <c r="G248" s="3" t="str">
        <f>IFERROR(__xludf.DUMMYFUNCTION("AI(""Preencha um valor adequado para esta célula com base no contexto da tabela"")"),"Timon - MA")</f>
        <v>Timon - MA</v>
      </c>
      <c r="H248" s="2" t="s">
        <v>1836</v>
      </c>
      <c r="I248" s="1" t="s">
        <v>1837</v>
      </c>
      <c r="J248" s="3" t="str">
        <f>IFERROR(__xludf.DUMMYFUNCTION("IF(A248="""", """", IFS(REGEXMATCH(LOWER(A248), ""barbearia|barber""), ""Barbearia"", REGEXMATCH(LOWER(A248), ""sobrancelh|c[ií]lio|lash|micropigment|showbrancelhas""), ""Sobrancelhas e Cílios"", REGEXMATCH(LOWER(A248), ""maquia|make""), ""Maquiagem"", RE"&amp;"GEXMATCH(LOWER(A248), ""depil|epil""), ""Depilação"", REGEXMATCH(LOWER(A248), ""esmalteria|unha|nail|manicur|spa dos p[eé]s|kauu_nhas""), ""Manicure - Esmalteria"", REGEXMATCH(LOWER(A248), ""est[eé]tic|bronze|massot|terap|pilates|revitalize|dra""), ""Clín"&amp;"ica de Estética"", TRUE, ""Salão de Beleza""))"),"Salão de Beleza")</f>
        <v>Salão de Beleza</v>
      </c>
    </row>
    <row r="249">
      <c r="A249" s="1" t="s">
        <v>1838</v>
      </c>
      <c r="B249" s="1" t="s">
        <v>1839</v>
      </c>
      <c r="C249" s="1" t="s">
        <v>1840</v>
      </c>
      <c r="D249" s="1" t="s">
        <v>1841</v>
      </c>
      <c r="E249" s="1" t="s">
        <v>1842</v>
      </c>
      <c r="F249" s="1" t="s">
        <v>1843</v>
      </c>
      <c r="G249" s="3" t="str">
        <f>IFERROR(__xludf.DUMMYFUNCTION("AI(""Preencha um valor adequado para esta célula com base no contexto da tabela"")"),"Timon - MA")</f>
        <v>Timon - MA</v>
      </c>
      <c r="H249" s="2" t="s">
        <v>1844</v>
      </c>
      <c r="I249" s="1" t="s">
        <v>1845</v>
      </c>
      <c r="J249" s="3" t="str">
        <f>IFERROR(__xludf.DUMMYFUNCTION("IF(A249="""", """", IFS(REGEXMATCH(LOWER(A249), ""barbearia|barber""), ""Barbearia"", REGEXMATCH(LOWER(A249), ""sobrancelh|c[ií]lio|lash|micropigment|showbrancelhas""), ""Sobrancelhas e Cílios"", REGEXMATCH(LOWER(A249), ""maquia|make""), ""Maquiagem"", RE"&amp;"GEXMATCH(LOWER(A249), ""depil|epil""), ""Depilação"", REGEXMATCH(LOWER(A249), ""esmalteria|unha|nail|manicur|spa dos p[eé]s|kauu_nhas""), ""Manicure - Esmalteria"", REGEXMATCH(LOWER(A249), ""est[eé]tic|bronze|massot|terap|pilates|revitalize|dra""), ""Clín"&amp;"ica de Estética"", TRUE, ""Salão de Beleza""))"),"Salão de Beleza")</f>
        <v>Salão de Beleza</v>
      </c>
    </row>
    <row r="250">
      <c r="A250" s="1" t="s">
        <v>1846</v>
      </c>
      <c r="B250" s="1" t="s">
        <v>1847</v>
      </c>
      <c r="C250" s="1" t="s">
        <v>1848</v>
      </c>
      <c r="E250" s="1" t="s">
        <v>1849</v>
      </c>
      <c r="F250" s="1" t="s">
        <v>1850</v>
      </c>
      <c r="G250" s="3" t="str">
        <f>IFERROR(__xludf.DUMMYFUNCTION("AI(""Preencha um valor adequado para esta célula com base no contexto da tabela"")"),"Timon - MA")</f>
        <v>Timon - MA</v>
      </c>
      <c r="H250" s="2" t="s">
        <v>1851</v>
      </c>
      <c r="J250" s="3" t="str">
        <f>IFERROR(__xludf.DUMMYFUNCTION("IF(A250="""", """", IFS(REGEXMATCH(LOWER(A250), ""barbearia|barber""), ""Barbearia"", REGEXMATCH(LOWER(A250), ""sobrancelh|c[ií]lio|lash|micropigment|showbrancelhas""), ""Sobrancelhas e Cílios"", REGEXMATCH(LOWER(A250), ""maquia|make""), ""Maquiagem"", RE"&amp;"GEXMATCH(LOWER(A250), ""depil|epil""), ""Depilação"", REGEXMATCH(LOWER(A250), ""esmalteria|unha|nail|manicur|spa dos p[eé]s|kauu_nhas""), ""Manicure - Esmalteria"", REGEXMATCH(LOWER(A250), ""est[eé]tic|bronze|massot|terap|pilates|revitalize|dra""), ""Clín"&amp;"ica de Estética"", TRUE, ""Salão de Beleza""))"),"Manicure - Esmalteria")</f>
        <v>Manicure - Esmalteria</v>
      </c>
    </row>
    <row r="251">
      <c r="A251" s="1" t="s">
        <v>1852</v>
      </c>
      <c r="B251" s="1" t="s">
        <v>1853</v>
      </c>
      <c r="C251" s="1" t="s">
        <v>1854</v>
      </c>
      <c r="D251" s="1" t="s">
        <v>1855</v>
      </c>
      <c r="E251" s="1" t="s">
        <v>1856</v>
      </c>
      <c r="F251" s="1" t="s">
        <v>1857</v>
      </c>
      <c r="G251" s="3" t="str">
        <f>IFERROR(__xludf.DUMMYFUNCTION("AI(""Preencha um valor adequado para esta célula com base no contexto da tabela"")"),"Timon - MA")</f>
        <v>Timon - MA</v>
      </c>
      <c r="H251" s="2" t="s">
        <v>1858</v>
      </c>
      <c r="I251" s="1" t="s">
        <v>1859</v>
      </c>
      <c r="J251" s="3" t="str">
        <f>IFERROR(__xludf.DUMMYFUNCTION("IF(A251="""", """", IFS(REGEXMATCH(LOWER(A251), ""barbearia|barber""), ""Barbearia"", REGEXMATCH(LOWER(A251), ""sobrancelh|c[ií]lio|lash|micropigment|showbrancelhas""), ""Sobrancelhas e Cílios"", REGEXMATCH(LOWER(A251), ""maquia|make""), ""Maquiagem"", RE"&amp;"GEXMATCH(LOWER(A251), ""depil|epil""), ""Depilação"", REGEXMATCH(LOWER(A251), ""esmalteria|unha|nail|manicur|spa dos p[eé]s|kauu_nhas""), ""Manicure - Esmalteria"", REGEXMATCH(LOWER(A251), ""est[eé]tic|bronze|massot|terap|pilates|revitalize|dra""), ""Clín"&amp;"ica de Estética"", TRUE, ""Salão de Beleza""))"),"Salão de Beleza")</f>
        <v>Salão de Beleza</v>
      </c>
    </row>
    <row r="252">
      <c r="A252" s="1" t="s">
        <v>1860</v>
      </c>
      <c r="D252" s="1" t="s">
        <v>1861</v>
      </c>
      <c r="E252" s="1" t="s">
        <v>1862</v>
      </c>
      <c r="F252" s="1" t="s">
        <v>1863</v>
      </c>
      <c r="G252" s="3" t="str">
        <f>IFERROR(__xludf.DUMMYFUNCTION("AI(""Preencha um valor adequado para esta célula com base no contexto da tabela"")"),"Timon - MA")</f>
        <v>Timon - MA</v>
      </c>
      <c r="H252" s="2" t="s">
        <v>1864</v>
      </c>
      <c r="I252" s="1" t="s">
        <v>1865</v>
      </c>
      <c r="J252" s="3" t="str">
        <f>IFERROR(__xludf.DUMMYFUNCTION("IF(A252="""", """", IFS(REGEXMATCH(LOWER(A252), ""barbearia|barber""), ""Barbearia"", REGEXMATCH(LOWER(A252), ""sobrancelh|c[ií]lio|lash|micropigment|showbrancelhas""), ""Sobrancelhas e Cílios"", REGEXMATCH(LOWER(A252), ""maquia|make""), ""Maquiagem"", RE"&amp;"GEXMATCH(LOWER(A252), ""depil|epil""), ""Depilação"", REGEXMATCH(LOWER(A252), ""esmalteria|unha|nail|manicur|spa dos p[eé]s|kauu_nhas""), ""Manicure - Esmalteria"", REGEXMATCH(LOWER(A252), ""est[eé]tic|bronze|massot|terap|pilates|revitalize|dra""), ""Clín"&amp;"ica de Estética"", TRUE, ""Salão de Beleza""))"),"Manicure - Esmalteria")</f>
        <v>Manicure - Esmalteria</v>
      </c>
    </row>
    <row r="253">
      <c r="A253" s="1" t="s">
        <v>918</v>
      </c>
      <c r="B253" s="1" t="s">
        <v>1866</v>
      </c>
      <c r="C253" s="1" t="s">
        <v>1867</v>
      </c>
      <c r="D253" s="1" t="s">
        <v>1868</v>
      </c>
      <c r="E253" s="1" t="s">
        <v>1869</v>
      </c>
      <c r="F253" s="1" t="s">
        <v>1870</v>
      </c>
      <c r="G253" s="3" t="str">
        <f>IFERROR(__xludf.DUMMYFUNCTION("AI(""Preencha um valor adequado para esta célula com base no contexto da tabela"")"),"Timon - MA")</f>
        <v>Timon - MA</v>
      </c>
      <c r="H253" s="2" t="s">
        <v>1871</v>
      </c>
      <c r="I253" s="1" t="s">
        <v>1872</v>
      </c>
      <c r="J253" s="3" t="str">
        <f>IFERROR(__xludf.DUMMYFUNCTION("IF(A253="""", """", IFS(REGEXMATCH(LOWER(A253), ""barbearia|barber""), ""Barbearia"", REGEXMATCH(LOWER(A253), ""sobrancelh|c[ií]lio|lash|micropigment|showbrancelhas""), ""Sobrancelhas e Cílios"", REGEXMATCH(LOWER(A253), ""maquia|make""), ""Maquiagem"", RE"&amp;"GEXMATCH(LOWER(A253), ""depil|epil""), ""Depilação"", REGEXMATCH(LOWER(A253), ""esmalteria|unha|nail|manicur|spa dos p[eé]s|kauu_nhas""), ""Manicure - Esmalteria"", REGEXMATCH(LOWER(A253), ""est[eé]tic|bronze|massot|terap|pilates|revitalize|dra""), ""Clín"&amp;"ica de Estética"", TRUE, ""Salão de Beleza""))"),"Salão de Beleza")</f>
        <v>Salão de Beleza</v>
      </c>
    </row>
    <row r="254">
      <c r="A254" s="1" t="s">
        <v>1873</v>
      </c>
      <c r="D254" s="1" t="s">
        <v>1874</v>
      </c>
      <c r="E254" s="1" t="s">
        <v>1875</v>
      </c>
      <c r="F254" s="1" t="s">
        <v>1876</v>
      </c>
      <c r="G254" s="3" t="str">
        <f>IFERROR(__xludf.DUMMYFUNCTION("AI(""Preencha um valor adequado para esta célula com base no contexto da tabela"")"),"Timon - MA")</f>
        <v>Timon - MA</v>
      </c>
      <c r="H254" s="2" t="s">
        <v>1877</v>
      </c>
      <c r="I254" s="1" t="s">
        <v>1878</v>
      </c>
      <c r="J254" s="3" t="str">
        <f>IFERROR(__xludf.DUMMYFUNCTION("IF(A254="""", """", IFS(REGEXMATCH(LOWER(A254), ""barbearia|barber""), ""Barbearia"", REGEXMATCH(LOWER(A254), ""sobrancelh|c[ií]lio|lash|micropigment|showbrancelhas""), ""Sobrancelhas e Cílios"", REGEXMATCH(LOWER(A254), ""maquia|make""), ""Maquiagem"", RE"&amp;"GEXMATCH(LOWER(A254), ""depil|epil""), ""Depilação"", REGEXMATCH(LOWER(A254), ""esmalteria|unha|nail|manicur|spa dos p[eé]s|kauu_nhas""), ""Manicure - Esmalteria"", REGEXMATCH(LOWER(A254), ""est[eé]tic|bronze|massot|terap|pilates|revitalize|dra""), ""Clín"&amp;"ica de Estética"", TRUE, ""Salão de Beleza""))"),"Salão de Beleza")</f>
        <v>Salão de Beleza</v>
      </c>
    </row>
    <row r="255">
      <c r="A255" s="1" t="s">
        <v>1879</v>
      </c>
      <c r="B255" s="1" t="s">
        <v>1880</v>
      </c>
      <c r="C255" s="1" t="s">
        <v>1881</v>
      </c>
      <c r="D255" s="1" t="s">
        <v>1882</v>
      </c>
      <c r="E255" s="1" t="s">
        <v>1883</v>
      </c>
      <c r="F255" s="1" t="s">
        <v>1884</v>
      </c>
      <c r="G255" s="3" t="str">
        <f>IFERROR(__xludf.DUMMYFUNCTION("AI(""Preencha um valor adequado para esta célula com base no contexto da tabela"")"),"Timon - MA")</f>
        <v>Timon - MA</v>
      </c>
      <c r="H255" s="2" t="s">
        <v>1885</v>
      </c>
      <c r="I255" s="1" t="s">
        <v>1886</v>
      </c>
      <c r="J255" s="3" t="str">
        <f>IFERROR(__xludf.DUMMYFUNCTION("IF(A255="""", """", IFS(REGEXMATCH(LOWER(A255), ""barbearia|barber""), ""Barbearia"", REGEXMATCH(LOWER(A255), ""sobrancelh|c[ií]lio|lash|micropigment|showbrancelhas""), ""Sobrancelhas e Cílios"", REGEXMATCH(LOWER(A255), ""maquia|make""), ""Maquiagem"", RE"&amp;"GEXMATCH(LOWER(A255), ""depil|epil""), ""Depilação"", REGEXMATCH(LOWER(A255), ""esmalteria|unha|nail|manicur|spa dos p[eé]s|kauu_nhas""), ""Manicure - Esmalteria"", REGEXMATCH(LOWER(A255), ""est[eé]tic|bronze|massot|terap|pilates|revitalize|dra""), ""Clín"&amp;"ica de Estética"", TRUE, ""Salão de Beleza""))"),"Salão de Beleza")</f>
        <v>Salão de Beleza</v>
      </c>
    </row>
    <row r="256">
      <c r="A256" s="1" t="s">
        <v>1887</v>
      </c>
      <c r="B256" s="1" t="s">
        <v>1888</v>
      </c>
      <c r="C256" s="1" t="s">
        <v>1889</v>
      </c>
      <c r="D256" s="1" t="s">
        <v>1890</v>
      </c>
      <c r="E256" s="1" t="s">
        <v>1891</v>
      </c>
      <c r="F256" s="1" t="s">
        <v>1892</v>
      </c>
      <c r="G256" s="3" t="str">
        <f>IFERROR(__xludf.DUMMYFUNCTION("AI(""Preencha um valor adequado para esta célula com base no contexto da tabela"")"),"Timon - MA")</f>
        <v>Timon - MA</v>
      </c>
      <c r="H256" s="2" t="s">
        <v>1893</v>
      </c>
      <c r="I256" s="1" t="s">
        <v>1894</v>
      </c>
      <c r="J256" s="3" t="str">
        <f>IFERROR(__xludf.DUMMYFUNCTION("IF(A256="""", """", IFS(REGEXMATCH(LOWER(A256), ""barbearia|barber""), ""Barbearia"", REGEXMATCH(LOWER(A256), ""sobrancelh|c[ií]lio|lash|micropigment|showbrancelhas""), ""Sobrancelhas e Cílios"", REGEXMATCH(LOWER(A256), ""maquia|make""), ""Maquiagem"", RE"&amp;"GEXMATCH(LOWER(A256), ""depil|epil""), ""Depilação"", REGEXMATCH(LOWER(A256), ""esmalteria|unha|nail|manicur|spa dos p[eé]s|kauu_nhas""), ""Manicure - Esmalteria"", REGEXMATCH(LOWER(A256), ""est[eé]tic|bronze|massot|terap|pilates|revitalize|dra""), ""Clín"&amp;"ica de Estética"", TRUE, ""Salão de Beleza""))"),"Salão de Beleza")</f>
        <v>Salão de Beleza</v>
      </c>
    </row>
    <row r="257">
      <c r="A257" s="1" t="s">
        <v>1895</v>
      </c>
      <c r="B257" s="1" t="s">
        <v>1896</v>
      </c>
      <c r="C257" s="1" t="s">
        <v>1897</v>
      </c>
      <c r="D257" s="1" t="s">
        <v>1898</v>
      </c>
      <c r="E257" s="1" t="s">
        <v>1899</v>
      </c>
      <c r="F257" s="1" t="s">
        <v>1900</v>
      </c>
      <c r="G257" s="3" t="str">
        <f>IFERROR(__xludf.DUMMYFUNCTION("AI(""Preencha um valor adequado para esta célula com base no contexto da tabela"")"),"Timon - MA")</f>
        <v>Timon - MA</v>
      </c>
      <c r="H257" s="2" t="s">
        <v>1901</v>
      </c>
      <c r="I257" s="1" t="s">
        <v>1902</v>
      </c>
      <c r="J257" s="3" t="str">
        <f>IFERROR(__xludf.DUMMYFUNCTION("IF(A257="""", """", IFS(REGEXMATCH(LOWER(A257), ""barbearia|barber""), ""Barbearia"", REGEXMATCH(LOWER(A257), ""sobrancelh|c[ií]lio|lash|micropigment|showbrancelhas""), ""Sobrancelhas e Cílios"", REGEXMATCH(LOWER(A257), ""maquia|make""), ""Maquiagem"", RE"&amp;"GEXMATCH(LOWER(A257), ""depil|epil""), ""Depilação"", REGEXMATCH(LOWER(A257), ""esmalteria|unha|nail|manicur|spa dos p[eé]s|kauu_nhas""), ""Manicure - Esmalteria"", REGEXMATCH(LOWER(A257), ""est[eé]tic|bronze|massot|terap|pilates|revitalize|dra""), ""Clín"&amp;"ica de Estética"", TRUE, ""Salão de Beleza""))"),"Salão de Beleza")</f>
        <v>Salão de Beleza</v>
      </c>
    </row>
    <row r="258">
      <c r="A258" s="1" t="s">
        <v>1903</v>
      </c>
      <c r="B258" s="1" t="s">
        <v>1904</v>
      </c>
      <c r="C258" s="1" t="s">
        <v>1905</v>
      </c>
      <c r="D258" s="1" t="s">
        <v>1906</v>
      </c>
      <c r="E258" s="1" t="s">
        <v>1907</v>
      </c>
      <c r="F258" s="1" t="s">
        <v>1908</v>
      </c>
      <c r="G258" s="3" t="str">
        <f>IFERROR(__xludf.DUMMYFUNCTION("AI(""Preencha um valor adequado para esta célula com base no contexto da tabela"")"),"Timon - MA")</f>
        <v>Timon - MA</v>
      </c>
      <c r="H258" s="2" t="s">
        <v>1909</v>
      </c>
      <c r="I258" s="1" t="s">
        <v>1910</v>
      </c>
      <c r="J258" s="3" t="str">
        <f>IFERROR(__xludf.DUMMYFUNCTION("IF(A258="""", """", IFS(REGEXMATCH(LOWER(A258), ""barbearia|barber""), ""Barbearia"", REGEXMATCH(LOWER(A258), ""sobrancelh|c[ií]lio|lash|micropigment|showbrancelhas""), ""Sobrancelhas e Cílios"", REGEXMATCH(LOWER(A258), ""maquia|make""), ""Maquiagem"", RE"&amp;"GEXMATCH(LOWER(A258), ""depil|epil""), ""Depilação"", REGEXMATCH(LOWER(A258), ""esmalteria|unha|nail|manicur|spa dos p[eé]s|kauu_nhas""), ""Manicure - Esmalteria"", REGEXMATCH(LOWER(A258), ""est[eé]tic|bronze|massot|terap|pilates|revitalize|dra""), ""Clín"&amp;"ica de Estética"", TRUE, ""Salão de Beleza""))"),"Manicure - Esmalteria")</f>
        <v>Manicure - Esmalteria</v>
      </c>
    </row>
    <row r="259">
      <c r="A259" s="1" t="s">
        <v>1911</v>
      </c>
      <c r="B259" s="1" t="s">
        <v>1912</v>
      </c>
      <c r="D259" s="1" t="s">
        <v>1913</v>
      </c>
      <c r="E259" s="1" t="s">
        <v>1914</v>
      </c>
      <c r="F259" s="1" t="s">
        <v>1915</v>
      </c>
      <c r="G259" s="3" t="str">
        <f>IFERROR(__xludf.DUMMYFUNCTION("AI(""Preencha um valor adequado para esta célula com base no contexto da tabela"")"),"Timon - MA")</f>
        <v>Timon - MA</v>
      </c>
      <c r="H259" s="2" t="s">
        <v>1916</v>
      </c>
      <c r="I259" s="1" t="s">
        <v>1917</v>
      </c>
      <c r="J259" s="3" t="str">
        <f>IFERROR(__xludf.DUMMYFUNCTION("IF(A259="""", """", IFS(REGEXMATCH(LOWER(A259), ""barbearia|barber""), ""Barbearia"", REGEXMATCH(LOWER(A259), ""sobrancelh|c[ií]lio|lash|micropigment|showbrancelhas""), ""Sobrancelhas e Cílios"", REGEXMATCH(LOWER(A259), ""maquia|make""), ""Maquiagem"", RE"&amp;"GEXMATCH(LOWER(A259), ""depil|epil""), ""Depilação"", REGEXMATCH(LOWER(A259), ""esmalteria|unha|nail|manicur|spa dos p[eé]s|kauu_nhas""), ""Manicure - Esmalteria"", REGEXMATCH(LOWER(A259), ""est[eé]tic|bronze|massot|terap|pilates|revitalize|dra""), ""Clín"&amp;"ica de Estética"", TRUE, ""Salão de Beleza""))"),"Depilação")</f>
        <v>Depilação</v>
      </c>
    </row>
    <row r="260">
      <c r="A260" s="1" t="s">
        <v>1918</v>
      </c>
      <c r="B260" s="1" t="s">
        <v>1919</v>
      </c>
      <c r="C260" s="1" t="s">
        <v>1920</v>
      </c>
      <c r="D260" s="1" t="s">
        <v>779</v>
      </c>
      <c r="E260" s="1" t="s">
        <v>1921</v>
      </c>
      <c r="F260" s="1" t="s">
        <v>1922</v>
      </c>
      <c r="G260" s="3" t="str">
        <f>IFERROR(__xludf.DUMMYFUNCTION("AI(""Preencha um valor adequado para esta célula com base no contexto da tabela"")"),"Timon - MA")</f>
        <v>Timon - MA</v>
      </c>
      <c r="H260" s="2" t="s">
        <v>1923</v>
      </c>
      <c r="I260" s="1" t="s">
        <v>783</v>
      </c>
      <c r="J260" s="3" t="str">
        <f>IFERROR(__xludf.DUMMYFUNCTION("IF(A260="""", """", IFS(REGEXMATCH(LOWER(A260), ""barbearia|barber""), ""Barbearia"", REGEXMATCH(LOWER(A260), ""sobrancelh|c[ií]lio|lash|micropigment|showbrancelhas""), ""Sobrancelhas e Cílios"", REGEXMATCH(LOWER(A260), ""maquia|make""), ""Maquiagem"", RE"&amp;"GEXMATCH(LOWER(A260), ""depil|epil""), ""Depilação"", REGEXMATCH(LOWER(A260), ""esmalteria|unha|nail|manicur|spa dos p[eé]s|kauu_nhas""), ""Manicure - Esmalteria"", REGEXMATCH(LOWER(A260), ""est[eé]tic|bronze|massot|terap|pilates|revitalize|dra""), ""Clín"&amp;"ica de Estética"", TRUE, ""Salão de Beleza""))"),"Clínica de Estética")</f>
        <v>Clínica de Estética</v>
      </c>
    </row>
    <row r="261">
      <c r="A261" s="1" t="s">
        <v>1924</v>
      </c>
      <c r="B261" s="1" t="s">
        <v>1925</v>
      </c>
      <c r="C261" s="1" t="s">
        <v>1926</v>
      </c>
      <c r="D261" s="1" t="s">
        <v>1927</v>
      </c>
      <c r="E261" s="1" t="s">
        <v>1928</v>
      </c>
      <c r="F261" s="1" t="s">
        <v>1929</v>
      </c>
      <c r="G261" s="3" t="str">
        <f>IFERROR(__xludf.DUMMYFUNCTION("AI(""Preencha um valor adequado para esta célula com base no contexto da tabela"")"),"Timon - MA")</f>
        <v>Timon - MA</v>
      </c>
      <c r="H261" s="2" t="s">
        <v>1930</v>
      </c>
      <c r="I261" s="1" t="s">
        <v>1931</v>
      </c>
      <c r="J261" s="3" t="str">
        <f>IFERROR(__xludf.DUMMYFUNCTION("IF(A261="""", """", IFS(REGEXMATCH(LOWER(A261), ""barbearia|barber""), ""Barbearia"", REGEXMATCH(LOWER(A261), ""sobrancelh|c[ií]lio|lash|micropigment|showbrancelhas""), ""Sobrancelhas e Cílios"", REGEXMATCH(LOWER(A261), ""maquia|make""), ""Maquiagem"", RE"&amp;"GEXMATCH(LOWER(A261), ""depil|epil""), ""Depilação"", REGEXMATCH(LOWER(A261), ""esmalteria|unha|nail|manicur|spa dos p[eé]s|kauu_nhas""), ""Manicure - Esmalteria"", REGEXMATCH(LOWER(A261), ""est[eé]tic|bronze|massot|terap|pilates|revitalize|dra""), ""Clín"&amp;"ica de Estética"", TRUE, ""Salão de Beleza""))"),"Salão de Beleza")</f>
        <v>Salão de Beleza</v>
      </c>
    </row>
    <row r="262">
      <c r="A262" s="1" t="s">
        <v>1932</v>
      </c>
      <c r="D262" s="1" t="s">
        <v>1933</v>
      </c>
      <c r="E262" s="1" t="s">
        <v>1934</v>
      </c>
      <c r="F262" s="1" t="s">
        <v>1935</v>
      </c>
      <c r="G262" s="3" t="str">
        <f>IFERROR(__xludf.DUMMYFUNCTION("AI(""Preencha um valor adequado para esta célula com base no contexto da tabela"")"),"Timon - MA")</f>
        <v>Timon - MA</v>
      </c>
      <c r="H262" s="2" t="s">
        <v>1936</v>
      </c>
      <c r="I262" s="1" t="s">
        <v>1937</v>
      </c>
      <c r="J262" s="3" t="str">
        <f>IFERROR(__xludf.DUMMYFUNCTION("IF(A262="""", """", IFS(REGEXMATCH(LOWER(A262), ""barbearia|barber""), ""Barbearia"", REGEXMATCH(LOWER(A262), ""sobrancelh|c[ií]lio|lash|micropigment|showbrancelhas""), ""Sobrancelhas e Cílios"", REGEXMATCH(LOWER(A262), ""maquia|make""), ""Maquiagem"", RE"&amp;"GEXMATCH(LOWER(A262), ""depil|epil""), ""Depilação"", REGEXMATCH(LOWER(A262), ""esmalteria|unha|nail|manicur|spa dos p[eé]s|kauu_nhas""), ""Manicure - Esmalteria"", REGEXMATCH(LOWER(A262), ""est[eé]tic|bronze|massot|terap|pilates|revitalize|dra""), ""Clín"&amp;"ica de Estética"", TRUE, ""Salão de Beleza""))"),"Salão de Beleza")</f>
        <v>Salão de Beleza</v>
      </c>
    </row>
    <row r="263">
      <c r="A263" s="1" t="s">
        <v>1938</v>
      </c>
      <c r="B263" s="1" t="s">
        <v>1939</v>
      </c>
      <c r="C263" s="1" t="s">
        <v>1940</v>
      </c>
      <c r="D263" s="1" t="s">
        <v>1941</v>
      </c>
      <c r="E263" s="1" t="s">
        <v>1942</v>
      </c>
      <c r="F263" s="1" t="s">
        <v>1943</v>
      </c>
      <c r="G263" s="3" t="str">
        <f>IFERROR(__xludf.DUMMYFUNCTION("AI(""Preencha um valor adequado para esta célula com base no contexto da tabela"")"),"Timon - MA")</f>
        <v>Timon - MA</v>
      </c>
      <c r="H263" s="2" t="s">
        <v>1944</v>
      </c>
      <c r="I263" s="1" t="s">
        <v>1945</v>
      </c>
      <c r="J263" s="3" t="str">
        <f>IFERROR(__xludf.DUMMYFUNCTION("IF(A263="""", """", IFS(REGEXMATCH(LOWER(A263), ""barbearia|barber""), ""Barbearia"", REGEXMATCH(LOWER(A263), ""sobrancelh|c[ií]lio|lash|micropigment|showbrancelhas""), ""Sobrancelhas e Cílios"", REGEXMATCH(LOWER(A263), ""maquia|make""), ""Maquiagem"", RE"&amp;"GEXMATCH(LOWER(A263), ""depil|epil""), ""Depilação"", REGEXMATCH(LOWER(A263), ""esmalteria|unha|nail|manicur|spa dos p[eé]s|kauu_nhas""), ""Manicure - Esmalteria"", REGEXMATCH(LOWER(A263), ""est[eé]tic|bronze|massot|terap|pilates|revitalize|dra""), ""Clín"&amp;"ica de Estética"", TRUE, ""Salão de Beleza""))"),"Salão de Beleza")</f>
        <v>Salão de Beleza</v>
      </c>
    </row>
    <row r="264">
      <c r="A264" s="1" t="s">
        <v>1946</v>
      </c>
      <c r="B264" s="1" t="s">
        <v>1947</v>
      </c>
      <c r="C264" s="1" t="s">
        <v>1948</v>
      </c>
      <c r="D264" s="1" t="s">
        <v>1949</v>
      </c>
      <c r="E264" s="1" t="s">
        <v>1950</v>
      </c>
      <c r="F264" s="1" t="s">
        <v>1951</v>
      </c>
      <c r="G264" s="3" t="str">
        <f>IFERROR(__xludf.DUMMYFUNCTION("AI(""Preencha um valor adequado para esta célula com base no contexto da tabela"")"),"Timon - MA")</f>
        <v>Timon - MA</v>
      </c>
      <c r="H264" s="2" t="s">
        <v>1952</v>
      </c>
      <c r="I264" s="1" t="s">
        <v>476</v>
      </c>
      <c r="J264" s="3" t="str">
        <f>IFERROR(__xludf.DUMMYFUNCTION("IF(A264="""", """", IFS(REGEXMATCH(LOWER(A264), ""barbearia|barber""), ""Barbearia"", REGEXMATCH(LOWER(A264), ""sobrancelh|c[ií]lio|lash|micropigment|showbrancelhas""), ""Sobrancelhas e Cílios"", REGEXMATCH(LOWER(A264), ""maquia|make""), ""Maquiagem"", RE"&amp;"GEXMATCH(LOWER(A264), ""depil|epil""), ""Depilação"", REGEXMATCH(LOWER(A264), ""esmalteria|unha|nail|manicur|spa dos p[eé]s|kauu_nhas""), ""Manicure - Esmalteria"", REGEXMATCH(LOWER(A264), ""est[eé]tic|bronze|massot|terap|pilates|revitalize|dra""), ""Clín"&amp;"ica de Estética"", TRUE, ""Salão de Beleza""))"),"Salão de Beleza")</f>
        <v>Salão de Beleza</v>
      </c>
    </row>
    <row r="265">
      <c r="A265" s="1" t="s">
        <v>1953</v>
      </c>
      <c r="B265" s="1" t="s">
        <v>1954</v>
      </c>
      <c r="C265" s="1" t="s">
        <v>1955</v>
      </c>
      <c r="D265" s="1" t="s">
        <v>1956</v>
      </c>
      <c r="E265" s="1" t="s">
        <v>1957</v>
      </c>
      <c r="F265" s="1" t="s">
        <v>1958</v>
      </c>
      <c r="G265" s="3" t="str">
        <f>IFERROR(__xludf.DUMMYFUNCTION("AI(""Preencha um valor adequado para esta célula com base no contexto da tabela"")"),"Timon - MA")</f>
        <v>Timon - MA</v>
      </c>
      <c r="H265" s="2" t="s">
        <v>1959</v>
      </c>
      <c r="I265" s="1" t="s">
        <v>1960</v>
      </c>
      <c r="J265" s="3" t="str">
        <f>IFERROR(__xludf.DUMMYFUNCTION("IF(A265="""", """", IFS(REGEXMATCH(LOWER(A265), ""barbearia|barber""), ""Barbearia"", REGEXMATCH(LOWER(A265), ""sobrancelh|c[ií]lio|lash|micropigment|showbrancelhas""), ""Sobrancelhas e Cílios"", REGEXMATCH(LOWER(A265), ""maquia|make""), ""Maquiagem"", RE"&amp;"GEXMATCH(LOWER(A265), ""depil|epil""), ""Depilação"", REGEXMATCH(LOWER(A265), ""esmalteria|unha|nail|manicur|spa dos p[eé]s|kauu_nhas""), ""Manicure - Esmalteria"", REGEXMATCH(LOWER(A265), ""est[eé]tic|bronze|massot|terap|pilates|revitalize|dra""), ""Clín"&amp;"ica de Estética"", TRUE, ""Salão de Beleza""))"),"Manicure - Esmalteria")</f>
        <v>Manicure - Esmalteria</v>
      </c>
    </row>
    <row r="266">
      <c r="A266" s="1" t="s">
        <v>1961</v>
      </c>
      <c r="D266" s="1" t="s">
        <v>1962</v>
      </c>
      <c r="E266" s="1" t="s">
        <v>1963</v>
      </c>
      <c r="F266" s="1" t="s">
        <v>1964</v>
      </c>
      <c r="G266" s="3" t="str">
        <f>IFERROR(__xludf.DUMMYFUNCTION("AI(""Preencha um valor adequado para esta célula com base no contexto da tabela"")"),"Timon - MA")</f>
        <v>Timon - MA</v>
      </c>
      <c r="H266" s="2" t="s">
        <v>1965</v>
      </c>
      <c r="I266" s="1" t="s">
        <v>1966</v>
      </c>
      <c r="J266" s="3" t="str">
        <f>IFERROR(__xludf.DUMMYFUNCTION("IF(A266="""", """", IFS(REGEXMATCH(LOWER(A266), ""barbearia|barber""), ""Barbearia"", REGEXMATCH(LOWER(A266), ""sobrancelh|c[ií]lio|lash|micropigment|showbrancelhas""), ""Sobrancelhas e Cílios"", REGEXMATCH(LOWER(A266), ""maquia|make""), ""Maquiagem"", RE"&amp;"GEXMATCH(LOWER(A266), ""depil|epil""), ""Depilação"", REGEXMATCH(LOWER(A266), ""esmalteria|unha|nail|manicur|spa dos p[eé]s|kauu_nhas""), ""Manicure - Esmalteria"", REGEXMATCH(LOWER(A266), ""est[eé]tic|bronze|massot|terap|pilates|revitalize|dra""), ""Clín"&amp;"ica de Estética"", TRUE, ""Salão de Beleza""))"),"Salão de Beleza")</f>
        <v>Salão de Beleza</v>
      </c>
    </row>
    <row r="267">
      <c r="A267" s="1" t="s">
        <v>1967</v>
      </c>
      <c r="B267" s="1" t="s">
        <v>1968</v>
      </c>
      <c r="C267" s="1" t="s">
        <v>1969</v>
      </c>
      <c r="D267" s="1" t="s">
        <v>1970</v>
      </c>
      <c r="E267" s="1" t="s">
        <v>1971</v>
      </c>
      <c r="F267" s="1" t="s">
        <v>1972</v>
      </c>
      <c r="G267" s="3" t="str">
        <f>IFERROR(__xludf.DUMMYFUNCTION("AI(""Preencha um valor adequado para esta célula com base no contexto da tabela"")"),"Timon - MA")</f>
        <v>Timon - MA</v>
      </c>
      <c r="H267" s="2" t="s">
        <v>1973</v>
      </c>
      <c r="I267" s="1" t="s">
        <v>1974</v>
      </c>
      <c r="J267" s="3" t="str">
        <f>IFERROR(__xludf.DUMMYFUNCTION("IF(A267="""", """", IFS(REGEXMATCH(LOWER(A267), ""barbearia|barber""), ""Barbearia"", REGEXMATCH(LOWER(A267), ""sobrancelh|c[ií]lio|lash|micropigment|showbrancelhas""), ""Sobrancelhas e Cílios"", REGEXMATCH(LOWER(A267), ""maquia|make""), ""Maquiagem"", RE"&amp;"GEXMATCH(LOWER(A267), ""depil|epil""), ""Depilação"", REGEXMATCH(LOWER(A267), ""esmalteria|unha|nail|manicur|spa dos p[eé]s|kauu_nhas""), ""Manicure - Esmalteria"", REGEXMATCH(LOWER(A267), ""est[eé]tic|bronze|massot|terap|pilates|revitalize|dra""), ""Clín"&amp;"ica de Estética"", TRUE, ""Salão de Beleza""))"),"Salão de Beleza")</f>
        <v>Salão de Beleza</v>
      </c>
    </row>
    <row r="268">
      <c r="A268" s="1" t="s">
        <v>1975</v>
      </c>
      <c r="D268" s="1" t="s">
        <v>1976</v>
      </c>
      <c r="E268" s="1" t="s">
        <v>1977</v>
      </c>
      <c r="F268" s="1" t="s">
        <v>1978</v>
      </c>
      <c r="G268" s="3" t="str">
        <f>IFERROR(__xludf.DUMMYFUNCTION("AI(""Preencha um valor adequado para esta célula com base no contexto da tabela"")"),"Timon - MA")</f>
        <v>Timon - MA</v>
      </c>
      <c r="H268" s="2" t="s">
        <v>1979</v>
      </c>
      <c r="I268" s="1" t="s">
        <v>1980</v>
      </c>
      <c r="J268" s="3" t="str">
        <f>IFERROR(__xludf.DUMMYFUNCTION("IF(A268="""", """", IFS(REGEXMATCH(LOWER(A268), ""barbearia|barber""), ""Barbearia"", REGEXMATCH(LOWER(A268), ""sobrancelh|c[ií]lio|lash|micropigment|showbrancelhas""), ""Sobrancelhas e Cílios"", REGEXMATCH(LOWER(A268), ""maquia|make""), ""Maquiagem"", RE"&amp;"GEXMATCH(LOWER(A268), ""depil|epil""), ""Depilação"", REGEXMATCH(LOWER(A268), ""esmalteria|unha|nail|manicur|spa dos p[eé]s|kauu_nhas""), ""Manicure - Esmalteria"", REGEXMATCH(LOWER(A268), ""est[eé]tic|bronze|massot|terap|pilates|revitalize|dra""), ""Clín"&amp;"ica de Estética"", TRUE, ""Salão de Beleza""))"),"Maquiagem")</f>
        <v>Maquiagem</v>
      </c>
    </row>
    <row r="269">
      <c r="A269" s="1" t="s">
        <v>1981</v>
      </c>
      <c r="D269" s="1" t="s">
        <v>1982</v>
      </c>
      <c r="E269" s="1" t="s">
        <v>1983</v>
      </c>
      <c r="F269" s="1" t="s">
        <v>1984</v>
      </c>
      <c r="G269" s="3" t="str">
        <f>IFERROR(__xludf.DUMMYFUNCTION("AI(""Preencha um valor adequado para esta célula com base no contexto da tabela"")"),"Timon - MA")</f>
        <v>Timon - MA</v>
      </c>
      <c r="H269" s="2" t="s">
        <v>1985</v>
      </c>
      <c r="I269" s="1" t="s">
        <v>1986</v>
      </c>
      <c r="J269" s="3" t="str">
        <f>IFERROR(__xludf.DUMMYFUNCTION("IF(A269="""", """", IFS(REGEXMATCH(LOWER(A269), ""barbearia|barber""), ""Barbearia"", REGEXMATCH(LOWER(A269), ""sobrancelh|c[ií]lio|lash|micropigment|showbrancelhas""), ""Sobrancelhas e Cílios"", REGEXMATCH(LOWER(A269), ""maquia|make""), ""Maquiagem"", RE"&amp;"GEXMATCH(LOWER(A269), ""depil|epil""), ""Depilação"", REGEXMATCH(LOWER(A269), ""esmalteria|unha|nail|manicur|spa dos p[eé]s|kauu_nhas""), ""Manicure - Esmalteria"", REGEXMATCH(LOWER(A269), ""est[eé]tic|bronze|massot|terap|pilates|revitalize|dra""), ""Clín"&amp;"ica de Estética"", TRUE, ""Salão de Beleza""))"),"Salão de Beleza")</f>
        <v>Salão de Beleza</v>
      </c>
    </row>
    <row r="270">
      <c r="A270" s="1" t="s">
        <v>1987</v>
      </c>
      <c r="B270" s="1" t="s">
        <v>1988</v>
      </c>
      <c r="C270" s="1" t="s">
        <v>1989</v>
      </c>
      <c r="D270" s="1" t="s">
        <v>1990</v>
      </c>
      <c r="E270" s="1" t="s">
        <v>1991</v>
      </c>
      <c r="F270" s="1" t="s">
        <v>1992</v>
      </c>
      <c r="G270" s="3" t="str">
        <f>IFERROR(__xludf.DUMMYFUNCTION("AI(""Preencha um valor adequado para esta célula com base no contexto da tabela"")"),"Timon - MA")</f>
        <v>Timon - MA</v>
      </c>
      <c r="H270" s="2" t="s">
        <v>1993</v>
      </c>
      <c r="I270" s="1" t="s">
        <v>1994</v>
      </c>
      <c r="J270" s="3" t="str">
        <f>IFERROR(__xludf.DUMMYFUNCTION("IF(A270="""", """", IFS(REGEXMATCH(LOWER(A270), ""barbearia|barber""), ""Barbearia"", REGEXMATCH(LOWER(A270), ""sobrancelh|c[ií]lio|lash|micropigment|showbrancelhas""), ""Sobrancelhas e Cílios"", REGEXMATCH(LOWER(A270), ""maquia|make""), ""Maquiagem"", RE"&amp;"GEXMATCH(LOWER(A270), ""depil|epil""), ""Depilação"", REGEXMATCH(LOWER(A270), ""esmalteria|unha|nail|manicur|spa dos p[eé]s|kauu_nhas""), ""Manicure - Esmalteria"", REGEXMATCH(LOWER(A270), ""est[eé]tic|bronze|massot|terap|pilates|revitalize|dra""), ""Clín"&amp;"ica de Estética"", TRUE, ""Salão de Beleza""))"),"Salão de Beleza")</f>
        <v>Salão de Beleza</v>
      </c>
    </row>
    <row r="271">
      <c r="A271" s="1" t="s">
        <v>1995</v>
      </c>
      <c r="B271" s="1" t="s">
        <v>1996</v>
      </c>
      <c r="C271" s="1" t="s">
        <v>1997</v>
      </c>
      <c r="D271" s="1" t="s">
        <v>1998</v>
      </c>
      <c r="E271" s="1" t="s">
        <v>1999</v>
      </c>
      <c r="F271" s="1" t="s">
        <v>2000</v>
      </c>
      <c r="G271" s="3" t="str">
        <f>IFERROR(__xludf.DUMMYFUNCTION("AI(""Preencha um valor adequado para esta célula com base no contexto da tabela"")"),"Timon - MA")</f>
        <v>Timon - MA</v>
      </c>
      <c r="H271" s="2" t="s">
        <v>2001</v>
      </c>
      <c r="I271" s="1" t="s">
        <v>2002</v>
      </c>
      <c r="J271" s="3" t="str">
        <f>IFERROR(__xludf.DUMMYFUNCTION("IF(A271="""", """", IFS(REGEXMATCH(LOWER(A271), ""barbearia|barber""), ""Barbearia"", REGEXMATCH(LOWER(A271), ""sobrancelh|c[ií]lio|lash|micropigment|showbrancelhas""), ""Sobrancelhas e Cílios"", REGEXMATCH(LOWER(A271), ""maquia|make""), ""Maquiagem"", RE"&amp;"GEXMATCH(LOWER(A271), ""depil|epil""), ""Depilação"", REGEXMATCH(LOWER(A271), ""esmalteria|unha|nail|manicur|spa dos p[eé]s|kauu_nhas""), ""Manicure - Esmalteria"", REGEXMATCH(LOWER(A271), ""est[eé]tic|bronze|massot|terap|pilates|revitalize|dra""), ""Clín"&amp;"ica de Estética"", TRUE, ""Salão de Beleza""))"),"Salão de Beleza")</f>
        <v>Salão de Beleza</v>
      </c>
    </row>
    <row r="272">
      <c r="A272" s="1" t="s">
        <v>2003</v>
      </c>
      <c r="B272" s="1" t="s">
        <v>2004</v>
      </c>
      <c r="C272" s="1" t="s">
        <v>2005</v>
      </c>
      <c r="D272" s="1" t="s">
        <v>2006</v>
      </c>
      <c r="E272" s="1" t="s">
        <v>2007</v>
      </c>
      <c r="F272" s="1" t="s">
        <v>2008</v>
      </c>
      <c r="G272" s="3" t="str">
        <f>IFERROR(__xludf.DUMMYFUNCTION("AI(""Preencha um valor adequado para esta célula com base no contexto da tabela"")"),"Timon - MA")</f>
        <v>Timon - MA</v>
      </c>
      <c r="H272" s="2" t="s">
        <v>2009</v>
      </c>
      <c r="I272" s="1" t="s">
        <v>2010</v>
      </c>
      <c r="J272" s="3" t="str">
        <f>IFERROR(__xludf.DUMMYFUNCTION("IF(A272="""", """", IFS(REGEXMATCH(LOWER(A272), ""barbearia|barber""), ""Barbearia"", REGEXMATCH(LOWER(A272), ""sobrancelh|c[ií]lio|lash|micropigment|showbrancelhas""), ""Sobrancelhas e Cílios"", REGEXMATCH(LOWER(A272), ""maquia|make""), ""Maquiagem"", RE"&amp;"GEXMATCH(LOWER(A272), ""depil|epil""), ""Depilação"", REGEXMATCH(LOWER(A272), ""esmalteria|unha|nail|manicur|spa dos p[eé]s|kauu_nhas""), ""Manicure - Esmalteria"", REGEXMATCH(LOWER(A272), ""est[eé]tic|bronze|massot|terap|pilates|revitalize|dra""), ""Clín"&amp;"ica de Estética"", TRUE, ""Salão de Beleza""))"),"Barbearia")</f>
        <v>Barbearia</v>
      </c>
    </row>
    <row r="273">
      <c r="A273" s="1" t="s">
        <v>2011</v>
      </c>
      <c r="B273" s="1" t="s">
        <v>2012</v>
      </c>
      <c r="C273" s="1" t="s">
        <v>2013</v>
      </c>
      <c r="D273" s="1" t="s">
        <v>2014</v>
      </c>
      <c r="E273" s="1" t="s">
        <v>2015</v>
      </c>
      <c r="F273" s="1" t="s">
        <v>2016</v>
      </c>
      <c r="G273" s="3" t="str">
        <f>IFERROR(__xludf.DUMMYFUNCTION("AI(""Preencha um valor adequado para esta célula com base no contexto da tabela"")"),"Timon - MA")</f>
        <v>Timon - MA</v>
      </c>
      <c r="H273" s="2" t="s">
        <v>2017</v>
      </c>
      <c r="I273" s="1" t="s">
        <v>2018</v>
      </c>
      <c r="J273" s="3" t="str">
        <f>IFERROR(__xludf.DUMMYFUNCTION("IF(A273="""", """", IFS(REGEXMATCH(LOWER(A273), ""barbearia|barber""), ""Barbearia"", REGEXMATCH(LOWER(A273), ""sobrancelh|c[ií]lio|lash|micropigment|showbrancelhas""), ""Sobrancelhas e Cílios"", REGEXMATCH(LOWER(A273), ""maquia|make""), ""Maquiagem"", RE"&amp;"GEXMATCH(LOWER(A273), ""depil|epil""), ""Depilação"", REGEXMATCH(LOWER(A273), ""esmalteria|unha|nail|manicur|spa dos p[eé]s|kauu_nhas""), ""Manicure - Esmalteria"", REGEXMATCH(LOWER(A273), ""est[eé]tic|bronze|massot|terap|pilates|revitalize|dra""), ""Clín"&amp;"ica de Estética"", TRUE, ""Salão de Beleza""))"),"Clínica de Estética")</f>
        <v>Clínica de Estética</v>
      </c>
    </row>
    <row r="274">
      <c r="A274" s="1" t="s">
        <v>2019</v>
      </c>
      <c r="B274" s="1" t="s">
        <v>2020</v>
      </c>
      <c r="C274" s="1" t="s">
        <v>2021</v>
      </c>
      <c r="D274" s="1" t="s">
        <v>2022</v>
      </c>
      <c r="E274" s="1" t="s">
        <v>2023</v>
      </c>
      <c r="F274" s="1" t="s">
        <v>2024</v>
      </c>
      <c r="G274" s="3" t="str">
        <f>IFERROR(__xludf.DUMMYFUNCTION("AI(""Preencha um valor adequado para esta célula com base no contexto da tabela"")"),"Timon - MA")</f>
        <v>Timon - MA</v>
      </c>
      <c r="H274" s="2" t="s">
        <v>2025</v>
      </c>
      <c r="I274" s="1" t="s">
        <v>2026</v>
      </c>
      <c r="J274" s="3" t="str">
        <f>IFERROR(__xludf.DUMMYFUNCTION("IF(A274="""", """", IFS(REGEXMATCH(LOWER(A274), ""barbearia|barber""), ""Barbearia"", REGEXMATCH(LOWER(A274), ""sobrancelh|c[ií]lio|lash|micropigment|showbrancelhas""), ""Sobrancelhas e Cílios"", REGEXMATCH(LOWER(A274), ""maquia|make""), ""Maquiagem"", RE"&amp;"GEXMATCH(LOWER(A274), ""depil|epil""), ""Depilação"", REGEXMATCH(LOWER(A274), ""esmalteria|unha|nail|manicur|spa dos p[eé]s|kauu_nhas""), ""Manicure - Esmalteria"", REGEXMATCH(LOWER(A274), ""est[eé]tic|bronze|massot|terap|pilates|revitalize|dra""), ""Clín"&amp;"ica de Estética"", TRUE, ""Salão de Beleza""))"),"Salão de Beleza")</f>
        <v>Salão de Beleza</v>
      </c>
    </row>
    <row r="275">
      <c r="A275" s="1" t="s">
        <v>2027</v>
      </c>
      <c r="D275" s="1" t="s">
        <v>2028</v>
      </c>
      <c r="E275" s="1" t="s">
        <v>2029</v>
      </c>
      <c r="F275" s="1" t="s">
        <v>2030</v>
      </c>
      <c r="G275" s="3" t="str">
        <f>IFERROR(__xludf.DUMMYFUNCTION("AI(""Preencha um valor adequado para esta célula com base no contexto da tabela"")"),"Timon - MA")</f>
        <v>Timon - MA</v>
      </c>
      <c r="H275" s="2" t="s">
        <v>2031</v>
      </c>
      <c r="I275" s="1" t="s">
        <v>2032</v>
      </c>
      <c r="J275" s="3" t="str">
        <f>IFERROR(__xludf.DUMMYFUNCTION("IF(A275="""", """", IFS(REGEXMATCH(LOWER(A275), ""barbearia|barber""), ""Barbearia"", REGEXMATCH(LOWER(A275), ""sobrancelh|c[ií]lio|lash|micropigment|showbrancelhas""), ""Sobrancelhas e Cílios"", REGEXMATCH(LOWER(A275), ""maquia|make""), ""Maquiagem"", RE"&amp;"GEXMATCH(LOWER(A275), ""depil|epil""), ""Depilação"", REGEXMATCH(LOWER(A275), ""esmalteria|unha|nail|manicur|spa dos p[eé]s|kauu_nhas""), ""Manicure - Esmalteria"", REGEXMATCH(LOWER(A275), ""est[eé]tic|bronze|massot|terap|pilates|revitalize|dra""), ""Clín"&amp;"ica de Estética"", TRUE, ""Salão de Beleza""))"),"Salão de Beleza")</f>
        <v>Salão de Beleza</v>
      </c>
    </row>
    <row r="276">
      <c r="A276" s="1" t="s">
        <v>2033</v>
      </c>
      <c r="B276" s="1" t="s">
        <v>2034</v>
      </c>
      <c r="C276" s="1" t="s">
        <v>2035</v>
      </c>
      <c r="D276" s="1" t="s">
        <v>2036</v>
      </c>
      <c r="E276" s="1" t="s">
        <v>2037</v>
      </c>
      <c r="F276" s="1" t="s">
        <v>2038</v>
      </c>
      <c r="G276" s="3" t="str">
        <f>IFERROR(__xludf.DUMMYFUNCTION("AI(""Preencha um valor adequado para esta célula com base no contexto da tabela"")"),"Timon - MA")</f>
        <v>Timon - MA</v>
      </c>
      <c r="H276" s="2" t="s">
        <v>2039</v>
      </c>
      <c r="I276" s="1" t="s">
        <v>2040</v>
      </c>
      <c r="J276" s="3" t="str">
        <f>IFERROR(__xludf.DUMMYFUNCTION("IF(A276="""", """", IFS(REGEXMATCH(LOWER(A276), ""barbearia|barber""), ""Barbearia"", REGEXMATCH(LOWER(A276), ""sobrancelh|c[ií]lio|lash|micropigment|showbrancelhas""), ""Sobrancelhas e Cílios"", REGEXMATCH(LOWER(A276), ""maquia|make""), ""Maquiagem"", RE"&amp;"GEXMATCH(LOWER(A276), ""depil|epil""), ""Depilação"", REGEXMATCH(LOWER(A276), ""esmalteria|unha|nail|manicur|spa dos p[eé]s|kauu_nhas""), ""Manicure - Esmalteria"", REGEXMATCH(LOWER(A276), ""est[eé]tic|bronze|massot|terap|pilates|revitalize|dra""), ""Clín"&amp;"ica de Estética"", TRUE, ""Salão de Beleza""))"),"Clínica de Estética")</f>
        <v>Clínica de Estética</v>
      </c>
    </row>
    <row r="277">
      <c r="A277" s="1" t="s">
        <v>2041</v>
      </c>
      <c r="B277" s="1" t="s">
        <v>2042</v>
      </c>
      <c r="C277" s="1" t="s">
        <v>2043</v>
      </c>
      <c r="D277" s="1" t="s">
        <v>2044</v>
      </c>
      <c r="E277" s="1" t="s">
        <v>2045</v>
      </c>
      <c r="F277" s="1" t="s">
        <v>2046</v>
      </c>
      <c r="G277" s="3" t="str">
        <f>IFERROR(__xludf.DUMMYFUNCTION("AI(""Preencha um valor adequado para esta célula com base no contexto da tabela"")"),"Timon - MA")</f>
        <v>Timon - MA</v>
      </c>
      <c r="H277" s="2" t="s">
        <v>2047</v>
      </c>
      <c r="I277" s="1" t="s">
        <v>2048</v>
      </c>
      <c r="J277" s="3" t="str">
        <f>IFERROR(__xludf.DUMMYFUNCTION("IF(A277="""", """", IFS(REGEXMATCH(LOWER(A277), ""barbearia|barber""), ""Barbearia"", REGEXMATCH(LOWER(A277), ""sobrancelh|c[ií]lio|lash|micropigment|showbrancelhas""), ""Sobrancelhas e Cílios"", REGEXMATCH(LOWER(A277), ""maquia|make""), ""Maquiagem"", RE"&amp;"GEXMATCH(LOWER(A277), ""depil|epil""), ""Depilação"", REGEXMATCH(LOWER(A277), ""esmalteria|unha|nail|manicur|spa dos p[eé]s|kauu_nhas""), ""Manicure - Esmalteria"", REGEXMATCH(LOWER(A277), ""est[eé]tic|bronze|massot|terap|pilates|revitalize|dra""), ""Clín"&amp;"ica de Estética"", TRUE, ""Salão de Beleza""))"),"Salão de Beleza")</f>
        <v>Salão de Beleza</v>
      </c>
    </row>
    <row r="278">
      <c r="A278" s="1" t="s">
        <v>2049</v>
      </c>
      <c r="B278" s="1" t="s">
        <v>2050</v>
      </c>
      <c r="C278" s="1" t="s">
        <v>2051</v>
      </c>
      <c r="D278" s="1" t="s">
        <v>2052</v>
      </c>
      <c r="E278" s="1" t="s">
        <v>2053</v>
      </c>
      <c r="F278" s="1" t="s">
        <v>2054</v>
      </c>
      <c r="G278" s="3" t="str">
        <f>IFERROR(__xludf.DUMMYFUNCTION("AI(""Preencha um valor adequado para esta célula com base no contexto da tabela"")"),"Timon - MA")</f>
        <v>Timon - MA</v>
      </c>
      <c r="H278" s="2" t="s">
        <v>2055</v>
      </c>
      <c r="I278" s="1" t="s">
        <v>2056</v>
      </c>
      <c r="J278" s="3" t="str">
        <f>IFERROR(__xludf.DUMMYFUNCTION("IF(A278="""", """", IFS(REGEXMATCH(LOWER(A278), ""barbearia|barber""), ""Barbearia"", REGEXMATCH(LOWER(A278), ""sobrancelh|c[ií]lio|lash|micropigment|showbrancelhas""), ""Sobrancelhas e Cílios"", REGEXMATCH(LOWER(A278), ""maquia|make""), ""Maquiagem"", RE"&amp;"GEXMATCH(LOWER(A278), ""depil|epil""), ""Depilação"", REGEXMATCH(LOWER(A278), ""esmalteria|unha|nail|manicur|spa dos p[eé]s|kauu_nhas""), ""Manicure - Esmalteria"", REGEXMATCH(LOWER(A278), ""est[eé]tic|bronze|massot|terap|pilates|revitalize|dra""), ""Clín"&amp;"ica de Estética"", TRUE, ""Salão de Beleza""))"),"Salão de Beleza")</f>
        <v>Salão de Beleza</v>
      </c>
    </row>
    <row r="279">
      <c r="A279" s="1" t="s">
        <v>2057</v>
      </c>
      <c r="B279" s="1" t="s">
        <v>2058</v>
      </c>
      <c r="C279" s="1" t="s">
        <v>2059</v>
      </c>
      <c r="D279" s="1" t="s">
        <v>2060</v>
      </c>
      <c r="E279" s="1" t="s">
        <v>2061</v>
      </c>
      <c r="F279" s="1" t="s">
        <v>2062</v>
      </c>
      <c r="G279" s="3" t="str">
        <f>IFERROR(__xludf.DUMMYFUNCTION("AI(""Preencha um valor adequado para esta célula com base no contexto da tabela"")"),"Timon - MA")</f>
        <v>Timon - MA</v>
      </c>
      <c r="H279" s="2" t="s">
        <v>2063</v>
      </c>
      <c r="I279" s="1" t="s">
        <v>2064</v>
      </c>
      <c r="J279" s="3" t="str">
        <f>IFERROR(__xludf.DUMMYFUNCTION("IF(A279="""", """", IFS(REGEXMATCH(LOWER(A279), ""barbearia|barber""), ""Barbearia"", REGEXMATCH(LOWER(A279), ""sobrancelh|c[ií]lio|lash|micropigment|showbrancelhas""), ""Sobrancelhas e Cílios"", REGEXMATCH(LOWER(A279), ""maquia|make""), ""Maquiagem"", RE"&amp;"GEXMATCH(LOWER(A279), ""depil|epil""), ""Depilação"", REGEXMATCH(LOWER(A279), ""esmalteria|unha|nail|manicur|spa dos p[eé]s|kauu_nhas""), ""Manicure - Esmalteria"", REGEXMATCH(LOWER(A279), ""est[eé]tic|bronze|massot|terap|pilates|revitalize|dra""), ""Clín"&amp;"ica de Estética"", TRUE, ""Salão de Beleza""))"),"Salão de Beleza")</f>
        <v>Salão de Beleza</v>
      </c>
    </row>
    <row r="280">
      <c r="A280" s="1" t="s">
        <v>2065</v>
      </c>
      <c r="B280" s="1" t="s">
        <v>2066</v>
      </c>
      <c r="C280" s="1" t="s">
        <v>2067</v>
      </c>
      <c r="D280" s="1" t="s">
        <v>2068</v>
      </c>
      <c r="E280" s="1" t="s">
        <v>2069</v>
      </c>
      <c r="F280" s="1" t="s">
        <v>2070</v>
      </c>
      <c r="G280" s="3" t="str">
        <f>IFERROR(__xludf.DUMMYFUNCTION("AI(""Preencha um valor adequado para esta célula com base no contexto da tabela"")"),"Timon - MA")</f>
        <v>Timon - MA</v>
      </c>
      <c r="H280" s="2" t="s">
        <v>2071</v>
      </c>
      <c r="I280" s="1" t="s">
        <v>2072</v>
      </c>
      <c r="J280" s="3" t="str">
        <f>IFERROR(__xludf.DUMMYFUNCTION("IF(A280="""", """", IFS(REGEXMATCH(LOWER(A280), ""barbearia|barber""), ""Barbearia"", REGEXMATCH(LOWER(A280), ""sobrancelh|c[ií]lio|lash|micropigment|showbrancelhas""), ""Sobrancelhas e Cílios"", REGEXMATCH(LOWER(A280), ""maquia|make""), ""Maquiagem"", RE"&amp;"GEXMATCH(LOWER(A280), ""depil|epil""), ""Depilação"", REGEXMATCH(LOWER(A280), ""esmalteria|unha|nail|manicur|spa dos p[eé]s|kauu_nhas""), ""Manicure - Esmalteria"", REGEXMATCH(LOWER(A280), ""est[eé]tic|bronze|massot|terap|pilates|revitalize|dra""), ""Clín"&amp;"ica de Estética"", TRUE, ""Salão de Beleza""))"),"Salão de Beleza")</f>
        <v>Salão de Beleza</v>
      </c>
    </row>
    <row r="281">
      <c r="A281" s="1" t="s">
        <v>2073</v>
      </c>
      <c r="B281" s="1" t="s">
        <v>2074</v>
      </c>
      <c r="C281" s="1" t="s">
        <v>2075</v>
      </c>
      <c r="D281" s="1" t="s">
        <v>2076</v>
      </c>
      <c r="E281" s="1" t="s">
        <v>2077</v>
      </c>
      <c r="F281" s="1" t="s">
        <v>2078</v>
      </c>
      <c r="G281" s="3" t="str">
        <f>IFERROR(__xludf.DUMMYFUNCTION("AI(""Preencha um valor adequado para esta célula com base no contexto da tabela"")"),"Timon - MA")</f>
        <v>Timon - MA</v>
      </c>
      <c r="H281" s="2" t="s">
        <v>2079</v>
      </c>
      <c r="I281" s="1" t="s">
        <v>2080</v>
      </c>
      <c r="J281" s="3" t="str">
        <f>IFERROR(__xludf.DUMMYFUNCTION("IF(A281="""", """", IFS(REGEXMATCH(LOWER(A281), ""barbearia|barber""), ""Barbearia"", REGEXMATCH(LOWER(A281), ""sobrancelh|c[ií]lio|lash|micropigment|showbrancelhas""), ""Sobrancelhas e Cílios"", REGEXMATCH(LOWER(A281), ""maquia|make""), ""Maquiagem"", RE"&amp;"GEXMATCH(LOWER(A281), ""depil|epil""), ""Depilação"", REGEXMATCH(LOWER(A281), ""esmalteria|unha|nail|manicur|spa dos p[eé]s|kauu_nhas""), ""Manicure - Esmalteria"", REGEXMATCH(LOWER(A281), ""est[eé]tic|bronze|massot|terap|pilates|revitalize|dra""), ""Clín"&amp;"ica de Estética"", TRUE, ""Salão de Beleza""))"),"Clínica de Estética")</f>
        <v>Clínica de Estética</v>
      </c>
    </row>
    <row r="282">
      <c r="A282" s="1" t="s">
        <v>2081</v>
      </c>
      <c r="D282" s="1" t="s">
        <v>2082</v>
      </c>
      <c r="E282" s="1" t="s">
        <v>2083</v>
      </c>
      <c r="F282" s="1" t="s">
        <v>2084</v>
      </c>
      <c r="G282" s="3" t="str">
        <f>IFERROR(__xludf.DUMMYFUNCTION("AI(""Preencha um valor adequado para esta célula com base no contexto da tabela"")"),"Timon - MA")</f>
        <v>Timon - MA</v>
      </c>
      <c r="H282" s="2" t="s">
        <v>2085</v>
      </c>
      <c r="J282" s="3" t="str">
        <f>IFERROR(__xludf.DUMMYFUNCTION("IF(A282="""", """", IFS(REGEXMATCH(LOWER(A282), ""barbearia|barber""), ""Barbearia"", REGEXMATCH(LOWER(A282), ""sobrancelh|c[ií]lio|lash|micropigment|showbrancelhas""), ""Sobrancelhas e Cílios"", REGEXMATCH(LOWER(A282), ""maquia|make""), ""Maquiagem"", RE"&amp;"GEXMATCH(LOWER(A282), ""depil|epil""), ""Depilação"", REGEXMATCH(LOWER(A282), ""esmalteria|unha|nail|manicur|spa dos p[eé]s|kauu_nhas""), ""Manicure - Esmalteria"", REGEXMATCH(LOWER(A282), ""est[eé]tic|bronze|massot|terap|pilates|revitalize|dra""), ""Clín"&amp;"ica de Estética"", TRUE, ""Salão de Beleza""))"),"Salão de Beleza")</f>
        <v>Salão de Beleza</v>
      </c>
    </row>
    <row r="283">
      <c r="A283" s="1" t="s">
        <v>2086</v>
      </c>
      <c r="B283" s="1" t="s">
        <v>2087</v>
      </c>
      <c r="C283" s="1" t="s">
        <v>2088</v>
      </c>
      <c r="D283" s="1" t="s">
        <v>2089</v>
      </c>
      <c r="E283" s="1" t="s">
        <v>2090</v>
      </c>
      <c r="F283" s="1" t="s">
        <v>2091</v>
      </c>
      <c r="G283" s="3" t="str">
        <f>IFERROR(__xludf.DUMMYFUNCTION("AI(""Preencha um valor adequado para esta célula com base no contexto da tabela"")"),"Timon - MA")</f>
        <v>Timon - MA</v>
      </c>
      <c r="H283" s="2" t="s">
        <v>2092</v>
      </c>
      <c r="J283" s="3" t="str">
        <f>IFERROR(__xludf.DUMMYFUNCTION("IF(A283="""", """", IFS(REGEXMATCH(LOWER(A283), ""barbearia|barber""), ""Barbearia"", REGEXMATCH(LOWER(A283), ""sobrancelh|c[ií]lio|lash|micropigment|showbrancelhas""), ""Sobrancelhas e Cílios"", REGEXMATCH(LOWER(A283), ""maquia|make""), ""Maquiagem"", RE"&amp;"GEXMATCH(LOWER(A283), ""depil|epil""), ""Depilação"", REGEXMATCH(LOWER(A283), ""esmalteria|unha|nail|manicur|spa dos p[eé]s|kauu_nhas""), ""Manicure - Esmalteria"", REGEXMATCH(LOWER(A283), ""est[eé]tic|bronze|massot|terap|pilates|revitalize|dra""), ""Clín"&amp;"ica de Estética"", TRUE, ""Salão de Beleza""))"),"Salão de Beleza")</f>
        <v>Salão de Beleza</v>
      </c>
    </row>
    <row r="284">
      <c r="A284" s="1" t="s">
        <v>2093</v>
      </c>
      <c r="D284" s="1" t="s">
        <v>2094</v>
      </c>
      <c r="E284" s="1" t="s">
        <v>2095</v>
      </c>
      <c r="F284" s="1" t="s">
        <v>2096</v>
      </c>
      <c r="G284" s="3" t="str">
        <f>IFERROR(__xludf.DUMMYFUNCTION("AI(""Preencha um valor adequado para esta célula com base no contexto da tabela"")"),"Timon - MA")</f>
        <v>Timon - MA</v>
      </c>
      <c r="H284" s="2" t="s">
        <v>2097</v>
      </c>
      <c r="I284" s="1" t="s">
        <v>2098</v>
      </c>
      <c r="J284" s="3" t="str">
        <f>IFERROR(__xludf.DUMMYFUNCTION("IF(A284="""", """", IFS(REGEXMATCH(LOWER(A284), ""barbearia|barber""), ""Barbearia"", REGEXMATCH(LOWER(A284), ""sobrancelh|c[ií]lio|lash|micropigment|showbrancelhas""), ""Sobrancelhas e Cílios"", REGEXMATCH(LOWER(A284), ""maquia|make""), ""Maquiagem"", RE"&amp;"GEXMATCH(LOWER(A284), ""depil|epil""), ""Depilação"", REGEXMATCH(LOWER(A284), ""esmalteria|unha|nail|manicur|spa dos p[eé]s|kauu_nhas""), ""Manicure - Esmalteria"", REGEXMATCH(LOWER(A284), ""est[eé]tic|bronze|massot|terap|pilates|revitalize|dra""), ""Clín"&amp;"ica de Estética"", TRUE, ""Salão de Beleza""))"),"Salão de Beleza")</f>
        <v>Salão de Beleza</v>
      </c>
    </row>
    <row r="285">
      <c r="A285" s="1" t="s">
        <v>2099</v>
      </c>
      <c r="B285" s="1" t="s">
        <v>2100</v>
      </c>
      <c r="C285" s="1" t="s">
        <v>2101</v>
      </c>
      <c r="D285" s="1" t="s">
        <v>2102</v>
      </c>
      <c r="E285" s="1" t="s">
        <v>2103</v>
      </c>
      <c r="F285" s="1" t="s">
        <v>2104</v>
      </c>
      <c r="G285" s="3" t="str">
        <f>IFERROR(__xludf.DUMMYFUNCTION("AI(""Preencha um valor adequado para esta célula com base no contexto da tabela"")"),"Timon - MA")</f>
        <v>Timon - MA</v>
      </c>
      <c r="H285" s="2" t="s">
        <v>2105</v>
      </c>
      <c r="I285" s="1" t="s">
        <v>2106</v>
      </c>
      <c r="J285" s="3" t="str">
        <f>IFERROR(__xludf.DUMMYFUNCTION("IF(A285="""", """", IFS(REGEXMATCH(LOWER(A285), ""barbearia|barber""), ""Barbearia"", REGEXMATCH(LOWER(A285), ""sobrancelh|c[ií]lio|lash|micropigment|showbrancelhas""), ""Sobrancelhas e Cílios"", REGEXMATCH(LOWER(A285), ""maquia|make""), ""Maquiagem"", RE"&amp;"GEXMATCH(LOWER(A285), ""depil|epil""), ""Depilação"", REGEXMATCH(LOWER(A285), ""esmalteria|unha|nail|manicur|spa dos p[eé]s|kauu_nhas""), ""Manicure - Esmalteria"", REGEXMATCH(LOWER(A285), ""est[eé]tic|bronze|massot|terap|pilates|revitalize|dra""), ""Clín"&amp;"ica de Estética"", TRUE, ""Salão de Beleza""))"),"Salão de Beleza")</f>
        <v>Salão de Beleza</v>
      </c>
    </row>
    <row r="286">
      <c r="A286" s="1" t="s">
        <v>2107</v>
      </c>
      <c r="B286" s="1" t="s">
        <v>2108</v>
      </c>
      <c r="C286" s="1" t="s">
        <v>2109</v>
      </c>
      <c r="D286" s="1" t="s">
        <v>2110</v>
      </c>
      <c r="E286" s="1" t="s">
        <v>2111</v>
      </c>
      <c r="F286" s="1" t="s">
        <v>2112</v>
      </c>
      <c r="G286" s="3" t="str">
        <f>IFERROR(__xludf.DUMMYFUNCTION("AI(""Preencha um valor adequado para esta célula com base no contexto da tabela"")"),"Timon - MA")</f>
        <v>Timon - MA</v>
      </c>
      <c r="H286" s="2" t="s">
        <v>2113</v>
      </c>
      <c r="I286" s="1" t="s">
        <v>2114</v>
      </c>
      <c r="J286" s="3" t="str">
        <f>IFERROR(__xludf.DUMMYFUNCTION("IF(A286="""", """", IFS(REGEXMATCH(LOWER(A286), ""barbearia|barber""), ""Barbearia"", REGEXMATCH(LOWER(A286), ""sobrancelh|c[ií]lio|lash|micropigment|showbrancelhas""), ""Sobrancelhas e Cílios"", REGEXMATCH(LOWER(A286), ""maquia|make""), ""Maquiagem"", RE"&amp;"GEXMATCH(LOWER(A286), ""depil|epil""), ""Depilação"", REGEXMATCH(LOWER(A286), ""esmalteria|unha|nail|manicur|spa dos p[eé]s|kauu_nhas""), ""Manicure - Esmalteria"", REGEXMATCH(LOWER(A286), ""est[eé]tic|bronze|massot|terap|pilates|revitalize|dra""), ""Clín"&amp;"ica de Estética"", TRUE, ""Salão de Beleza""))"),"Salão de Beleza")</f>
        <v>Salão de Beleza</v>
      </c>
    </row>
    <row r="287">
      <c r="A287" s="1" t="s">
        <v>2115</v>
      </c>
      <c r="B287" s="1" t="s">
        <v>2116</v>
      </c>
      <c r="C287" s="1" t="s">
        <v>2117</v>
      </c>
      <c r="D287" s="1" t="s">
        <v>2118</v>
      </c>
      <c r="E287" s="1" t="s">
        <v>2119</v>
      </c>
      <c r="F287" s="1" t="s">
        <v>2120</v>
      </c>
      <c r="G287" s="3" t="str">
        <f>IFERROR(__xludf.DUMMYFUNCTION("AI(""Preencha um valor adequado para esta célula com base no contexto da tabela"")"),"Timon - MA")</f>
        <v>Timon - MA</v>
      </c>
      <c r="H287" s="2" t="s">
        <v>2121</v>
      </c>
      <c r="I287" s="1" t="s">
        <v>2122</v>
      </c>
      <c r="J287" s="3" t="str">
        <f>IFERROR(__xludf.DUMMYFUNCTION("IF(A287="""", """", IFS(REGEXMATCH(LOWER(A287), ""barbearia|barber""), ""Barbearia"", REGEXMATCH(LOWER(A287), ""sobrancelh|c[ií]lio|lash|micropigment|showbrancelhas""), ""Sobrancelhas e Cílios"", REGEXMATCH(LOWER(A287), ""maquia|make""), ""Maquiagem"", RE"&amp;"GEXMATCH(LOWER(A287), ""depil|epil""), ""Depilação"", REGEXMATCH(LOWER(A287), ""esmalteria|unha|nail|manicur|spa dos p[eé]s|kauu_nhas""), ""Manicure - Esmalteria"", REGEXMATCH(LOWER(A287), ""est[eé]tic|bronze|massot|terap|pilates|revitalize|dra""), ""Clín"&amp;"ica de Estética"", TRUE, ""Salão de Beleza""))"),"Salão de Beleza")</f>
        <v>Salão de Beleza</v>
      </c>
    </row>
    <row r="288">
      <c r="A288" s="1" t="s">
        <v>2123</v>
      </c>
      <c r="D288" s="1" t="s">
        <v>2124</v>
      </c>
      <c r="E288" s="1" t="s">
        <v>2125</v>
      </c>
      <c r="F288" s="1" t="s">
        <v>2126</v>
      </c>
      <c r="G288" s="3" t="str">
        <f>IFERROR(__xludf.DUMMYFUNCTION("AI(""Preencha um valor adequado para esta célula com base no contexto da tabela"")"),"Timon - MA")</f>
        <v>Timon - MA</v>
      </c>
      <c r="H288" s="2" t="s">
        <v>2127</v>
      </c>
      <c r="I288" s="1" t="s">
        <v>2128</v>
      </c>
      <c r="J288" s="3" t="str">
        <f>IFERROR(__xludf.DUMMYFUNCTION("IF(A288="""", """", IFS(REGEXMATCH(LOWER(A288), ""barbearia|barber""), ""Barbearia"", REGEXMATCH(LOWER(A288), ""sobrancelh|c[ií]lio|lash|micropigment|showbrancelhas""), ""Sobrancelhas e Cílios"", REGEXMATCH(LOWER(A288), ""maquia|make""), ""Maquiagem"", RE"&amp;"GEXMATCH(LOWER(A288), ""depil|epil""), ""Depilação"", REGEXMATCH(LOWER(A288), ""esmalteria|unha|nail|manicur|spa dos p[eé]s|kauu_nhas""), ""Manicure - Esmalteria"", REGEXMATCH(LOWER(A288), ""est[eé]tic|bronze|massot|terap|pilates|revitalize|dra""), ""Clín"&amp;"ica de Estética"", TRUE, ""Salão de Beleza""))"),"Salão de Beleza")</f>
        <v>Salão de Beleza</v>
      </c>
    </row>
    <row r="289">
      <c r="A289" s="1" t="s">
        <v>2129</v>
      </c>
      <c r="D289" s="1" t="s">
        <v>2130</v>
      </c>
      <c r="E289" s="1" t="s">
        <v>2131</v>
      </c>
      <c r="F289" s="1" t="s">
        <v>2132</v>
      </c>
      <c r="G289" s="3" t="str">
        <f>IFERROR(__xludf.DUMMYFUNCTION("AI(""Preencha um valor adequado para esta célula com base no contexto da tabela"")"),"Timon - MA")</f>
        <v>Timon - MA</v>
      </c>
      <c r="H289" s="2" t="s">
        <v>2133</v>
      </c>
      <c r="I289" s="1" t="s">
        <v>2134</v>
      </c>
      <c r="J289" s="3" t="str">
        <f>IFERROR(__xludf.DUMMYFUNCTION("IF(A289="""", """", IFS(REGEXMATCH(LOWER(A289), ""barbearia|barber""), ""Barbearia"", REGEXMATCH(LOWER(A289), ""sobrancelh|c[ií]lio|lash|micropigment|showbrancelhas""), ""Sobrancelhas e Cílios"", REGEXMATCH(LOWER(A289), ""maquia|make""), ""Maquiagem"", RE"&amp;"GEXMATCH(LOWER(A289), ""depil|epil""), ""Depilação"", REGEXMATCH(LOWER(A289), ""esmalteria|unha|nail|manicur|spa dos p[eé]s|kauu_nhas""), ""Manicure - Esmalteria"", REGEXMATCH(LOWER(A289), ""est[eé]tic|bronze|massot|terap|pilates|revitalize|dra""), ""Clín"&amp;"ica de Estética"", TRUE, ""Salão de Beleza""))"),"Salão de Beleza")</f>
        <v>Salão de Beleza</v>
      </c>
    </row>
    <row r="290">
      <c r="A290" s="1" t="s">
        <v>2135</v>
      </c>
      <c r="B290" s="1" t="s">
        <v>2136</v>
      </c>
      <c r="C290" s="1" t="s">
        <v>2137</v>
      </c>
      <c r="D290" s="1" t="s">
        <v>2138</v>
      </c>
      <c r="E290" s="1" t="s">
        <v>2139</v>
      </c>
      <c r="F290" s="1" t="s">
        <v>2140</v>
      </c>
      <c r="G290" s="3" t="str">
        <f>IFERROR(__xludf.DUMMYFUNCTION("AI(""Preencha um valor adequado para esta célula com base no contexto da tabela"")"),"Timon - MA")</f>
        <v>Timon - MA</v>
      </c>
      <c r="H290" s="2" t="s">
        <v>2141</v>
      </c>
      <c r="I290" s="1" t="s">
        <v>2142</v>
      </c>
      <c r="J290" s="3" t="str">
        <f>IFERROR(__xludf.DUMMYFUNCTION("IF(A290="""", """", IFS(REGEXMATCH(LOWER(A290), ""barbearia|barber""), ""Barbearia"", REGEXMATCH(LOWER(A290), ""sobrancelh|c[ií]lio|lash|micropigment|showbrancelhas""), ""Sobrancelhas e Cílios"", REGEXMATCH(LOWER(A290), ""maquia|make""), ""Maquiagem"", RE"&amp;"GEXMATCH(LOWER(A290), ""depil|epil""), ""Depilação"", REGEXMATCH(LOWER(A290), ""esmalteria|unha|nail|manicur|spa dos p[eé]s|kauu_nhas""), ""Manicure - Esmalteria"", REGEXMATCH(LOWER(A290), ""est[eé]tic|bronze|massot|terap|pilates|revitalize|dra""), ""Clín"&amp;"ica de Estética"", TRUE, ""Salão de Beleza""))"),"Depilação")</f>
        <v>Depilação</v>
      </c>
    </row>
    <row r="291">
      <c r="A291" s="1" t="s">
        <v>2143</v>
      </c>
      <c r="D291" s="1" t="s">
        <v>2144</v>
      </c>
      <c r="E291" s="1" t="s">
        <v>2145</v>
      </c>
      <c r="F291" s="1" t="s">
        <v>2146</v>
      </c>
      <c r="G291" s="3" t="str">
        <f>IFERROR(__xludf.DUMMYFUNCTION("AI(""Preencha um valor adequado para esta célula com base no contexto da tabela"")"),"Timon - MA")</f>
        <v>Timon - MA</v>
      </c>
      <c r="H291" s="2" t="s">
        <v>2147</v>
      </c>
      <c r="I291" s="1" t="s">
        <v>2148</v>
      </c>
      <c r="J291" s="3" t="str">
        <f>IFERROR(__xludf.DUMMYFUNCTION("IF(A291="""", """", IFS(REGEXMATCH(LOWER(A291), ""barbearia|barber""), ""Barbearia"", REGEXMATCH(LOWER(A291), ""sobrancelh|c[ií]lio|lash|micropigment|showbrancelhas""), ""Sobrancelhas e Cílios"", REGEXMATCH(LOWER(A291), ""maquia|make""), ""Maquiagem"", RE"&amp;"GEXMATCH(LOWER(A291), ""depil|epil""), ""Depilação"", REGEXMATCH(LOWER(A291), ""esmalteria|unha|nail|manicur|spa dos p[eé]s|kauu_nhas""), ""Manicure - Esmalteria"", REGEXMATCH(LOWER(A291), ""est[eé]tic|bronze|massot|terap|pilates|revitalize|dra""), ""Clín"&amp;"ica de Estética"", TRUE, ""Salão de Beleza""))"),"Salão de Beleza")</f>
        <v>Salão de Beleza</v>
      </c>
    </row>
    <row r="292">
      <c r="A292" s="1" t="s">
        <v>2149</v>
      </c>
      <c r="B292" s="1" t="s">
        <v>2150</v>
      </c>
      <c r="C292" s="1" t="s">
        <v>2151</v>
      </c>
      <c r="D292" s="1" t="s">
        <v>2152</v>
      </c>
      <c r="E292" s="1" t="s">
        <v>2153</v>
      </c>
      <c r="F292" s="1" t="s">
        <v>2154</v>
      </c>
      <c r="G292" s="3" t="str">
        <f>IFERROR(__xludf.DUMMYFUNCTION("AI(""Preencha um valor adequado para esta célula com base no contexto da tabela"")"),"Timon - MA")</f>
        <v>Timon - MA</v>
      </c>
      <c r="H292" s="2" t="s">
        <v>2155</v>
      </c>
      <c r="I292" s="1" t="s">
        <v>2156</v>
      </c>
      <c r="J292" s="3" t="str">
        <f>IFERROR(__xludf.DUMMYFUNCTION("IF(A292="""", """", IFS(REGEXMATCH(LOWER(A292), ""barbearia|barber""), ""Barbearia"", REGEXMATCH(LOWER(A292), ""sobrancelh|c[ií]lio|lash|micropigment|showbrancelhas""), ""Sobrancelhas e Cílios"", REGEXMATCH(LOWER(A292), ""maquia|make""), ""Maquiagem"", RE"&amp;"GEXMATCH(LOWER(A292), ""depil|epil""), ""Depilação"", REGEXMATCH(LOWER(A292), ""esmalteria|unha|nail|manicur|spa dos p[eé]s|kauu_nhas""), ""Manicure - Esmalteria"", REGEXMATCH(LOWER(A292), ""est[eé]tic|bronze|massot|terap|pilates|revitalize|dra""), ""Clín"&amp;"ica de Estética"", TRUE, ""Salão de Beleza""))"),"Salão de Beleza")</f>
        <v>Salão de Beleza</v>
      </c>
    </row>
    <row r="293">
      <c r="A293" s="1" t="s">
        <v>2157</v>
      </c>
      <c r="D293" s="1" t="s">
        <v>2158</v>
      </c>
      <c r="E293" s="1" t="s">
        <v>2159</v>
      </c>
      <c r="F293" s="1" t="s">
        <v>2160</v>
      </c>
      <c r="G293" s="3" t="str">
        <f>IFERROR(__xludf.DUMMYFUNCTION("AI(""Preencha um valor adequado para esta célula com base no contexto da tabela"")"),"Timon - MA")</f>
        <v>Timon - MA</v>
      </c>
      <c r="H293" s="2" t="s">
        <v>2161</v>
      </c>
      <c r="I293" s="1" t="s">
        <v>2162</v>
      </c>
      <c r="J293" s="3" t="str">
        <f>IFERROR(__xludf.DUMMYFUNCTION("IF(A293="""", """", IFS(REGEXMATCH(LOWER(A293), ""barbearia|barber""), ""Barbearia"", REGEXMATCH(LOWER(A293), ""sobrancelh|c[ií]lio|lash|micropigment|showbrancelhas""), ""Sobrancelhas e Cílios"", REGEXMATCH(LOWER(A293), ""maquia|make""), ""Maquiagem"", RE"&amp;"GEXMATCH(LOWER(A293), ""depil|epil""), ""Depilação"", REGEXMATCH(LOWER(A293), ""esmalteria|unha|nail|manicur|spa dos p[eé]s|kauu_nhas""), ""Manicure - Esmalteria"", REGEXMATCH(LOWER(A293), ""est[eé]tic|bronze|massot|terap|pilates|revitalize|dra""), ""Clín"&amp;"ica de Estética"", TRUE, ""Salão de Beleza""))"),"Salão de Beleza")</f>
        <v>Salão de Beleza</v>
      </c>
    </row>
    <row r="294">
      <c r="A294" s="1" t="s">
        <v>2163</v>
      </c>
      <c r="B294" s="1" t="s">
        <v>2164</v>
      </c>
      <c r="C294" s="1" t="s">
        <v>2165</v>
      </c>
      <c r="D294" s="1" t="s">
        <v>2166</v>
      </c>
      <c r="E294" s="1" t="s">
        <v>2167</v>
      </c>
      <c r="F294" s="1" t="s">
        <v>2168</v>
      </c>
      <c r="G294" s="3" t="str">
        <f>IFERROR(__xludf.DUMMYFUNCTION("AI(""Preencha um valor adequado para esta célula com base no contexto da tabela"")"),"Timon - MA")</f>
        <v>Timon - MA</v>
      </c>
      <c r="H294" s="2" t="s">
        <v>2169</v>
      </c>
      <c r="I294" s="1" t="s">
        <v>2170</v>
      </c>
      <c r="J294" s="3" t="str">
        <f>IFERROR(__xludf.DUMMYFUNCTION("IF(A294="""", """", IFS(REGEXMATCH(LOWER(A294), ""barbearia|barber""), ""Barbearia"", REGEXMATCH(LOWER(A294), ""sobrancelh|c[ií]lio|lash|micropigment|showbrancelhas""), ""Sobrancelhas e Cílios"", REGEXMATCH(LOWER(A294), ""maquia|make""), ""Maquiagem"", RE"&amp;"GEXMATCH(LOWER(A294), ""depil|epil""), ""Depilação"", REGEXMATCH(LOWER(A294), ""esmalteria|unha|nail|manicur|spa dos p[eé]s|kauu_nhas""), ""Manicure - Esmalteria"", REGEXMATCH(LOWER(A294), ""est[eé]tic|bronze|massot|terap|pilates|revitalize|dra""), ""Clín"&amp;"ica de Estética"", TRUE, ""Salão de Beleza""))"),"Maquiagem")</f>
        <v>Maquiagem</v>
      </c>
    </row>
    <row r="295">
      <c r="A295" s="1" t="s">
        <v>2171</v>
      </c>
      <c r="B295" s="1" t="s">
        <v>2172</v>
      </c>
      <c r="C295" s="1" t="s">
        <v>2173</v>
      </c>
      <c r="D295" s="1" t="s">
        <v>2174</v>
      </c>
      <c r="E295" s="1" t="s">
        <v>2175</v>
      </c>
      <c r="F295" s="1" t="s">
        <v>2176</v>
      </c>
      <c r="G295" s="3" t="str">
        <f>IFERROR(__xludf.DUMMYFUNCTION("AI(""Preencha um valor adequado para esta célula com base no contexto da tabela"")"),"Timon - MA")</f>
        <v>Timon - MA</v>
      </c>
      <c r="H295" s="2" t="s">
        <v>2177</v>
      </c>
      <c r="I295" s="1" t="s">
        <v>2178</v>
      </c>
      <c r="J295" s="3" t="str">
        <f>IFERROR(__xludf.DUMMYFUNCTION("IF(A295="""", """", IFS(REGEXMATCH(LOWER(A295), ""barbearia|barber""), ""Barbearia"", REGEXMATCH(LOWER(A295), ""sobrancelh|c[ií]lio|lash|micropigment|showbrancelhas""), ""Sobrancelhas e Cílios"", REGEXMATCH(LOWER(A295), ""maquia|make""), ""Maquiagem"", RE"&amp;"GEXMATCH(LOWER(A295), ""depil|epil""), ""Depilação"", REGEXMATCH(LOWER(A295), ""esmalteria|unha|nail|manicur|spa dos p[eé]s|kauu_nhas""), ""Manicure - Esmalteria"", REGEXMATCH(LOWER(A295), ""est[eé]tic|bronze|massot|terap|pilates|revitalize|dra""), ""Clín"&amp;"ica de Estética"", TRUE, ""Salão de Beleza""))"),"Salão de Beleza")</f>
        <v>Salão de Beleza</v>
      </c>
    </row>
    <row r="296">
      <c r="A296" s="1" t="s">
        <v>2179</v>
      </c>
      <c r="B296" s="1" t="s">
        <v>2180</v>
      </c>
      <c r="C296" s="1" t="s">
        <v>2181</v>
      </c>
      <c r="D296" s="1" t="s">
        <v>2182</v>
      </c>
      <c r="E296" s="1" t="s">
        <v>2183</v>
      </c>
      <c r="F296" s="1" t="s">
        <v>2184</v>
      </c>
      <c r="G296" s="3" t="str">
        <f>IFERROR(__xludf.DUMMYFUNCTION("AI(""Preencha um valor adequado para esta célula com base no contexto da tabela"")"),"Timon - MA")</f>
        <v>Timon - MA</v>
      </c>
      <c r="H296" s="2" t="s">
        <v>2185</v>
      </c>
      <c r="I296" s="1" t="s">
        <v>2186</v>
      </c>
      <c r="J296" s="3" t="str">
        <f>IFERROR(__xludf.DUMMYFUNCTION("IF(A296="""", """", IFS(REGEXMATCH(LOWER(A296), ""barbearia|barber""), ""Barbearia"", REGEXMATCH(LOWER(A296), ""sobrancelh|c[ií]lio|lash|micropigment|showbrancelhas""), ""Sobrancelhas e Cílios"", REGEXMATCH(LOWER(A296), ""maquia|make""), ""Maquiagem"", RE"&amp;"GEXMATCH(LOWER(A296), ""depil|epil""), ""Depilação"", REGEXMATCH(LOWER(A296), ""esmalteria|unha|nail|manicur|spa dos p[eé]s|kauu_nhas""), ""Manicure - Esmalteria"", REGEXMATCH(LOWER(A296), ""est[eé]tic|bronze|massot|terap|pilates|revitalize|dra""), ""Clín"&amp;"ica de Estética"", TRUE, ""Salão de Beleza""))"),"Salão de Beleza")</f>
        <v>Salão de Beleza</v>
      </c>
    </row>
    <row r="297">
      <c r="A297" s="1" t="s">
        <v>2187</v>
      </c>
      <c r="B297" s="1" t="s">
        <v>2188</v>
      </c>
      <c r="C297" s="1" t="s">
        <v>2189</v>
      </c>
      <c r="D297" s="1" t="s">
        <v>2190</v>
      </c>
      <c r="E297" s="1" t="s">
        <v>2191</v>
      </c>
      <c r="F297" s="1" t="s">
        <v>2192</v>
      </c>
      <c r="G297" s="3" t="str">
        <f>IFERROR(__xludf.DUMMYFUNCTION("AI(""Preencha um valor adequado para esta célula com base no contexto da tabela"")"),"Timon - MA")</f>
        <v>Timon - MA</v>
      </c>
      <c r="H297" s="2" t="s">
        <v>2193</v>
      </c>
      <c r="I297" s="1" t="s">
        <v>2194</v>
      </c>
      <c r="J297" s="3" t="str">
        <f>IFERROR(__xludf.DUMMYFUNCTION("IF(A297="""", """", IFS(REGEXMATCH(LOWER(A297), ""barbearia|barber""), ""Barbearia"", REGEXMATCH(LOWER(A297), ""sobrancelh|c[ií]lio|lash|micropigment|showbrancelhas""), ""Sobrancelhas e Cílios"", REGEXMATCH(LOWER(A297), ""maquia|make""), ""Maquiagem"", RE"&amp;"GEXMATCH(LOWER(A297), ""depil|epil""), ""Depilação"", REGEXMATCH(LOWER(A297), ""esmalteria|unha|nail|manicur|spa dos p[eé]s|kauu_nhas""), ""Manicure - Esmalteria"", REGEXMATCH(LOWER(A297), ""est[eé]tic|bronze|massot|terap|pilates|revitalize|dra""), ""Clín"&amp;"ica de Estética"", TRUE, ""Salão de Beleza""))"),"Salão de Beleza")</f>
        <v>Salão de Beleza</v>
      </c>
    </row>
    <row r="298">
      <c r="A298" s="1" t="s">
        <v>2195</v>
      </c>
      <c r="B298" s="1" t="s">
        <v>2196</v>
      </c>
      <c r="C298" s="1" t="s">
        <v>2197</v>
      </c>
      <c r="D298" s="1" t="s">
        <v>2198</v>
      </c>
      <c r="E298" s="1" t="s">
        <v>2199</v>
      </c>
      <c r="F298" s="1" t="s">
        <v>2200</v>
      </c>
      <c r="G298" s="3" t="str">
        <f>IFERROR(__xludf.DUMMYFUNCTION("AI(""Preencha um valor adequado para esta célula com base no contexto da tabela"")"),"Timon - MA")</f>
        <v>Timon - MA</v>
      </c>
      <c r="H298" s="2" t="s">
        <v>2201</v>
      </c>
      <c r="I298" s="1" t="s">
        <v>2202</v>
      </c>
      <c r="J298" s="3" t="str">
        <f>IFERROR(__xludf.DUMMYFUNCTION("IF(A298="""", """", IFS(REGEXMATCH(LOWER(A298), ""barbearia|barber""), ""Barbearia"", REGEXMATCH(LOWER(A298), ""sobrancelh|c[ií]lio|lash|micropigment|showbrancelhas""), ""Sobrancelhas e Cílios"", REGEXMATCH(LOWER(A298), ""maquia|make""), ""Maquiagem"", RE"&amp;"GEXMATCH(LOWER(A298), ""depil|epil""), ""Depilação"", REGEXMATCH(LOWER(A298), ""esmalteria|unha|nail|manicur|spa dos p[eé]s|kauu_nhas""), ""Manicure - Esmalteria"", REGEXMATCH(LOWER(A298), ""est[eé]tic|bronze|massot|terap|pilates|revitalize|dra""), ""Clín"&amp;"ica de Estética"", TRUE, ""Salão de Beleza""))"),"Salão de Beleza")</f>
        <v>Salão de Beleza</v>
      </c>
    </row>
    <row r="299">
      <c r="A299" s="1" t="s">
        <v>2203</v>
      </c>
      <c r="B299" s="1" t="s">
        <v>2204</v>
      </c>
      <c r="C299" s="1" t="s">
        <v>2205</v>
      </c>
      <c r="D299" s="1" t="s">
        <v>2206</v>
      </c>
      <c r="E299" s="1" t="s">
        <v>2207</v>
      </c>
      <c r="F299" s="1" t="s">
        <v>2208</v>
      </c>
      <c r="G299" s="3" t="str">
        <f>IFERROR(__xludf.DUMMYFUNCTION("AI(""Preencha um valor adequado para esta célula com base no contexto da tabela"")"),"Timon - MA")</f>
        <v>Timon - MA</v>
      </c>
      <c r="H299" s="2" t="s">
        <v>2209</v>
      </c>
      <c r="I299" s="1" t="s">
        <v>2210</v>
      </c>
      <c r="J299" s="3" t="str">
        <f>IFERROR(__xludf.DUMMYFUNCTION("IF(A299="""", """", IFS(REGEXMATCH(LOWER(A299), ""barbearia|barber""), ""Barbearia"", REGEXMATCH(LOWER(A299), ""sobrancelh|c[ií]lio|lash|micropigment|showbrancelhas""), ""Sobrancelhas e Cílios"", REGEXMATCH(LOWER(A299), ""maquia|make""), ""Maquiagem"", RE"&amp;"GEXMATCH(LOWER(A299), ""depil|epil""), ""Depilação"", REGEXMATCH(LOWER(A299), ""esmalteria|unha|nail|manicur|spa dos p[eé]s|kauu_nhas""), ""Manicure - Esmalteria"", REGEXMATCH(LOWER(A299), ""est[eé]tic|bronze|massot|terap|pilates|revitalize|dra""), ""Clín"&amp;"ica de Estética"", TRUE, ""Salão de Beleza""))"),"Salão de Beleza")</f>
        <v>Salão de Beleza</v>
      </c>
    </row>
    <row r="300">
      <c r="A300" s="1" t="s">
        <v>2211</v>
      </c>
      <c r="D300" s="1" t="s">
        <v>2212</v>
      </c>
      <c r="E300" s="1" t="s">
        <v>2213</v>
      </c>
      <c r="F300" s="1" t="s">
        <v>2214</v>
      </c>
      <c r="G300" s="3" t="str">
        <f>IFERROR(__xludf.DUMMYFUNCTION("AI(""Preencha um valor adequado para esta célula com base no contexto da tabela"")"),"Timon - MA")</f>
        <v>Timon - MA</v>
      </c>
      <c r="H300" s="2" t="s">
        <v>2215</v>
      </c>
      <c r="I300" s="1" t="s">
        <v>2216</v>
      </c>
      <c r="J300" s="3" t="str">
        <f>IFERROR(__xludf.DUMMYFUNCTION("IF(A300="""", """", IFS(REGEXMATCH(LOWER(A300), ""barbearia|barber""), ""Barbearia"", REGEXMATCH(LOWER(A300), ""sobrancelh|c[ií]lio|lash|micropigment|showbrancelhas""), ""Sobrancelhas e Cílios"", REGEXMATCH(LOWER(A300), ""maquia|make""), ""Maquiagem"", RE"&amp;"GEXMATCH(LOWER(A300), ""depil|epil""), ""Depilação"", REGEXMATCH(LOWER(A300), ""esmalteria|unha|nail|manicur|spa dos p[eé]s|kauu_nhas""), ""Manicure - Esmalteria"", REGEXMATCH(LOWER(A300), ""est[eé]tic|bronze|massot|terap|pilates|revitalize|dra""), ""Clín"&amp;"ica de Estética"", TRUE, ""Salão de Beleza""))"),"Salão de Beleza")</f>
        <v>Salão de Beleza</v>
      </c>
    </row>
    <row r="301">
      <c r="A301" s="1" t="s">
        <v>2217</v>
      </c>
      <c r="D301" s="1" t="s">
        <v>2218</v>
      </c>
      <c r="E301" s="1" t="s">
        <v>2219</v>
      </c>
      <c r="F301" s="1" t="s">
        <v>2220</v>
      </c>
      <c r="G301" s="3" t="str">
        <f>IFERROR(__xludf.DUMMYFUNCTION("AI(""Preencha um valor adequado para esta célula com base no contexto da tabela"")"),"Timon - MA")</f>
        <v>Timon - MA</v>
      </c>
      <c r="H301" s="2" t="s">
        <v>2221</v>
      </c>
      <c r="I301" s="1" t="s">
        <v>2222</v>
      </c>
      <c r="J301" s="3" t="str">
        <f>IFERROR(__xludf.DUMMYFUNCTION("IF(A301="""", """", IFS(REGEXMATCH(LOWER(A301), ""barbearia|barber""), ""Barbearia"", REGEXMATCH(LOWER(A301), ""sobrancelh|c[ií]lio|lash|micropigment|showbrancelhas""), ""Sobrancelhas e Cílios"", REGEXMATCH(LOWER(A301), ""maquia|make""), ""Maquiagem"", RE"&amp;"GEXMATCH(LOWER(A301), ""depil|epil""), ""Depilação"", REGEXMATCH(LOWER(A301), ""esmalteria|unha|nail|manicur|spa dos p[eé]s|kauu_nhas""), ""Manicure - Esmalteria"", REGEXMATCH(LOWER(A301), ""est[eé]tic|bronze|massot|terap|pilates|revitalize|dra""), ""Clín"&amp;"ica de Estética"", TRUE, ""Salão de Beleza""))"),"Salão de Beleza")</f>
        <v>Salão de Beleza</v>
      </c>
    </row>
    <row r="302">
      <c r="A302" s="1" t="s">
        <v>2223</v>
      </c>
      <c r="D302" s="1" t="s">
        <v>2224</v>
      </c>
      <c r="E302" s="1" t="s">
        <v>2225</v>
      </c>
      <c r="F302" s="1" t="s">
        <v>2226</v>
      </c>
      <c r="G302" s="3" t="str">
        <f>IFERROR(__xludf.DUMMYFUNCTION("AI(""Preencha um valor adequado para esta célula com base no contexto da tabela"")"),"Timon - MA")</f>
        <v>Timon - MA</v>
      </c>
      <c r="H302" s="2" t="s">
        <v>2227</v>
      </c>
      <c r="I302" s="1" t="s">
        <v>2228</v>
      </c>
      <c r="J302" s="3" t="str">
        <f>IFERROR(__xludf.DUMMYFUNCTION("IF(A302="""", """", IFS(REGEXMATCH(LOWER(A302), ""barbearia|barber""), ""Barbearia"", REGEXMATCH(LOWER(A302), ""sobrancelh|c[ií]lio|lash|micropigment|showbrancelhas""), ""Sobrancelhas e Cílios"", REGEXMATCH(LOWER(A302), ""maquia|make""), ""Maquiagem"", RE"&amp;"GEXMATCH(LOWER(A302), ""depil|epil""), ""Depilação"", REGEXMATCH(LOWER(A302), ""esmalteria|unha|nail|manicur|spa dos p[eé]s|kauu_nhas""), ""Manicure - Esmalteria"", REGEXMATCH(LOWER(A302), ""est[eé]tic|bronze|massot|terap|pilates|revitalize|dra""), ""Clín"&amp;"ica de Estética"", TRUE, ""Salão de Beleza""))"),"Manicure - Esmalteria")</f>
        <v>Manicure - Esmalteria</v>
      </c>
    </row>
    <row r="303">
      <c r="A303" s="1" t="s">
        <v>2229</v>
      </c>
      <c r="D303" s="1" t="s">
        <v>2230</v>
      </c>
      <c r="E303" s="1" t="s">
        <v>2231</v>
      </c>
      <c r="F303" s="1" t="s">
        <v>2232</v>
      </c>
      <c r="G303" s="3" t="str">
        <f>IFERROR(__xludf.DUMMYFUNCTION("AI(""Preencha um valor adequado para esta célula com base no contexto da tabela"")"),"Timon - MA")</f>
        <v>Timon - MA</v>
      </c>
      <c r="H303" s="2" t="s">
        <v>2233</v>
      </c>
      <c r="I303" s="1" t="s">
        <v>2234</v>
      </c>
      <c r="J303" s="3" t="str">
        <f>IFERROR(__xludf.DUMMYFUNCTION("IF(A303="""", """", IFS(REGEXMATCH(LOWER(A303), ""barbearia|barber""), ""Barbearia"", REGEXMATCH(LOWER(A303), ""sobrancelh|c[ií]lio|lash|micropigment|showbrancelhas""), ""Sobrancelhas e Cílios"", REGEXMATCH(LOWER(A303), ""maquia|make""), ""Maquiagem"", RE"&amp;"GEXMATCH(LOWER(A303), ""depil|epil""), ""Depilação"", REGEXMATCH(LOWER(A303), ""esmalteria|unha|nail|manicur|spa dos p[eé]s|kauu_nhas""), ""Manicure - Esmalteria"", REGEXMATCH(LOWER(A303), ""est[eé]tic|bronze|massot|terap|pilates|revitalize|dra""), ""Clín"&amp;"ica de Estética"", TRUE, ""Salão de Beleza""))"),"Salão de Beleza")</f>
        <v>Salão de Beleza</v>
      </c>
    </row>
    <row r="304">
      <c r="A304" s="1" t="s">
        <v>732</v>
      </c>
      <c r="B304" s="1" t="s">
        <v>2235</v>
      </c>
      <c r="C304" s="1" t="s">
        <v>2236</v>
      </c>
      <c r="D304" s="1" t="s">
        <v>2237</v>
      </c>
      <c r="E304" s="1" t="s">
        <v>736</v>
      </c>
      <c r="F304" s="1" t="s">
        <v>737</v>
      </c>
      <c r="G304" s="3" t="str">
        <f>IFERROR(__xludf.DUMMYFUNCTION("AI(""Preencha um valor adequado para esta célula com base no contexto da tabela"")"),"Timon - MA")</f>
        <v>Timon - MA</v>
      </c>
      <c r="H304" s="2" t="s">
        <v>2238</v>
      </c>
      <c r="I304" s="1" t="s">
        <v>739</v>
      </c>
      <c r="J304" s="3" t="str">
        <f>IFERROR(__xludf.DUMMYFUNCTION("IF(A304="""", """", IFS(REGEXMATCH(LOWER(A304), ""barbearia|barber""), ""Barbearia"", REGEXMATCH(LOWER(A304), ""sobrancelh|c[ií]lio|lash|micropigment|showbrancelhas""), ""Sobrancelhas e Cílios"", REGEXMATCH(LOWER(A304), ""maquia|make""), ""Maquiagem"", RE"&amp;"GEXMATCH(LOWER(A304), ""depil|epil""), ""Depilação"", REGEXMATCH(LOWER(A304), ""esmalteria|unha|nail|manicur|spa dos p[eé]s|kauu_nhas""), ""Manicure - Esmalteria"", REGEXMATCH(LOWER(A304), ""est[eé]tic|bronze|massot|terap|pilates|revitalize|dra""), ""Clín"&amp;"ica de Estética"", TRUE, ""Salão de Beleza""))"),"Salão de Beleza")</f>
        <v>Salão de Beleza</v>
      </c>
    </row>
    <row r="305">
      <c r="A305" s="1" t="s">
        <v>2239</v>
      </c>
      <c r="B305" s="1" t="s">
        <v>2240</v>
      </c>
      <c r="C305" s="1" t="s">
        <v>2241</v>
      </c>
      <c r="D305" s="1" t="s">
        <v>2242</v>
      </c>
      <c r="E305" s="1" t="s">
        <v>2243</v>
      </c>
      <c r="F305" s="1" t="s">
        <v>2244</v>
      </c>
      <c r="G305" s="3" t="str">
        <f>IFERROR(__xludf.DUMMYFUNCTION("AI(""Preencha um valor adequado para esta célula com base no contexto da tabela"")"),"Timon - MA")</f>
        <v>Timon - MA</v>
      </c>
      <c r="H305" s="2" t="s">
        <v>2245</v>
      </c>
      <c r="I305" s="1" t="s">
        <v>2246</v>
      </c>
      <c r="J305" s="3" t="str">
        <f>IFERROR(__xludf.DUMMYFUNCTION("IF(A305="""", """", IFS(REGEXMATCH(LOWER(A305), ""barbearia|barber""), ""Barbearia"", REGEXMATCH(LOWER(A305), ""sobrancelh|c[ií]lio|lash|micropigment|showbrancelhas""), ""Sobrancelhas e Cílios"", REGEXMATCH(LOWER(A305), ""maquia|make""), ""Maquiagem"", RE"&amp;"GEXMATCH(LOWER(A305), ""depil|epil""), ""Depilação"", REGEXMATCH(LOWER(A305), ""esmalteria|unha|nail|manicur|spa dos p[eé]s|kauu_nhas""), ""Manicure - Esmalteria"", REGEXMATCH(LOWER(A305), ""est[eé]tic|bronze|massot|terap|pilates|revitalize|dra""), ""Clín"&amp;"ica de Estética"", TRUE, ""Salão de Beleza""))"),"Salão de Beleza")</f>
        <v>Salão de Beleza</v>
      </c>
    </row>
    <row r="306">
      <c r="A306" s="1" t="s">
        <v>2247</v>
      </c>
      <c r="B306" s="1" t="s">
        <v>2248</v>
      </c>
      <c r="C306" s="1" t="s">
        <v>2249</v>
      </c>
      <c r="D306" s="1" t="s">
        <v>2250</v>
      </c>
      <c r="E306" s="1" t="s">
        <v>2251</v>
      </c>
      <c r="F306" s="1" t="s">
        <v>2252</v>
      </c>
      <c r="G306" s="3" t="str">
        <f>IFERROR(__xludf.DUMMYFUNCTION("AI(""Preencha um valor adequado para esta célula com base no contexto da tabela"")"),"Timon - MA")</f>
        <v>Timon - MA</v>
      </c>
      <c r="H306" s="2" t="s">
        <v>2253</v>
      </c>
      <c r="I306" s="1" t="s">
        <v>2254</v>
      </c>
      <c r="J306" s="3" t="str">
        <f>IFERROR(__xludf.DUMMYFUNCTION("IF(A306="""", """", IFS(REGEXMATCH(LOWER(A306), ""barbearia|barber""), ""Barbearia"", REGEXMATCH(LOWER(A306), ""sobrancelh|c[ií]lio|lash|micropigment|showbrancelhas""), ""Sobrancelhas e Cílios"", REGEXMATCH(LOWER(A306), ""maquia|make""), ""Maquiagem"", RE"&amp;"GEXMATCH(LOWER(A306), ""depil|epil""), ""Depilação"", REGEXMATCH(LOWER(A306), ""esmalteria|unha|nail|manicur|spa dos p[eé]s|kauu_nhas""), ""Manicure - Esmalteria"", REGEXMATCH(LOWER(A306), ""est[eé]tic|bronze|massot|terap|pilates|revitalize|dra""), ""Clín"&amp;"ica de Estética"", TRUE, ""Salão de Beleza""))"),"Salão de Beleza")</f>
        <v>Salão de Beleza</v>
      </c>
    </row>
    <row r="307">
      <c r="A307" s="1" t="s">
        <v>2255</v>
      </c>
      <c r="B307" s="1" t="s">
        <v>2256</v>
      </c>
      <c r="C307" s="1" t="s">
        <v>2257</v>
      </c>
      <c r="D307" s="1" t="s">
        <v>2258</v>
      </c>
      <c r="E307" s="1" t="s">
        <v>2259</v>
      </c>
      <c r="F307" s="1" t="s">
        <v>2260</v>
      </c>
      <c r="G307" s="3" t="str">
        <f>IFERROR(__xludf.DUMMYFUNCTION("AI(""Preencha um valor adequado para esta célula com base no contexto da tabela"")"),"Timon - MA")</f>
        <v>Timon - MA</v>
      </c>
      <c r="H307" s="2" t="s">
        <v>2261</v>
      </c>
      <c r="I307" s="1" t="s">
        <v>2262</v>
      </c>
      <c r="J307" s="3" t="str">
        <f>IFERROR(__xludf.DUMMYFUNCTION("IF(A307="""", """", IFS(REGEXMATCH(LOWER(A307), ""barbearia|barber""), ""Barbearia"", REGEXMATCH(LOWER(A307), ""sobrancelh|c[ií]lio|lash|micropigment|showbrancelhas""), ""Sobrancelhas e Cílios"", REGEXMATCH(LOWER(A307), ""maquia|make""), ""Maquiagem"", RE"&amp;"GEXMATCH(LOWER(A307), ""depil|epil""), ""Depilação"", REGEXMATCH(LOWER(A307), ""esmalteria|unha|nail|manicur|spa dos p[eé]s|kauu_nhas""), ""Manicure - Esmalteria"", REGEXMATCH(LOWER(A307), ""est[eé]tic|bronze|massot|terap|pilates|revitalize|dra""), ""Clín"&amp;"ica de Estética"", TRUE, ""Salão de Beleza""))"),"Salão de Beleza")</f>
        <v>Salão de Beleza</v>
      </c>
    </row>
    <row r="308">
      <c r="A308" s="1" t="s">
        <v>1838</v>
      </c>
      <c r="D308" s="1" t="s">
        <v>2263</v>
      </c>
      <c r="E308" s="1" t="s">
        <v>2264</v>
      </c>
      <c r="F308" s="1" t="s">
        <v>2265</v>
      </c>
      <c r="G308" s="3" t="str">
        <f>IFERROR(__xludf.DUMMYFUNCTION("AI(""Preencha um valor adequado para esta célula com base no contexto da tabela"")"),"Timon - MA")</f>
        <v>Timon - MA</v>
      </c>
      <c r="H308" s="2" t="s">
        <v>2266</v>
      </c>
      <c r="I308" s="1" t="s">
        <v>2032</v>
      </c>
      <c r="J308" s="3" t="str">
        <f>IFERROR(__xludf.DUMMYFUNCTION("IF(A308="""", """", IFS(REGEXMATCH(LOWER(A308), ""barbearia|barber""), ""Barbearia"", REGEXMATCH(LOWER(A308), ""sobrancelh|c[ií]lio|lash|micropigment|showbrancelhas""), ""Sobrancelhas e Cílios"", REGEXMATCH(LOWER(A308), ""maquia|make""), ""Maquiagem"", RE"&amp;"GEXMATCH(LOWER(A308), ""depil|epil""), ""Depilação"", REGEXMATCH(LOWER(A308), ""esmalteria|unha|nail|manicur|spa dos p[eé]s|kauu_nhas""), ""Manicure - Esmalteria"", REGEXMATCH(LOWER(A308), ""est[eé]tic|bronze|massot|terap|pilates|revitalize|dra""), ""Clín"&amp;"ica de Estética"", TRUE, ""Salão de Beleza""))"),"Salão de Beleza")</f>
        <v>Salão de Beleza</v>
      </c>
    </row>
    <row r="309">
      <c r="A309" s="1" t="s">
        <v>2267</v>
      </c>
      <c r="D309" s="1" t="s">
        <v>2268</v>
      </c>
      <c r="E309" s="1" t="s">
        <v>2269</v>
      </c>
      <c r="F309" s="1" t="s">
        <v>2270</v>
      </c>
      <c r="G309" s="3" t="str">
        <f>IFERROR(__xludf.DUMMYFUNCTION("AI(""Preencha um valor adequado para esta célula com base no contexto da tabela"")"),"Timon - MA")</f>
        <v>Timon - MA</v>
      </c>
      <c r="H309" s="2" t="s">
        <v>2271</v>
      </c>
      <c r="I309" s="1" t="s">
        <v>2272</v>
      </c>
      <c r="J309" s="3" t="str">
        <f>IFERROR(__xludf.DUMMYFUNCTION("IF(A309="""", """", IFS(REGEXMATCH(LOWER(A309), ""barbearia|barber""), ""Barbearia"", REGEXMATCH(LOWER(A309), ""sobrancelh|c[ií]lio|lash|micropigment|showbrancelhas""), ""Sobrancelhas e Cílios"", REGEXMATCH(LOWER(A309), ""maquia|make""), ""Maquiagem"", RE"&amp;"GEXMATCH(LOWER(A309), ""depil|epil""), ""Depilação"", REGEXMATCH(LOWER(A309), ""esmalteria|unha|nail|manicur|spa dos p[eé]s|kauu_nhas""), ""Manicure - Esmalteria"", REGEXMATCH(LOWER(A309), ""est[eé]tic|bronze|massot|terap|pilates|revitalize|dra""), ""Clín"&amp;"ica de Estética"", TRUE, ""Salão de Beleza""))"),"Salão de Beleza")</f>
        <v>Salão de Beleza</v>
      </c>
    </row>
    <row r="310">
      <c r="A310" s="1" t="s">
        <v>2273</v>
      </c>
      <c r="B310" s="1" t="s">
        <v>2274</v>
      </c>
      <c r="C310" s="1" t="s">
        <v>2275</v>
      </c>
      <c r="D310" s="1" t="s">
        <v>2276</v>
      </c>
      <c r="E310" s="1" t="s">
        <v>2277</v>
      </c>
      <c r="F310" s="1" t="s">
        <v>2278</v>
      </c>
      <c r="G310" s="3" t="str">
        <f>IFERROR(__xludf.DUMMYFUNCTION("AI(""Preencha um valor adequado para esta célula com base no contexto da tabela"")"),"Timon - MA")</f>
        <v>Timon - MA</v>
      </c>
      <c r="H310" s="2" t="s">
        <v>2279</v>
      </c>
      <c r="I310" s="1" t="s">
        <v>2280</v>
      </c>
      <c r="J310" s="3" t="str">
        <f>IFERROR(__xludf.DUMMYFUNCTION("IF(A310="""", """", IFS(REGEXMATCH(LOWER(A310), ""barbearia|barber""), ""Barbearia"", REGEXMATCH(LOWER(A310), ""sobrancelh|c[ií]lio|lash|micropigment|showbrancelhas""), ""Sobrancelhas e Cílios"", REGEXMATCH(LOWER(A310), ""maquia|make""), ""Maquiagem"", RE"&amp;"GEXMATCH(LOWER(A310), ""depil|epil""), ""Depilação"", REGEXMATCH(LOWER(A310), ""esmalteria|unha|nail|manicur|spa dos p[eé]s|kauu_nhas""), ""Manicure - Esmalteria"", REGEXMATCH(LOWER(A310), ""est[eé]tic|bronze|massot|terap|pilates|revitalize|dra""), ""Clín"&amp;"ica de Estética"", TRUE, ""Salão de Beleza""))"),"Salão de Beleza")</f>
        <v>Salão de Beleza</v>
      </c>
    </row>
    <row r="311">
      <c r="A311" s="1" t="s">
        <v>2281</v>
      </c>
      <c r="B311" s="1" t="s">
        <v>2282</v>
      </c>
      <c r="C311" s="1" t="s">
        <v>2283</v>
      </c>
      <c r="D311" s="1" t="s">
        <v>2284</v>
      </c>
      <c r="E311" s="1" t="s">
        <v>2285</v>
      </c>
      <c r="F311" s="1" t="s">
        <v>2286</v>
      </c>
      <c r="G311" s="3" t="str">
        <f>IFERROR(__xludf.DUMMYFUNCTION("AI(""Preencha um valor adequado para esta célula com base no contexto da tabela"")"),"Timon - MA")</f>
        <v>Timon - MA</v>
      </c>
      <c r="H311" s="2" t="s">
        <v>2287</v>
      </c>
      <c r="I311" s="1" t="s">
        <v>2288</v>
      </c>
      <c r="J311" s="3" t="str">
        <f>IFERROR(__xludf.DUMMYFUNCTION("IF(A311="""", """", IFS(REGEXMATCH(LOWER(A311), ""barbearia|barber""), ""Barbearia"", REGEXMATCH(LOWER(A311), ""sobrancelh|c[ií]lio|lash|micropigment|showbrancelhas""), ""Sobrancelhas e Cílios"", REGEXMATCH(LOWER(A311), ""maquia|make""), ""Maquiagem"", RE"&amp;"GEXMATCH(LOWER(A311), ""depil|epil""), ""Depilação"", REGEXMATCH(LOWER(A311), ""esmalteria|unha|nail|manicur|spa dos p[eé]s|kauu_nhas""), ""Manicure - Esmalteria"", REGEXMATCH(LOWER(A311), ""est[eé]tic|bronze|massot|terap|pilates|revitalize|dra""), ""Clín"&amp;"ica de Estética"", TRUE, ""Salão de Beleza""))"),"Salão de Beleza")</f>
        <v>Salão de Beleza</v>
      </c>
    </row>
    <row r="312">
      <c r="A312" s="1" t="s">
        <v>2289</v>
      </c>
      <c r="B312" s="1" t="s">
        <v>2290</v>
      </c>
      <c r="C312" s="1" t="s">
        <v>2291</v>
      </c>
      <c r="D312" s="1" t="s">
        <v>2292</v>
      </c>
      <c r="E312" s="1" t="s">
        <v>2293</v>
      </c>
      <c r="F312" s="1" t="s">
        <v>2294</v>
      </c>
      <c r="G312" s="3" t="str">
        <f>IFERROR(__xludf.DUMMYFUNCTION("AI(""Preencha um valor adequado para esta célula com base no contexto da tabela"")"),"Timon - MA")</f>
        <v>Timon - MA</v>
      </c>
      <c r="H312" s="2" t="s">
        <v>2295</v>
      </c>
      <c r="I312" s="1" t="s">
        <v>2296</v>
      </c>
      <c r="J312" s="3" t="str">
        <f>IFERROR(__xludf.DUMMYFUNCTION("IF(A312="""", """", IFS(REGEXMATCH(LOWER(A312), ""barbearia|barber""), ""Barbearia"", REGEXMATCH(LOWER(A312), ""sobrancelh|c[ií]lio|lash|micropigment|showbrancelhas""), ""Sobrancelhas e Cílios"", REGEXMATCH(LOWER(A312), ""maquia|make""), ""Maquiagem"", RE"&amp;"GEXMATCH(LOWER(A312), ""depil|epil""), ""Depilação"", REGEXMATCH(LOWER(A312), ""esmalteria|unha|nail|manicur|spa dos p[eé]s|kauu_nhas""), ""Manicure - Esmalteria"", REGEXMATCH(LOWER(A312), ""est[eé]tic|bronze|massot|terap|pilates|revitalize|dra""), ""Clín"&amp;"ica de Estética"", TRUE, ""Salão de Beleza""))"),"Manicure - Esmalteria")</f>
        <v>Manicure - Esmalteria</v>
      </c>
    </row>
    <row r="313">
      <c r="A313" s="1" t="s">
        <v>2297</v>
      </c>
      <c r="D313" s="1" t="s">
        <v>2298</v>
      </c>
      <c r="E313" s="1" t="s">
        <v>2299</v>
      </c>
      <c r="F313" s="1" t="s">
        <v>2300</v>
      </c>
      <c r="G313" s="3" t="str">
        <f>IFERROR(__xludf.DUMMYFUNCTION("AI(""Preencha um valor adequado para esta célula com base no contexto da tabela"")"),"Timon - MA")</f>
        <v>Timon - MA</v>
      </c>
      <c r="H313" s="2" t="s">
        <v>2301</v>
      </c>
      <c r="J313" s="3" t="str">
        <f>IFERROR(__xludf.DUMMYFUNCTION("IF(A313="""", """", IFS(REGEXMATCH(LOWER(A313), ""barbearia|barber""), ""Barbearia"", REGEXMATCH(LOWER(A313), ""sobrancelh|c[ií]lio|lash|micropigment|showbrancelhas""), ""Sobrancelhas e Cílios"", REGEXMATCH(LOWER(A313), ""maquia|make""), ""Maquiagem"", RE"&amp;"GEXMATCH(LOWER(A313), ""depil|epil""), ""Depilação"", REGEXMATCH(LOWER(A313), ""esmalteria|unha|nail|manicur|spa dos p[eé]s|kauu_nhas""), ""Manicure - Esmalteria"", REGEXMATCH(LOWER(A313), ""est[eé]tic|bronze|massot|terap|pilates|revitalize|dra""), ""Clín"&amp;"ica de Estética"", TRUE, ""Salão de Beleza""))"),"Salão de Beleza")</f>
        <v>Salão de Beleza</v>
      </c>
    </row>
    <row r="314">
      <c r="A314" s="1" t="s">
        <v>2302</v>
      </c>
      <c r="D314" s="1" t="s">
        <v>2303</v>
      </c>
      <c r="E314" s="1" t="s">
        <v>2304</v>
      </c>
      <c r="F314" s="1" t="s">
        <v>2305</v>
      </c>
      <c r="G314" s="3" t="str">
        <f>IFERROR(__xludf.DUMMYFUNCTION("AI(""Preencha um valor adequado para esta célula com base no contexto da tabela"")"),"Timon - MA")</f>
        <v>Timon - MA</v>
      </c>
      <c r="H314" s="2" t="s">
        <v>2306</v>
      </c>
      <c r="I314" s="1" t="s">
        <v>682</v>
      </c>
      <c r="J314" s="3" t="str">
        <f>IFERROR(__xludf.DUMMYFUNCTION("IF(A314="""", """", IFS(REGEXMATCH(LOWER(A314), ""barbearia|barber""), ""Barbearia"", REGEXMATCH(LOWER(A314), ""sobrancelh|c[ií]lio|lash|micropigment|showbrancelhas""), ""Sobrancelhas e Cílios"", REGEXMATCH(LOWER(A314), ""maquia|make""), ""Maquiagem"", RE"&amp;"GEXMATCH(LOWER(A314), ""depil|epil""), ""Depilação"", REGEXMATCH(LOWER(A314), ""esmalteria|unha|nail|manicur|spa dos p[eé]s|kauu_nhas""), ""Manicure - Esmalteria"", REGEXMATCH(LOWER(A314), ""est[eé]tic|bronze|massot|terap|pilates|revitalize|dra""), ""Clín"&amp;"ica de Estética"", TRUE, ""Salão de Beleza""))"),"Salão de Beleza")</f>
        <v>Salão de Beleza</v>
      </c>
    </row>
    <row r="315">
      <c r="A315" s="1" t="s">
        <v>2307</v>
      </c>
      <c r="B315" s="1" t="s">
        <v>2308</v>
      </c>
      <c r="C315" s="1" t="s">
        <v>2309</v>
      </c>
      <c r="D315" s="1" t="s">
        <v>2310</v>
      </c>
      <c r="E315" s="1" t="s">
        <v>2311</v>
      </c>
      <c r="F315" s="1" t="s">
        <v>2312</v>
      </c>
      <c r="G315" s="3" t="str">
        <f>IFERROR(__xludf.DUMMYFUNCTION("AI(""Preencha um valor adequado para esta célula com base no contexto da tabela"")"),"Timon - MA")</f>
        <v>Timon - MA</v>
      </c>
      <c r="H315" s="2" t="s">
        <v>2313</v>
      </c>
      <c r="I315" s="1" t="s">
        <v>2314</v>
      </c>
      <c r="J315" s="3" t="str">
        <f>IFERROR(__xludf.DUMMYFUNCTION("IF(A315="""", """", IFS(REGEXMATCH(LOWER(A315), ""barbearia|barber""), ""Barbearia"", REGEXMATCH(LOWER(A315), ""sobrancelh|c[ií]lio|lash|micropigment|showbrancelhas""), ""Sobrancelhas e Cílios"", REGEXMATCH(LOWER(A315), ""maquia|make""), ""Maquiagem"", RE"&amp;"GEXMATCH(LOWER(A315), ""depil|epil""), ""Depilação"", REGEXMATCH(LOWER(A315), ""esmalteria|unha|nail|manicur|spa dos p[eé]s|kauu_nhas""), ""Manicure - Esmalteria"", REGEXMATCH(LOWER(A315), ""est[eé]tic|bronze|massot|terap|pilates|revitalize|dra""), ""Clín"&amp;"ica de Estética"", TRUE, ""Salão de Beleza""))"),"Salão de Beleza")</f>
        <v>Salão de Beleza</v>
      </c>
    </row>
    <row r="316">
      <c r="A316" s="1" t="s">
        <v>2315</v>
      </c>
      <c r="D316" s="1" t="s">
        <v>2316</v>
      </c>
      <c r="E316" s="1" t="s">
        <v>2317</v>
      </c>
      <c r="F316" s="1" t="s">
        <v>2318</v>
      </c>
      <c r="G316" s="3" t="str">
        <f>IFERROR(__xludf.DUMMYFUNCTION("AI(""Preencha um valor adequado para esta célula com base no contexto da tabela"")"),"Timon - MA")</f>
        <v>Timon - MA</v>
      </c>
      <c r="H316" s="2" t="s">
        <v>2319</v>
      </c>
      <c r="I316" s="1" t="s">
        <v>2320</v>
      </c>
      <c r="J316" s="3" t="str">
        <f>IFERROR(__xludf.DUMMYFUNCTION("IF(A316="""", """", IFS(REGEXMATCH(LOWER(A316), ""barbearia|barber""), ""Barbearia"", REGEXMATCH(LOWER(A316), ""sobrancelh|c[ií]lio|lash|micropigment|showbrancelhas""), ""Sobrancelhas e Cílios"", REGEXMATCH(LOWER(A316), ""maquia|make""), ""Maquiagem"", RE"&amp;"GEXMATCH(LOWER(A316), ""depil|epil""), ""Depilação"", REGEXMATCH(LOWER(A316), ""esmalteria|unha|nail|manicur|spa dos p[eé]s|kauu_nhas""), ""Manicure - Esmalteria"", REGEXMATCH(LOWER(A316), ""est[eé]tic|bronze|massot|terap|pilates|revitalize|dra""), ""Clín"&amp;"ica de Estética"", TRUE, ""Salão de Beleza""))"),"Salão de Beleza")</f>
        <v>Salão de Beleza</v>
      </c>
    </row>
    <row r="317">
      <c r="A317" s="1" t="s">
        <v>2321</v>
      </c>
      <c r="B317" s="1" t="s">
        <v>2322</v>
      </c>
      <c r="C317" s="1" t="s">
        <v>2323</v>
      </c>
      <c r="D317" s="1" t="s">
        <v>2324</v>
      </c>
      <c r="E317" s="1" t="s">
        <v>2325</v>
      </c>
      <c r="F317" s="1" t="s">
        <v>2326</v>
      </c>
      <c r="G317" s="3" t="str">
        <f>IFERROR(__xludf.DUMMYFUNCTION("AI(""Preencha um valor adequado para esta célula com base no contexto da tabela"")"),"Timon - MA")</f>
        <v>Timon - MA</v>
      </c>
      <c r="H317" s="2" t="s">
        <v>2327</v>
      </c>
      <c r="I317" s="1" t="s">
        <v>2328</v>
      </c>
      <c r="J317" s="3" t="str">
        <f>IFERROR(__xludf.DUMMYFUNCTION("IF(A317="""", """", IFS(REGEXMATCH(LOWER(A317), ""barbearia|barber""), ""Barbearia"", REGEXMATCH(LOWER(A317), ""sobrancelh|c[ií]lio|lash|micropigment|showbrancelhas""), ""Sobrancelhas e Cílios"", REGEXMATCH(LOWER(A317), ""maquia|make""), ""Maquiagem"", RE"&amp;"GEXMATCH(LOWER(A317), ""depil|epil""), ""Depilação"", REGEXMATCH(LOWER(A317), ""esmalteria|unha|nail|manicur|spa dos p[eé]s|kauu_nhas""), ""Manicure - Esmalteria"", REGEXMATCH(LOWER(A317), ""est[eé]tic|bronze|massot|terap|pilates|revitalize|dra""), ""Clín"&amp;"ica de Estética"", TRUE, ""Salão de Beleza""))"),"Salão de Beleza")</f>
        <v>Salão de Beleza</v>
      </c>
    </row>
    <row r="318">
      <c r="A318" s="1" t="s">
        <v>2329</v>
      </c>
      <c r="B318" s="1" t="s">
        <v>2330</v>
      </c>
      <c r="C318" s="1" t="s">
        <v>2331</v>
      </c>
      <c r="D318" s="1" t="s">
        <v>2332</v>
      </c>
      <c r="E318" s="1" t="s">
        <v>2333</v>
      </c>
      <c r="F318" s="1" t="s">
        <v>2334</v>
      </c>
      <c r="G318" s="3" t="str">
        <f>IFERROR(__xludf.DUMMYFUNCTION("AI(""Preencha um valor adequado para esta célula com base no contexto da tabela"")"),"Timon - MA")</f>
        <v>Timon - MA</v>
      </c>
      <c r="H318" s="2" t="s">
        <v>2335</v>
      </c>
      <c r="I318" s="1" t="s">
        <v>2336</v>
      </c>
      <c r="J318" s="3" t="str">
        <f>IFERROR(__xludf.DUMMYFUNCTION("IF(A318="""", """", IFS(REGEXMATCH(LOWER(A318), ""barbearia|barber""), ""Barbearia"", REGEXMATCH(LOWER(A318), ""sobrancelh|c[ií]lio|lash|micropigment|showbrancelhas""), ""Sobrancelhas e Cílios"", REGEXMATCH(LOWER(A318), ""maquia|make""), ""Maquiagem"", RE"&amp;"GEXMATCH(LOWER(A318), ""depil|epil""), ""Depilação"", REGEXMATCH(LOWER(A318), ""esmalteria|unha|nail|manicur|spa dos p[eé]s|kauu_nhas""), ""Manicure - Esmalteria"", REGEXMATCH(LOWER(A318), ""est[eé]tic|bronze|massot|terap|pilates|revitalize|dra""), ""Clín"&amp;"ica de Estética"", TRUE, ""Salão de Beleza""))"),"Manicure - Esmalteria")</f>
        <v>Manicure - Esmalteria</v>
      </c>
    </row>
    <row r="319">
      <c r="A319" s="1" t="s">
        <v>2337</v>
      </c>
      <c r="B319" s="1" t="s">
        <v>2338</v>
      </c>
      <c r="C319" s="1" t="s">
        <v>2339</v>
      </c>
      <c r="D319" s="1" t="s">
        <v>2340</v>
      </c>
      <c r="E319" s="1" t="s">
        <v>2341</v>
      </c>
      <c r="F319" s="1" t="s">
        <v>2342</v>
      </c>
      <c r="G319" s="3" t="str">
        <f>IFERROR(__xludf.DUMMYFUNCTION("AI(""Preencha um valor adequado para esta célula com base no contexto da tabela"")"),"Timon - MA")</f>
        <v>Timon - MA</v>
      </c>
      <c r="H319" s="2" t="s">
        <v>2343</v>
      </c>
      <c r="I319" s="1" t="s">
        <v>2344</v>
      </c>
      <c r="J319" s="3" t="str">
        <f>IFERROR(__xludf.DUMMYFUNCTION("IF(A319="""", """", IFS(REGEXMATCH(LOWER(A319), ""barbearia|barber""), ""Barbearia"", REGEXMATCH(LOWER(A319), ""sobrancelh|c[ií]lio|lash|micropigment|showbrancelhas""), ""Sobrancelhas e Cílios"", REGEXMATCH(LOWER(A319), ""maquia|make""), ""Maquiagem"", RE"&amp;"GEXMATCH(LOWER(A319), ""depil|epil""), ""Depilação"", REGEXMATCH(LOWER(A319), ""esmalteria|unha|nail|manicur|spa dos p[eé]s|kauu_nhas""), ""Manicure - Esmalteria"", REGEXMATCH(LOWER(A319), ""est[eé]tic|bronze|massot|terap|pilates|revitalize|dra""), ""Clín"&amp;"ica de Estética"", TRUE, ""Salão de Beleza""))"),"Manicure - Esmalteria")</f>
        <v>Manicure - Esmalteria</v>
      </c>
    </row>
    <row r="320">
      <c r="A320" s="1" t="s">
        <v>2345</v>
      </c>
      <c r="B320" s="1" t="s">
        <v>2346</v>
      </c>
      <c r="C320" s="1" t="s">
        <v>2347</v>
      </c>
      <c r="D320" s="1" t="s">
        <v>2348</v>
      </c>
      <c r="E320" s="1" t="s">
        <v>2349</v>
      </c>
      <c r="F320" s="1" t="s">
        <v>2350</v>
      </c>
      <c r="G320" s="3" t="str">
        <f>IFERROR(__xludf.DUMMYFUNCTION("AI(""Preencha um valor adequado para esta célula com base no contexto da tabela"")"),"Timon - MA")</f>
        <v>Timon - MA</v>
      </c>
      <c r="H320" s="2" t="s">
        <v>2351</v>
      </c>
      <c r="I320" s="1" t="s">
        <v>2352</v>
      </c>
      <c r="J320" s="3" t="str">
        <f>IFERROR(__xludf.DUMMYFUNCTION("IF(A320="""", """", IFS(REGEXMATCH(LOWER(A320), ""barbearia|barber""), ""Barbearia"", REGEXMATCH(LOWER(A320), ""sobrancelh|c[ií]lio|lash|micropigment|showbrancelhas""), ""Sobrancelhas e Cílios"", REGEXMATCH(LOWER(A320), ""maquia|make""), ""Maquiagem"", RE"&amp;"GEXMATCH(LOWER(A320), ""depil|epil""), ""Depilação"", REGEXMATCH(LOWER(A320), ""esmalteria|unha|nail|manicur|spa dos p[eé]s|kauu_nhas""), ""Manicure - Esmalteria"", REGEXMATCH(LOWER(A320), ""est[eé]tic|bronze|massot|terap|pilates|revitalize|dra""), ""Clín"&amp;"ica de Estética"", TRUE, ""Salão de Beleza""))"),"Manicure - Esmalteria")</f>
        <v>Manicure - Esmalteria</v>
      </c>
    </row>
    <row r="321">
      <c r="A321" s="1" t="s">
        <v>2353</v>
      </c>
      <c r="B321" s="1" t="s">
        <v>2354</v>
      </c>
      <c r="C321" s="1" t="s">
        <v>2355</v>
      </c>
      <c r="D321" s="1" t="s">
        <v>2356</v>
      </c>
      <c r="E321" s="1" t="s">
        <v>2357</v>
      </c>
      <c r="F321" s="1" t="s">
        <v>2358</v>
      </c>
      <c r="G321" s="3" t="str">
        <f>IFERROR(__xludf.DUMMYFUNCTION("AI(""Preencha um valor adequado para esta célula com base no contexto da tabela"")"),"Timon - MA")</f>
        <v>Timon - MA</v>
      </c>
      <c r="H321" s="2" t="s">
        <v>2359</v>
      </c>
      <c r="I321" s="1" t="s">
        <v>2360</v>
      </c>
      <c r="J321" s="3" t="str">
        <f>IFERROR(__xludf.DUMMYFUNCTION("IF(A321="""", """", IFS(REGEXMATCH(LOWER(A321), ""barbearia|barber""), ""Barbearia"", REGEXMATCH(LOWER(A321), ""sobrancelh|c[ií]lio|lash|micropigment|showbrancelhas""), ""Sobrancelhas e Cílios"", REGEXMATCH(LOWER(A321), ""maquia|make""), ""Maquiagem"", RE"&amp;"GEXMATCH(LOWER(A321), ""depil|epil""), ""Depilação"", REGEXMATCH(LOWER(A321), ""esmalteria|unha|nail|manicur|spa dos p[eé]s|kauu_nhas""), ""Manicure - Esmalteria"", REGEXMATCH(LOWER(A321), ""est[eé]tic|bronze|massot|terap|pilates|revitalize|dra""), ""Clín"&amp;"ica de Estética"", TRUE, ""Salão de Beleza""))"),"Salão de Beleza")</f>
        <v>Salão de Beleza</v>
      </c>
    </row>
    <row r="322">
      <c r="A322" s="1" t="s">
        <v>2361</v>
      </c>
      <c r="B322" s="1" t="s">
        <v>2362</v>
      </c>
      <c r="C322" s="1" t="s">
        <v>2363</v>
      </c>
      <c r="D322" s="1" t="s">
        <v>2364</v>
      </c>
      <c r="E322" s="1" t="s">
        <v>2365</v>
      </c>
      <c r="F322" s="1" t="s">
        <v>2366</v>
      </c>
      <c r="G322" s="3" t="str">
        <f>IFERROR(__xludf.DUMMYFUNCTION("AI(""Preencha um valor adequado para esta célula com base no contexto da tabela"")"),"Timon - MA")</f>
        <v>Timon - MA</v>
      </c>
      <c r="H322" s="2" t="s">
        <v>2367</v>
      </c>
      <c r="I322" s="1" t="s">
        <v>2368</v>
      </c>
      <c r="J322" s="3" t="str">
        <f>IFERROR(__xludf.DUMMYFUNCTION("IF(A322="""", """", IFS(REGEXMATCH(LOWER(A322), ""barbearia|barber""), ""Barbearia"", REGEXMATCH(LOWER(A322), ""sobrancelh|c[ií]lio|lash|micropigment|showbrancelhas""), ""Sobrancelhas e Cílios"", REGEXMATCH(LOWER(A322), ""maquia|make""), ""Maquiagem"", RE"&amp;"GEXMATCH(LOWER(A322), ""depil|epil""), ""Depilação"", REGEXMATCH(LOWER(A322), ""esmalteria|unha|nail|manicur|spa dos p[eé]s|kauu_nhas""), ""Manicure - Esmalteria"", REGEXMATCH(LOWER(A322), ""est[eé]tic|bronze|massot|terap|pilates|revitalize|dra""), ""Clín"&amp;"ica de Estética"", TRUE, ""Salão de Beleza""))"),"Salão de Beleza")</f>
        <v>Salão de Beleza</v>
      </c>
    </row>
    <row r="323">
      <c r="A323" s="1" t="s">
        <v>2369</v>
      </c>
      <c r="D323" s="1" t="s">
        <v>2370</v>
      </c>
      <c r="E323" s="1" t="s">
        <v>2371</v>
      </c>
      <c r="F323" s="1" t="s">
        <v>2372</v>
      </c>
      <c r="G323" s="3" t="str">
        <f>IFERROR(__xludf.DUMMYFUNCTION("AI(""Preencha um valor adequado para esta célula com base no contexto da tabela"")"),"Timon - MA")</f>
        <v>Timon - MA</v>
      </c>
      <c r="H323" s="2" t="s">
        <v>2373</v>
      </c>
      <c r="I323" s="1" t="s">
        <v>2374</v>
      </c>
      <c r="J323" s="3" t="str">
        <f>IFERROR(__xludf.DUMMYFUNCTION("IF(A323="""", """", IFS(REGEXMATCH(LOWER(A323), ""barbearia|barber""), ""Barbearia"", REGEXMATCH(LOWER(A323), ""sobrancelh|c[ií]lio|lash|micropigment|showbrancelhas""), ""Sobrancelhas e Cílios"", REGEXMATCH(LOWER(A323), ""maquia|make""), ""Maquiagem"", RE"&amp;"GEXMATCH(LOWER(A323), ""depil|epil""), ""Depilação"", REGEXMATCH(LOWER(A323), ""esmalteria|unha|nail|manicur|spa dos p[eé]s|kauu_nhas""), ""Manicure - Esmalteria"", REGEXMATCH(LOWER(A323), ""est[eé]tic|bronze|massot|terap|pilates|revitalize|dra""), ""Clín"&amp;"ica de Estética"", TRUE, ""Salão de Beleza""))"),"Manicure - Esmalteria")</f>
        <v>Manicure - Esmalteria</v>
      </c>
    </row>
    <row r="324">
      <c r="A324" s="1" t="s">
        <v>2375</v>
      </c>
      <c r="B324" s="1" t="s">
        <v>2376</v>
      </c>
      <c r="C324" s="1" t="s">
        <v>2377</v>
      </c>
      <c r="D324" s="1" t="s">
        <v>2378</v>
      </c>
      <c r="E324" s="1" t="s">
        <v>2379</v>
      </c>
      <c r="F324" s="1" t="s">
        <v>2380</v>
      </c>
      <c r="G324" s="3" t="str">
        <f>IFERROR(__xludf.DUMMYFUNCTION("AI(""Preencha um valor adequado para esta célula com base no contexto da tabela"")"),"Timon - MA")</f>
        <v>Timon - MA</v>
      </c>
      <c r="H324" s="2" t="s">
        <v>2381</v>
      </c>
      <c r="J324" s="3" t="str">
        <f>IFERROR(__xludf.DUMMYFUNCTION("IF(A324="""", """", IFS(REGEXMATCH(LOWER(A324), ""barbearia|barber""), ""Barbearia"", REGEXMATCH(LOWER(A324), ""sobrancelh|c[ií]lio|lash|micropigment|showbrancelhas""), ""Sobrancelhas e Cílios"", REGEXMATCH(LOWER(A324), ""maquia|make""), ""Maquiagem"", RE"&amp;"GEXMATCH(LOWER(A324), ""depil|epil""), ""Depilação"", REGEXMATCH(LOWER(A324), ""esmalteria|unha|nail|manicur|spa dos p[eé]s|kauu_nhas""), ""Manicure - Esmalteria"", REGEXMATCH(LOWER(A324), ""est[eé]tic|bronze|massot|terap|pilates|revitalize|dra""), ""Clín"&amp;"ica de Estética"", TRUE, ""Salão de Beleza""))"),"Salão de Beleza")</f>
        <v>Salão de Beleza</v>
      </c>
    </row>
    <row r="325">
      <c r="A325" s="1" t="s">
        <v>2382</v>
      </c>
      <c r="B325" s="1" t="s">
        <v>2383</v>
      </c>
      <c r="C325" s="1" t="s">
        <v>2384</v>
      </c>
      <c r="D325" s="1" t="s">
        <v>2385</v>
      </c>
      <c r="E325" s="1" t="s">
        <v>2386</v>
      </c>
      <c r="F325" s="1" t="s">
        <v>2387</v>
      </c>
      <c r="G325" s="3" t="str">
        <f>IFERROR(__xludf.DUMMYFUNCTION("AI(""Preencha um valor adequado para esta célula com base no contexto da tabela"")"),"Timon - MA")</f>
        <v>Timon - MA</v>
      </c>
      <c r="H325" s="2" t="s">
        <v>2388</v>
      </c>
      <c r="I325" s="1" t="s">
        <v>2389</v>
      </c>
      <c r="J325" s="3" t="str">
        <f>IFERROR(__xludf.DUMMYFUNCTION("IF(A325="""", """", IFS(REGEXMATCH(LOWER(A325), ""barbearia|barber""), ""Barbearia"", REGEXMATCH(LOWER(A325), ""sobrancelh|c[ií]lio|lash|micropigment|showbrancelhas""), ""Sobrancelhas e Cílios"", REGEXMATCH(LOWER(A325), ""maquia|make""), ""Maquiagem"", RE"&amp;"GEXMATCH(LOWER(A325), ""depil|epil""), ""Depilação"", REGEXMATCH(LOWER(A325), ""esmalteria|unha|nail|manicur|spa dos p[eé]s|kauu_nhas""), ""Manicure - Esmalteria"", REGEXMATCH(LOWER(A325), ""est[eé]tic|bronze|massot|terap|pilates|revitalize|dra""), ""Clín"&amp;"ica de Estética"", TRUE, ""Salão de Beleza""))"),"Salão de Beleza")</f>
        <v>Salão de Beleza</v>
      </c>
    </row>
    <row r="326">
      <c r="A326" s="1" t="s">
        <v>2390</v>
      </c>
      <c r="D326" s="1" t="s">
        <v>2391</v>
      </c>
      <c r="E326" s="1" t="s">
        <v>2392</v>
      </c>
      <c r="F326" s="1" t="s">
        <v>2393</v>
      </c>
      <c r="G326" s="3" t="str">
        <f>IFERROR(__xludf.DUMMYFUNCTION("AI(""Preencha um valor adequado para esta célula com base no contexto da tabela"")"),"Timon - MA")</f>
        <v>Timon - MA</v>
      </c>
      <c r="H326" s="2" t="s">
        <v>2394</v>
      </c>
      <c r="I326" s="1" t="s">
        <v>2395</v>
      </c>
      <c r="J326" s="3" t="str">
        <f>IFERROR(__xludf.DUMMYFUNCTION("IF(A326="""", """", IFS(REGEXMATCH(LOWER(A326), ""barbearia|barber""), ""Barbearia"", REGEXMATCH(LOWER(A326), ""sobrancelh|c[ií]lio|lash|micropigment|showbrancelhas""), ""Sobrancelhas e Cílios"", REGEXMATCH(LOWER(A326), ""maquia|make""), ""Maquiagem"", RE"&amp;"GEXMATCH(LOWER(A326), ""depil|epil""), ""Depilação"", REGEXMATCH(LOWER(A326), ""esmalteria|unha|nail|manicur|spa dos p[eé]s|kauu_nhas""), ""Manicure - Esmalteria"", REGEXMATCH(LOWER(A326), ""est[eé]tic|bronze|massot|terap|pilates|revitalize|dra""), ""Clín"&amp;"ica de Estética"", TRUE, ""Salão de Beleza""))"),"Salão de Beleza")</f>
        <v>Salão de Beleza</v>
      </c>
    </row>
    <row r="327">
      <c r="A327" s="1" t="s">
        <v>2396</v>
      </c>
      <c r="B327" s="1" t="s">
        <v>2397</v>
      </c>
      <c r="C327" s="1" t="s">
        <v>2398</v>
      </c>
      <c r="D327" s="1" t="s">
        <v>2399</v>
      </c>
      <c r="E327" s="1" t="s">
        <v>2400</v>
      </c>
      <c r="F327" s="1" t="s">
        <v>2401</v>
      </c>
      <c r="G327" s="3" t="str">
        <f>IFERROR(__xludf.DUMMYFUNCTION("AI(""Preencha um valor adequado para esta célula com base no contexto da tabela"")"),"Timon - MA")</f>
        <v>Timon - MA</v>
      </c>
      <c r="H327" s="2" t="s">
        <v>2402</v>
      </c>
      <c r="J327" s="3" t="str">
        <f>IFERROR(__xludf.DUMMYFUNCTION("IF(A327="""", """", IFS(REGEXMATCH(LOWER(A327), ""barbearia|barber""), ""Barbearia"", REGEXMATCH(LOWER(A327), ""sobrancelh|c[ií]lio|lash|micropigment|showbrancelhas""), ""Sobrancelhas e Cílios"", REGEXMATCH(LOWER(A327), ""maquia|make""), ""Maquiagem"", RE"&amp;"GEXMATCH(LOWER(A327), ""depil|epil""), ""Depilação"", REGEXMATCH(LOWER(A327), ""esmalteria|unha|nail|manicur|spa dos p[eé]s|kauu_nhas""), ""Manicure - Esmalteria"", REGEXMATCH(LOWER(A327), ""est[eé]tic|bronze|massot|terap|pilates|revitalize|dra""), ""Clín"&amp;"ica de Estética"", TRUE, ""Salão de Beleza""))"),"Salão de Beleza")</f>
        <v>Salão de Beleza</v>
      </c>
    </row>
    <row r="328">
      <c r="A328" s="1" t="s">
        <v>2403</v>
      </c>
      <c r="B328" s="1" t="s">
        <v>2404</v>
      </c>
      <c r="C328" s="1" t="s">
        <v>2405</v>
      </c>
      <c r="D328" s="1" t="s">
        <v>2406</v>
      </c>
      <c r="E328" s="1" t="s">
        <v>2407</v>
      </c>
      <c r="F328" s="1" t="s">
        <v>2408</v>
      </c>
      <c r="G328" s="3" t="str">
        <f>IFERROR(__xludf.DUMMYFUNCTION("AI(""Preencha um valor adequado para esta célula com base no contexto da tabela"")"),"Timon - MA")</f>
        <v>Timon - MA</v>
      </c>
      <c r="H328" s="2" t="s">
        <v>2409</v>
      </c>
      <c r="I328" s="1" t="s">
        <v>1685</v>
      </c>
      <c r="J328" s="3" t="str">
        <f>IFERROR(__xludf.DUMMYFUNCTION("IF(A328="""", """", IFS(REGEXMATCH(LOWER(A328), ""barbearia|barber""), ""Barbearia"", REGEXMATCH(LOWER(A328), ""sobrancelh|c[ií]lio|lash|micropigment|showbrancelhas""), ""Sobrancelhas e Cílios"", REGEXMATCH(LOWER(A328), ""maquia|make""), ""Maquiagem"", RE"&amp;"GEXMATCH(LOWER(A328), ""depil|epil""), ""Depilação"", REGEXMATCH(LOWER(A328), ""esmalteria|unha|nail|manicur|spa dos p[eé]s|kauu_nhas""), ""Manicure - Esmalteria"", REGEXMATCH(LOWER(A328), ""est[eé]tic|bronze|massot|terap|pilates|revitalize|dra""), ""Clín"&amp;"ica de Estética"", TRUE, ""Salão de Beleza""))"),"Manicure - Esmalteria")</f>
        <v>Manicure - Esmalteria</v>
      </c>
    </row>
    <row r="329">
      <c r="A329" s="1" t="s">
        <v>2410</v>
      </c>
      <c r="B329" s="1" t="s">
        <v>2411</v>
      </c>
      <c r="C329" s="1" t="s">
        <v>2412</v>
      </c>
      <c r="D329" s="1" t="s">
        <v>2413</v>
      </c>
      <c r="E329" s="1" t="s">
        <v>2414</v>
      </c>
      <c r="F329" s="1" t="s">
        <v>2415</v>
      </c>
      <c r="G329" s="3" t="str">
        <f>IFERROR(__xludf.DUMMYFUNCTION("AI(""Preencha um valor adequado para esta célula com base no contexto da tabela"")"),"Timon - MA")</f>
        <v>Timon - MA</v>
      </c>
      <c r="H329" s="2" t="s">
        <v>2416</v>
      </c>
      <c r="I329" s="1" t="s">
        <v>2417</v>
      </c>
      <c r="J329" s="3" t="str">
        <f>IFERROR(__xludf.DUMMYFUNCTION("IF(A329="""", """", IFS(REGEXMATCH(LOWER(A329), ""barbearia|barber""), ""Barbearia"", REGEXMATCH(LOWER(A329), ""sobrancelh|c[ií]lio|lash|micropigment|showbrancelhas""), ""Sobrancelhas e Cílios"", REGEXMATCH(LOWER(A329), ""maquia|make""), ""Maquiagem"", RE"&amp;"GEXMATCH(LOWER(A329), ""depil|epil""), ""Depilação"", REGEXMATCH(LOWER(A329), ""esmalteria|unha|nail|manicur|spa dos p[eé]s|kauu_nhas""), ""Manicure - Esmalteria"", REGEXMATCH(LOWER(A329), ""est[eé]tic|bronze|massot|terap|pilates|revitalize|dra""), ""Clín"&amp;"ica de Estética"", TRUE, ""Salão de Beleza""))"),"Manicure - Esmalteria")</f>
        <v>Manicure - Esmalteria</v>
      </c>
    </row>
    <row r="330">
      <c r="A330" s="1" t="s">
        <v>2418</v>
      </c>
      <c r="B330" s="1" t="s">
        <v>2419</v>
      </c>
      <c r="C330" s="1" t="s">
        <v>2420</v>
      </c>
      <c r="D330" s="1" t="s">
        <v>2421</v>
      </c>
      <c r="E330" s="1" t="s">
        <v>2422</v>
      </c>
      <c r="F330" s="1" t="s">
        <v>2423</v>
      </c>
      <c r="G330" s="3" t="str">
        <f>IFERROR(__xludf.DUMMYFUNCTION("AI(""Preencha um valor adequado para esta célula com base no contexto da tabela"")"),"Timon - MA")</f>
        <v>Timon - MA</v>
      </c>
      <c r="H330" s="2" t="s">
        <v>2424</v>
      </c>
      <c r="I330" s="1" t="s">
        <v>2425</v>
      </c>
      <c r="J330" s="3" t="str">
        <f>IFERROR(__xludf.DUMMYFUNCTION("IF(A330="""", """", IFS(REGEXMATCH(LOWER(A330), ""barbearia|barber""), ""Barbearia"", REGEXMATCH(LOWER(A330), ""sobrancelh|c[ií]lio|lash|micropigment|showbrancelhas""), ""Sobrancelhas e Cílios"", REGEXMATCH(LOWER(A330), ""maquia|make""), ""Maquiagem"", RE"&amp;"GEXMATCH(LOWER(A330), ""depil|epil""), ""Depilação"", REGEXMATCH(LOWER(A330), ""esmalteria|unha|nail|manicur|spa dos p[eé]s|kauu_nhas""), ""Manicure - Esmalteria"", REGEXMATCH(LOWER(A330), ""est[eé]tic|bronze|massot|terap|pilates|revitalize|dra""), ""Clín"&amp;"ica de Estética"", TRUE, ""Salão de Beleza""))"),"Sobrancelhas e Cílios")</f>
        <v>Sobrancelhas e Cílios</v>
      </c>
    </row>
    <row r="331">
      <c r="A331" s="1" t="s">
        <v>2426</v>
      </c>
      <c r="B331" s="1" t="s">
        <v>2427</v>
      </c>
      <c r="C331" s="1" t="s">
        <v>2428</v>
      </c>
      <c r="D331" s="1" t="s">
        <v>2429</v>
      </c>
      <c r="E331" s="1" t="s">
        <v>2430</v>
      </c>
      <c r="F331" s="1" t="s">
        <v>2431</v>
      </c>
      <c r="G331" s="3" t="str">
        <f>IFERROR(__xludf.DUMMYFUNCTION("AI(""Preencha um valor adequado para esta célula com base no contexto da tabela"")"),"Timon - MA")</f>
        <v>Timon - MA</v>
      </c>
      <c r="H331" s="2" t="s">
        <v>2432</v>
      </c>
      <c r="I331" s="1" t="s">
        <v>2433</v>
      </c>
      <c r="J331" s="3" t="str">
        <f>IFERROR(__xludf.DUMMYFUNCTION("IF(A331="""", """", IFS(REGEXMATCH(LOWER(A331), ""barbearia|barber""), ""Barbearia"", REGEXMATCH(LOWER(A331), ""sobrancelh|c[ií]lio|lash|micropigment|showbrancelhas""), ""Sobrancelhas e Cílios"", REGEXMATCH(LOWER(A331), ""maquia|make""), ""Maquiagem"", RE"&amp;"GEXMATCH(LOWER(A331), ""depil|epil""), ""Depilação"", REGEXMATCH(LOWER(A331), ""esmalteria|unha|nail|manicur|spa dos p[eé]s|kauu_nhas""), ""Manicure - Esmalteria"", REGEXMATCH(LOWER(A331), ""est[eé]tic|bronze|massot|terap|pilates|revitalize|dra""), ""Clín"&amp;"ica de Estética"", TRUE, ""Salão de Beleza""))"),"Manicure - Esmalteria")</f>
        <v>Manicure - Esmalteria</v>
      </c>
    </row>
    <row r="332">
      <c r="A332" s="1" t="s">
        <v>2434</v>
      </c>
      <c r="B332" s="1" t="s">
        <v>2435</v>
      </c>
      <c r="C332" s="1" t="s">
        <v>2436</v>
      </c>
      <c r="D332" s="1" t="s">
        <v>2437</v>
      </c>
      <c r="E332" s="1" t="s">
        <v>2438</v>
      </c>
      <c r="F332" s="1" t="s">
        <v>2439</v>
      </c>
      <c r="G332" s="3" t="str">
        <f>IFERROR(__xludf.DUMMYFUNCTION("AI(""Preencha um valor adequado para esta célula com base no contexto da tabela"")"),"Timon - MA")</f>
        <v>Timon - MA</v>
      </c>
      <c r="H332" s="2" t="s">
        <v>2440</v>
      </c>
      <c r="I332" s="1" t="s">
        <v>2441</v>
      </c>
      <c r="J332" s="3" t="str">
        <f>IFERROR(__xludf.DUMMYFUNCTION("IF(A332="""", """", IFS(REGEXMATCH(LOWER(A332), ""barbearia|barber""), ""Barbearia"", REGEXMATCH(LOWER(A332), ""sobrancelh|c[ií]lio|lash|micropigment|showbrancelhas""), ""Sobrancelhas e Cílios"", REGEXMATCH(LOWER(A332), ""maquia|make""), ""Maquiagem"", RE"&amp;"GEXMATCH(LOWER(A332), ""depil|epil""), ""Depilação"", REGEXMATCH(LOWER(A332), ""esmalteria|unha|nail|manicur|spa dos p[eé]s|kauu_nhas""), ""Manicure - Esmalteria"", REGEXMATCH(LOWER(A332), ""est[eé]tic|bronze|massot|terap|pilates|revitalize|dra""), ""Clín"&amp;"ica de Estética"", TRUE, ""Salão de Beleza""))"),"Manicure - Esmalteria")</f>
        <v>Manicure - Esmalteria</v>
      </c>
    </row>
    <row r="333">
      <c r="A333" s="1" t="s">
        <v>2442</v>
      </c>
      <c r="B333" s="1" t="s">
        <v>2443</v>
      </c>
      <c r="C333" s="1" t="s">
        <v>2444</v>
      </c>
      <c r="D333" s="1" t="s">
        <v>2445</v>
      </c>
      <c r="E333" s="1" t="s">
        <v>2446</v>
      </c>
      <c r="F333" s="1" t="s">
        <v>2447</v>
      </c>
      <c r="G333" s="3" t="str">
        <f>IFERROR(__xludf.DUMMYFUNCTION("AI(""Preencha um valor adequado para esta célula com base no contexto da tabela"")"),"Timon - MA")</f>
        <v>Timon - MA</v>
      </c>
      <c r="H333" s="2" t="s">
        <v>2448</v>
      </c>
      <c r="I333" s="1" t="s">
        <v>2449</v>
      </c>
      <c r="J333" s="3" t="str">
        <f>IFERROR(__xludf.DUMMYFUNCTION("IF(A333="""", """", IFS(REGEXMATCH(LOWER(A333), ""barbearia|barber""), ""Barbearia"", REGEXMATCH(LOWER(A333), ""sobrancelh|c[ií]lio|lash|micropigment|showbrancelhas""), ""Sobrancelhas e Cílios"", REGEXMATCH(LOWER(A333), ""maquia|make""), ""Maquiagem"", RE"&amp;"GEXMATCH(LOWER(A333), ""depil|epil""), ""Depilação"", REGEXMATCH(LOWER(A333), ""esmalteria|unha|nail|manicur|spa dos p[eé]s|kauu_nhas""), ""Manicure - Esmalteria"", REGEXMATCH(LOWER(A333), ""est[eé]tic|bronze|massot|terap|pilates|revitalize|dra""), ""Clín"&amp;"ica de Estética"", TRUE, ""Salão de Beleza""))"),"Manicure - Esmalteria")</f>
        <v>Manicure - Esmalteria</v>
      </c>
    </row>
    <row r="334">
      <c r="A334" s="1" t="s">
        <v>2450</v>
      </c>
      <c r="D334" s="1" t="s">
        <v>2451</v>
      </c>
      <c r="E334" s="1" t="s">
        <v>2452</v>
      </c>
      <c r="F334" s="1" t="s">
        <v>2453</v>
      </c>
      <c r="G334" s="3" t="str">
        <f>IFERROR(__xludf.DUMMYFUNCTION("AI(""Preencha um valor adequado para esta célula com base no contexto da tabela"")"),"Timon - MA")</f>
        <v>Timon - MA</v>
      </c>
      <c r="H334" s="2" t="s">
        <v>2454</v>
      </c>
      <c r="I334" s="1" t="s">
        <v>2455</v>
      </c>
      <c r="J334" s="3" t="str">
        <f>IFERROR(__xludf.DUMMYFUNCTION("IF(A334="""", """", IFS(REGEXMATCH(LOWER(A334), ""barbearia|barber""), ""Barbearia"", REGEXMATCH(LOWER(A334), ""sobrancelh|c[ií]lio|lash|micropigment|showbrancelhas""), ""Sobrancelhas e Cílios"", REGEXMATCH(LOWER(A334), ""maquia|make""), ""Maquiagem"", RE"&amp;"GEXMATCH(LOWER(A334), ""depil|epil""), ""Depilação"", REGEXMATCH(LOWER(A334), ""esmalteria|unha|nail|manicur|spa dos p[eé]s|kauu_nhas""), ""Manicure - Esmalteria"", REGEXMATCH(LOWER(A334), ""est[eé]tic|bronze|massot|terap|pilates|revitalize|dra""), ""Clín"&amp;"ica de Estética"", TRUE, ""Salão de Beleza""))"),"Salão de Beleza")</f>
        <v>Salão de Beleza</v>
      </c>
    </row>
    <row r="335">
      <c r="A335" s="1" t="s">
        <v>2456</v>
      </c>
      <c r="D335" s="1" t="s">
        <v>2457</v>
      </c>
      <c r="E335" s="1" t="s">
        <v>2458</v>
      </c>
      <c r="F335" s="1" t="s">
        <v>2459</v>
      </c>
      <c r="G335" s="3" t="str">
        <f>IFERROR(__xludf.DUMMYFUNCTION("AI(""Preencha um valor adequado para esta célula com base no contexto da tabela"")"),"Timon - MA")</f>
        <v>Timon - MA</v>
      </c>
      <c r="H335" s="2" t="s">
        <v>2460</v>
      </c>
      <c r="I335" s="1" t="s">
        <v>2461</v>
      </c>
      <c r="J335" s="3" t="str">
        <f>IFERROR(__xludf.DUMMYFUNCTION("IF(A335="""", """", IFS(REGEXMATCH(LOWER(A335), ""barbearia|barber""), ""Barbearia"", REGEXMATCH(LOWER(A335), ""sobrancelh|c[ií]lio|lash|micropigment|showbrancelhas""), ""Sobrancelhas e Cílios"", REGEXMATCH(LOWER(A335), ""maquia|make""), ""Maquiagem"", RE"&amp;"GEXMATCH(LOWER(A335), ""depil|epil""), ""Depilação"", REGEXMATCH(LOWER(A335), ""esmalteria|unha|nail|manicur|spa dos p[eé]s|kauu_nhas""), ""Manicure - Esmalteria"", REGEXMATCH(LOWER(A335), ""est[eé]tic|bronze|massot|terap|pilates|revitalize|dra""), ""Clín"&amp;"ica de Estética"", TRUE, ""Salão de Beleza""))"),"Manicure - Esmalteria")</f>
        <v>Manicure - Esmalteria</v>
      </c>
    </row>
    <row r="336">
      <c r="A336" s="1" t="s">
        <v>2462</v>
      </c>
      <c r="B336" s="1" t="s">
        <v>2463</v>
      </c>
      <c r="C336" s="1" t="s">
        <v>2464</v>
      </c>
      <c r="D336" s="1" t="s">
        <v>2465</v>
      </c>
      <c r="E336" s="1" t="s">
        <v>2466</v>
      </c>
      <c r="F336" s="1" t="s">
        <v>2467</v>
      </c>
      <c r="G336" s="3" t="str">
        <f>IFERROR(__xludf.DUMMYFUNCTION("AI(""Preencha um valor adequado para esta célula com base no contexto da tabela"")"),"Timon - MA")</f>
        <v>Timon - MA</v>
      </c>
      <c r="H336" s="2" t="s">
        <v>2468</v>
      </c>
      <c r="I336" s="1" t="s">
        <v>2469</v>
      </c>
      <c r="J336" s="3" t="str">
        <f>IFERROR(__xludf.DUMMYFUNCTION("IF(A336="""", """", IFS(REGEXMATCH(LOWER(A336), ""barbearia|barber""), ""Barbearia"", REGEXMATCH(LOWER(A336), ""sobrancelh|c[ií]lio|lash|micropigment|showbrancelhas""), ""Sobrancelhas e Cílios"", REGEXMATCH(LOWER(A336), ""maquia|make""), ""Maquiagem"", RE"&amp;"GEXMATCH(LOWER(A336), ""depil|epil""), ""Depilação"", REGEXMATCH(LOWER(A336), ""esmalteria|unha|nail|manicur|spa dos p[eé]s|kauu_nhas""), ""Manicure - Esmalteria"", REGEXMATCH(LOWER(A336), ""est[eé]tic|bronze|massot|terap|pilates|revitalize|dra""), ""Clín"&amp;"ica de Estética"", TRUE, ""Salão de Beleza""))"),"Manicure - Esmalteria")</f>
        <v>Manicure - Esmalteria</v>
      </c>
    </row>
    <row r="337">
      <c r="A337" s="1" t="s">
        <v>2470</v>
      </c>
      <c r="B337" s="1" t="s">
        <v>2471</v>
      </c>
      <c r="C337" s="1" t="s">
        <v>2472</v>
      </c>
      <c r="D337" s="1" t="s">
        <v>2473</v>
      </c>
      <c r="E337" s="1" t="s">
        <v>2474</v>
      </c>
      <c r="F337" s="1" t="s">
        <v>2475</v>
      </c>
      <c r="G337" s="3" t="str">
        <f>IFERROR(__xludf.DUMMYFUNCTION("AI(""Preencha um valor adequado para esta célula com base no contexto da tabela"")"),"Timon - MA")</f>
        <v>Timon - MA</v>
      </c>
      <c r="H337" s="2" t="s">
        <v>2476</v>
      </c>
      <c r="I337" s="1" t="s">
        <v>2477</v>
      </c>
      <c r="J337" s="3" t="str">
        <f>IFERROR(__xludf.DUMMYFUNCTION("IF(A337="""", """", IFS(REGEXMATCH(LOWER(A337), ""barbearia|barber""), ""Barbearia"", REGEXMATCH(LOWER(A337), ""sobrancelh|c[ií]lio|lash|micropigment|showbrancelhas""), ""Sobrancelhas e Cílios"", REGEXMATCH(LOWER(A337), ""maquia|make""), ""Maquiagem"", RE"&amp;"GEXMATCH(LOWER(A337), ""depil|epil""), ""Depilação"", REGEXMATCH(LOWER(A337), ""esmalteria|unha|nail|manicur|spa dos p[eé]s|kauu_nhas""), ""Manicure - Esmalteria"", REGEXMATCH(LOWER(A337), ""est[eé]tic|bronze|massot|terap|pilates|revitalize|dra""), ""Clín"&amp;"ica de Estética"", TRUE, ""Salão de Beleza""))"),"Manicure - Esmalteria")</f>
        <v>Manicure - Esmalteria</v>
      </c>
    </row>
    <row r="338">
      <c r="A338" s="1" t="s">
        <v>2478</v>
      </c>
      <c r="B338" s="1" t="s">
        <v>2479</v>
      </c>
      <c r="C338" s="1" t="s">
        <v>2480</v>
      </c>
      <c r="D338" s="1" t="s">
        <v>2481</v>
      </c>
      <c r="E338" s="1" t="s">
        <v>2482</v>
      </c>
      <c r="F338" s="1" t="s">
        <v>2483</v>
      </c>
      <c r="G338" s="3" t="str">
        <f>IFERROR(__xludf.DUMMYFUNCTION("AI(""Preencha um valor adequado para esta célula com base no contexto da tabela"")"),"Timon - MA")</f>
        <v>Timon - MA</v>
      </c>
      <c r="H338" s="2" t="s">
        <v>2484</v>
      </c>
      <c r="I338" s="1" t="s">
        <v>2485</v>
      </c>
      <c r="J338" s="3" t="str">
        <f>IFERROR(__xludf.DUMMYFUNCTION("IF(A338="""", """", IFS(REGEXMATCH(LOWER(A338), ""barbearia|barber""), ""Barbearia"", REGEXMATCH(LOWER(A338), ""sobrancelh|c[ií]lio|lash|micropigment|showbrancelhas""), ""Sobrancelhas e Cílios"", REGEXMATCH(LOWER(A338), ""maquia|make""), ""Maquiagem"", RE"&amp;"GEXMATCH(LOWER(A338), ""depil|epil""), ""Depilação"", REGEXMATCH(LOWER(A338), ""esmalteria|unha|nail|manicur|spa dos p[eé]s|kauu_nhas""), ""Manicure - Esmalteria"", REGEXMATCH(LOWER(A338), ""est[eé]tic|bronze|massot|terap|pilates|revitalize|dra""), ""Clín"&amp;"ica de Estética"", TRUE, ""Salão de Beleza""))"),"Depilação")</f>
        <v>Depilação</v>
      </c>
    </row>
    <row r="339">
      <c r="A339" s="1" t="s">
        <v>2486</v>
      </c>
      <c r="B339" s="1" t="s">
        <v>2487</v>
      </c>
      <c r="C339" s="1" t="s">
        <v>2488</v>
      </c>
      <c r="D339" s="1" t="s">
        <v>2489</v>
      </c>
      <c r="E339" s="1" t="s">
        <v>2490</v>
      </c>
      <c r="F339" s="1" t="s">
        <v>2491</v>
      </c>
      <c r="G339" s="3" t="str">
        <f>IFERROR(__xludf.DUMMYFUNCTION("AI(""Preencha um valor adequado para esta célula com base no contexto da tabela"")"),"Timon - MA")</f>
        <v>Timon - MA</v>
      </c>
      <c r="H339" s="2" t="s">
        <v>2492</v>
      </c>
      <c r="I339" s="1" t="s">
        <v>2493</v>
      </c>
      <c r="J339" s="3" t="str">
        <f>IFERROR(__xludf.DUMMYFUNCTION("IF(A339="""", """", IFS(REGEXMATCH(LOWER(A339), ""barbearia|barber""), ""Barbearia"", REGEXMATCH(LOWER(A339), ""sobrancelh|c[ií]lio|lash|micropigment|showbrancelhas""), ""Sobrancelhas e Cílios"", REGEXMATCH(LOWER(A339), ""maquia|make""), ""Maquiagem"", RE"&amp;"GEXMATCH(LOWER(A339), ""depil|epil""), ""Depilação"", REGEXMATCH(LOWER(A339), ""esmalteria|unha|nail|manicur|spa dos p[eé]s|kauu_nhas""), ""Manicure - Esmalteria"", REGEXMATCH(LOWER(A339), ""est[eé]tic|bronze|massot|terap|pilates|revitalize|dra""), ""Clín"&amp;"ica de Estética"", TRUE, ""Salão de Beleza""))"),"Manicure - Esmalteria")</f>
        <v>Manicure - Esmalteria</v>
      </c>
    </row>
    <row r="340">
      <c r="A340" s="1" t="s">
        <v>2494</v>
      </c>
      <c r="B340" s="1" t="s">
        <v>2495</v>
      </c>
      <c r="C340" s="1" t="s">
        <v>2496</v>
      </c>
      <c r="D340" s="1" t="s">
        <v>2497</v>
      </c>
      <c r="E340" s="1" t="s">
        <v>2498</v>
      </c>
      <c r="F340" s="1" t="s">
        <v>2499</v>
      </c>
      <c r="G340" s="3" t="str">
        <f>IFERROR(__xludf.DUMMYFUNCTION("AI(""Preencha um valor adequado para esta célula com base no contexto da tabela"")"),"Timon - MA")</f>
        <v>Timon - MA</v>
      </c>
      <c r="H340" s="2" t="s">
        <v>2500</v>
      </c>
      <c r="I340" s="1" t="s">
        <v>1160</v>
      </c>
      <c r="J340" s="3" t="str">
        <f>IFERROR(__xludf.DUMMYFUNCTION("IF(A340="""", """", IFS(REGEXMATCH(LOWER(A340), ""barbearia|barber""), ""Barbearia"", REGEXMATCH(LOWER(A340), ""sobrancelh|c[ií]lio|lash|micropigment|showbrancelhas""), ""Sobrancelhas e Cílios"", REGEXMATCH(LOWER(A340), ""maquia|make""), ""Maquiagem"", RE"&amp;"GEXMATCH(LOWER(A340), ""depil|epil""), ""Depilação"", REGEXMATCH(LOWER(A340), ""esmalteria|unha|nail|manicur|spa dos p[eé]s|kauu_nhas""), ""Manicure - Esmalteria"", REGEXMATCH(LOWER(A340), ""est[eé]tic|bronze|massot|terap|pilates|revitalize|dra""), ""Clín"&amp;"ica de Estética"", TRUE, ""Salão de Beleza""))"),"Sobrancelhas e Cílios")</f>
        <v>Sobrancelhas e Cílios</v>
      </c>
    </row>
    <row r="341">
      <c r="A341" s="1" t="s">
        <v>2501</v>
      </c>
      <c r="D341" s="1" t="s">
        <v>2502</v>
      </c>
      <c r="E341" s="1" t="s">
        <v>2503</v>
      </c>
      <c r="F341" s="1" t="s">
        <v>2504</v>
      </c>
      <c r="G341" s="3" t="str">
        <f>IFERROR(__xludf.DUMMYFUNCTION("AI(""Preencha um valor adequado para esta célula com base no contexto da tabela"")"),"Timon - MA")</f>
        <v>Timon - MA</v>
      </c>
      <c r="H341" s="2" t="s">
        <v>2505</v>
      </c>
      <c r="I341" s="1" t="s">
        <v>2506</v>
      </c>
      <c r="J341" s="3" t="str">
        <f>IFERROR(__xludf.DUMMYFUNCTION("IF(A341="""", """", IFS(REGEXMATCH(LOWER(A341), ""barbearia|barber""), ""Barbearia"", REGEXMATCH(LOWER(A341), ""sobrancelh|c[ií]lio|lash|micropigment|showbrancelhas""), ""Sobrancelhas e Cílios"", REGEXMATCH(LOWER(A341), ""maquia|make""), ""Maquiagem"", RE"&amp;"GEXMATCH(LOWER(A341), ""depil|epil""), ""Depilação"", REGEXMATCH(LOWER(A341), ""esmalteria|unha|nail|manicur|spa dos p[eé]s|kauu_nhas""), ""Manicure - Esmalteria"", REGEXMATCH(LOWER(A341), ""est[eé]tic|bronze|massot|terap|pilates|revitalize|dra""), ""Clín"&amp;"ica de Estética"", TRUE, ""Salão de Beleza""))"),"Salão de Beleza")</f>
        <v>Salão de Beleza</v>
      </c>
    </row>
    <row r="342">
      <c r="A342" s="1" t="s">
        <v>2507</v>
      </c>
      <c r="B342" s="1" t="s">
        <v>2508</v>
      </c>
      <c r="C342" s="1" t="s">
        <v>2509</v>
      </c>
      <c r="D342" s="1" t="s">
        <v>2510</v>
      </c>
      <c r="E342" s="1" t="s">
        <v>2511</v>
      </c>
      <c r="F342" s="1" t="s">
        <v>2512</v>
      </c>
      <c r="G342" s="3" t="str">
        <f>IFERROR(__xludf.DUMMYFUNCTION("AI(""Preencha um valor adequado para esta célula com base no contexto da tabela"")"),"Timon - MA")</f>
        <v>Timon - MA</v>
      </c>
      <c r="H342" s="2" t="s">
        <v>2513</v>
      </c>
      <c r="I342" s="1" t="s">
        <v>2514</v>
      </c>
      <c r="J342" s="3" t="str">
        <f>IFERROR(__xludf.DUMMYFUNCTION("IF(A342="""", """", IFS(REGEXMATCH(LOWER(A342), ""barbearia|barber""), ""Barbearia"", REGEXMATCH(LOWER(A342), ""sobrancelh|c[ií]lio|lash|micropigment|showbrancelhas""), ""Sobrancelhas e Cílios"", REGEXMATCH(LOWER(A342), ""maquia|make""), ""Maquiagem"", RE"&amp;"GEXMATCH(LOWER(A342), ""depil|epil""), ""Depilação"", REGEXMATCH(LOWER(A342), ""esmalteria|unha|nail|manicur|spa dos p[eé]s|kauu_nhas""), ""Manicure - Esmalteria"", REGEXMATCH(LOWER(A342), ""est[eé]tic|bronze|massot|terap|pilates|revitalize|dra""), ""Clín"&amp;"ica de Estética"", TRUE, ""Salão de Beleza""))"),"Manicure - Esmalteria")</f>
        <v>Manicure - Esmalteria</v>
      </c>
    </row>
    <row r="343">
      <c r="A343" s="1" t="s">
        <v>2515</v>
      </c>
      <c r="B343" s="1" t="s">
        <v>2516</v>
      </c>
      <c r="C343" s="1" t="s">
        <v>2517</v>
      </c>
      <c r="D343" s="1" t="s">
        <v>2518</v>
      </c>
      <c r="E343" s="1" t="s">
        <v>2519</v>
      </c>
      <c r="F343" s="1" t="s">
        <v>2520</v>
      </c>
      <c r="G343" s="3" t="str">
        <f>IFERROR(__xludf.DUMMYFUNCTION("AI(""Preencha um valor adequado para esta célula com base no contexto da tabela"")"),"Timon - MA")</f>
        <v>Timon - MA</v>
      </c>
      <c r="H343" s="2" t="s">
        <v>2521</v>
      </c>
      <c r="I343" s="1" t="s">
        <v>2522</v>
      </c>
      <c r="J343" s="3" t="str">
        <f>IFERROR(__xludf.DUMMYFUNCTION("IF(A343="""", """", IFS(REGEXMATCH(LOWER(A343), ""barbearia|barber""), ""Barbearia"", REGEXMATCH(LOWER(A343), ""sobrancelh|c[ií]lio|lash|micropigment|showbrancelhas""), ""Sobrancelhas e Cílios"", REGEXMATCH(LOWER(A343), ""maquia|make""), ""Maquiagem"", RE"&amp;"GEXMATCH(LOWER(A343), ""depil|epil""), ""Depilação"", REGEXMATCH(LOWER(A343), ""esmalteria|unha|nail|manicur|spa dos p[eé]s|kauu_nhas""), ""Manicure - Esmalteria"", REGEXMATCH(LOWER(A343), ""est[eé]tic|bronze|massot|terap|pilates|revitalize|dra""), ""Clín"&amp;"ica de Estética"", TRUE, ""Salão de Beleza""))"),"Salão de Beleza")</f>
        <v>Salão de Beleza</v>
      </c>
    </row>
    <row r="344">
      <c r="A344" s="1" t="s">
        <v>2523</v>
      </c>
      <c r="D344" s="1" t="s">
        <v>2524</v>
      </c>
      <c r="E344" s="1" t="s">
        <v>2525</v>
      </c>
      <c r="F344" s="1" t="s">
        <v>2526</v>
      </c>
      <c r="G344" s="3" t="str">
        <f>IFERROR(__xludf.DUMMYFUNCTION("AI(""Preencha um valor adequado para esta célula com base no contexto da tabela"")"),"Timon - MA")</f>
        <v>Timon - MA</v>
      </c>
      <c r="H344" s="2" t="s">
        <v>2527</v>
      </c>
      <c r="I344" s="1" t="s">
        <v>2528</v>
      </c>
      <c r="J344" s="3" t="str">
        <f>IFERROR(__xludf.DUMMYFUNCTION("IF(A344="""", """", IFS(REGEXMATCH(LOWER(A344), ""barbearia|barber""), ""Barbearia"", REGEXMATCH(LOWER(A344), ""sobrancelh|c[ií]lio|lash|micropigment|showbrancelhas""), ""Sobrancelhas e Cílios"", REGEXMATCH(LOWER(A344), ""maquia|make""), ""Maquiagem"", RE"&amp;"GEXMATCH(LOWER(A344), ""depil|epil""), ""Depilação"", REGEXMATCH(LOWER(A344), ""esmalteria|unha|nail|manicur|spa dos p[eé]s|kauu_nhas""), ""Manicure - Esmalteria"", REGEXMATCH(LOWER(A344), ""est[eé]tic|bronze|massot|terap|pilates|revitalize|dra""), ""Clín"&amp;"ica de Estética"", TRUE, ""Salão de Beleza""))"),"Salão de Beleza")</f>
        <v>Salão de Beleza</v>
      </c>
    </row>
    <row r="345">
      <c r="A345" s="1" t="s">
        <v>2529</v>
      </c>
      <c r="B345" s="1" t="s">
        <v>2530</v>
      </c>
      <c r="C345" s="1" t="s">
        <v>2531</v>
      </c>
      <c r="D345" s="1" t="s">
        <v>2532</v>
      </c>
      <c r="E345" s="1" t="s">
        <v>2533</v>
      </c>
      <c r="F345" s="1" t="s">
        <v>2534</v>
      </c>
      <c r="G345" s="3" t="str">
        <f>IFERROR(__xludf.DUMMYFUNCTION("AI(""Preencha um valor adequado para esta célula com base no contexto da tabela"")"),"Timon - MA")</f>
        <v>Timon - MA</v>
      </c>
      <c r="H345" s="2" t="s">
        <v>2535</v>
      </c>
      <c r="I345" s="1" t="s">
        <v>2536</v>
      </c>
      <c r="J345" s="3" t="str">
        <f>IFERROR(__xludf.DUMMYFUNCTION("IF(A345="""", """", IFS(REGEXMATCH(LOWER(A345), ""barbearia|barber""), ""Barbearia"", REGEXMATCH(LOWER(A345), ""sobrancelh|c[ií]lio|lash|micropigment|showbrancelhas""), ""Sobrancelhas e Cílios"", REGEXMATCH(LOWER(A345), ""maquia|make""), ""Maquiagem"", RE"&amp;"GEXMATCH(LOWER(A345), ""depil|epil""), ""Depilação"", REGEXMATCH(LOWER(A345), ""esmalteria|unha|nail|manicur|spa dos p[eé]s|kauu_nhas""), ""Manicure - Esmalteria"", REGEXMATCH(LOWER(A345), ""est[eé]tic|bronze|massot|terap|pilates|revitalize|dra""), ""Clín"&amp;"ica de Estética"", TRUE, ""Salão de Beleza""))"),"Manicure - Esmalteria")</f>
        <v>Manicure - Esmalteria</v>
      </c>
    </row>
    <row r="346">
      <c r="A346" s="1" t="s">
        <v>2537</v>
      </c>
      <c r="D346" s="1" t="s">
        <v>2538</v>
      </c>
      <c r="E346" s="1" t="s">
        <v>2539</v>
      </c>
      <c r="F346" s="1" t="s">
        <v>2540</v>
      </c>
      <c r="G346" s="3" t="str">
        <f>IFERROR(__xludf.DUMMYFUNCTION("AI(""Preencha um valor adequado para esta célula com base no contexto da tabela"")"),"Timon - MA")</f>
        <v>Timon - MA</v>
      </c>
      <c r="H346" s="2" t="s">
        <v>2541</v>
      </c>
      <c r="J346" s="3" t="str">
        <f>IFERROR(__xludf.DUMMYFUNCTION("IF(A346="""", """", IFS(REGEXMATCH(LOWER(A346), ""barbearia|barber""), ""Barbearia"", REGEXMATCH(LOWER(A346), ""sobrancelh|c[ií]lio|lash|micropigment|showbrancelhas""), ""Sobrancelhas e Cílios"", REGEXMATCH(LOWER(A346), ""maquia|make""), ""Maquiagem"", RE"&amp;"GEXMATCH(LOWER(A346), ""depil|epil""), ""Depilação"", REGEXMATCH(LOWER(A346), ""esmalteria|unha|nail|manicur|spa dos p[eé]s|kauu_nhas""), ""Manicure - Esmalteria"", REGEXMATCH(LOWER(A346), ""est[eé]tic|bronze|massot|terap|pilates|revitalize|dra""), ""Clín"&amp;"ica de Estética"", TRUE, ""Salão de Beleza""))"),"Salão de Beleza")</f>
        <v>Salão de Beleza</v>
      </c>
    </row>
    <row r="347">
      <c r="A347" s="1" t="s">
        <v>2542</v>
      </c>
      <c r="B347" s="1" t="s">
        <v>2543</v>
      </c>
      <c r="C347" s="1" t="s">
        <v>2544</v>
      </c>
      <c r="D347" s="1" t="s">
        <v>2545</v>
      </c>
      <c r="E347" s="1" t="s">
        <v>2546</v>
      </c>
      <c r="F347" s="1" t="s">
        <v>2547</v>
      </c>
      <c r="G347" s="3" t="str">
        <f>IFERROR(__xludf.DUMMYFUNCTION("AI(""Preencha um valor adequado para esta célula com base no contexto da tabela"")"),"Timon - MA")</f>
        <v>Timon - MA</v>
      </c>
      <c r="H347" s="2" t="s">
        <v>2548</v>
      </c>
      <c r="I347" s="1" t="s">
        <v>2549</v>
      </c>
      <c r="J347" s="3" t="str">
        <f>IFERROR(__xludf.DUMMYFUNCTION("IF(A347="""", """", IFS(REGEXMATCH(LOWER(A347), ""barbearia|barber""), ""Barbearia"", REGEXMATCH(LOWER(A347), ""sobrancelh|c[ií]lio|lash|micropigment|showbrancelhas""), ""Sobrancelhas e Cílios"", REGEXMATCH(LOWER(A347), ""maquia|make""), ""Maquiagem"", RE"&amp;"GEXMATCH(LOWER(A347), ""depil|epil""), ""Depilação"", REGEXMATCH(LOWER(A347), ""esmalteria|unha|nail|manicur|spa dos p[eé]s|kauu_nhas""), ""Manicure - Esmalteria"", REGEXMATCH(LOWER(A347), ""est[eé]tic|bronze|massot|terap|pilates|revitalize|dra""), ""Clín"&amp;"ica de Estética"", TRUE, ""Salão de Beleza""))"),"Manicure - Esmalteria")</f>
        <v>Manicure - Esmalteria</v>
      </c>
    </row>
    <row r="348">
      <c r="A348" s="1" t="s">
        <v>2550</v>
      </c>
      <c r="D348" s="1" t="s">
        <v>2551</v>
      </c>
      <c r="E348" s="1" t="s">
        <v>2552</v>
      </c>
      <c r="F348" s="1" t="s">
        <v>2553</v>
      </c>
      <c r="G348" s="3" t="str">
        <f>IFERROR(__xludf.DUMMYFUNCTION("AI(""Preencha um valor adequado para esta célula com base no contexto da tabela"")"),"Timon - MA")</f>
        <v>Timon - MA</v>
      </c>
      <c r="H348" s="2" t="s">
        <v>2554</v>
      </c>
      <c r="I348" s="1" t="s">
        <v>2555</v>
      </c>
      <c r="J348" s="3" t="str">
        <f>IFERROR(__xludf.DUMMYFUNCTION("IF(A348="""", """", IFS(REGEXMATCH(LOWER(A348), ""barbearia|barber""), ""Barbearia"", REGEXMATCH(LOWER(A348), ""sobrancelh|c[ií]lio|lash|micropigment|showbrancelhas""), ""Sobrancelhas e Cílios"", REGEXMATCH(LOWER(A348), ""maquia|make""), ""Maquiagem"", RE"&amp;"GEXMATCH(LOWER(A348), ""depil|epil""), ""Depilação"", REGEXMATCH(LOWER(A348), ""esmalteria|unha|nail|manicur|spa dos p[eé]s|kauu_nhas""), ""Manicure - Esmalteria"", REGEXMATCH(LOWER(A348), ""est[eé]tic|bronze|massot|terap|pilates|revitalize|dra""), ""Clín"&amp;"ica de Estética"", TRUE, ""Salão de Beleza""))"),"Manicure - Esmalteria")</f>
        <v>Manicure - Esmalteria</v>
      </c>
    </row>
    <row r="349">
      <c r="A349" s="1" t="s">
        <v>2556</v>
      </c>
      <c r="B349" s="1" t="s">
        <v>2557</v>
      </c>
      <c r="C349" s="1" t="s">
        <v>2558</v>
      </c>
      <c r="D349" s="1" t="s">
        <v>2559</v>
      </c>
      <c r="E349" s="1" t="s">
        <v>2560</v>
      </c>
      <c r="F349" s="1" t="s">
        <v>2561</v>
      </c>
      <c r="G349" s="3" t="str">
        <f>IFERROR(__xludf.DUMMYFUNCTION("AI(""Preencha um valor adequado para esta célula com base no contexto da tabela"")"),"Timon - MA")</f>
        <v>Timon - MA</v>
      </c>
      <c r="H349" s="2" t="s">
        <v>2562</v>
      </c>
      <c r="I349" s="1" t="s">
        <v>2563</v>
      </c>
      <c r="J349" s="3" t="str">
        <f>IFERROR(__xludf.DUMMYFUNCTION("IF(A349="""", """", IFS(REGEXMATCH(LOWER(A349), ""barbearia|barber""), ""Barbearia"", REGEXMATCH(LOWER(A349), ""sobrancelh|c[ií]lio|lash|micropigment|showbrancelhas""), ""Sobrancelhas e Cílios"", REGEXMATCH(LOWER(A349), ""maquia|make""), ""Maquiagem"", RE"&amp;"GEXMATCH(LOWER(A349), ""depil|epil""), ""Depilação"", REGEXMATCH(LOWER(A349), ""esmalteria|unha|nail|manicur|spa dos p[eé]s|kauu_nhas""), ""Manicure - Esmalteria"", REGEXMATCH(LOWER(A349), ""est[eé]tic|bronze|massot|terap|pilates|revitalize|dra""), ""Clín"&amp;"ica de Estética"", TRUE, ""Salão de Beleza""))"),"Salão de Beleza")</f>
        <v>Salão de Beleza</v>
      </c>
    </row>
    <row r="350">
      <c r="A350" s="1" t="s">
        <v>2564</v>
      </c>
      <c r="B350" s="1" t="s">
        <v>2565</v>
      </c>
      <c r="C350" s="1" t="s">
        <v>2566</v>
      </c>
      <c r="D350" s="1" t="s">
        <v>2567</v>
      </c>
      <c r="E350" s="1" t="s">
        <v>2568</v>
      </c>
      <c r="F350" s="1" t="s">
        <v>2569</v>
      </c>
      <c r="G350" s="3" t="str">
        <f>IFERROR(__xludf.DUMMYFUNCTION("AI(""Preencha um valor adequado para esta célula com base no contexto da tabela"")"),"Timon - MA")</f>
        <v>Timon - MA</v>
      </c>
      <c r="H350" s="2" t="s">
        <v>2570</v>
      </c>
      <c r="I350" s="1" t="s">
        <v>698</v>
      </c>
      <c r="J350" s="3" t="str">
        <f>IFERROR(__xludf.DUMMYFUNCTION("IF(A350="""", """", IFS(REGEXMATCH(LOWER(A350), ""barbearia|barber""), ""Barbearia"", REGEXMATCH(LOWER(A350), ""sobrancelh|c[ií]lio|lash|micropigment|showbrancelhas""), ""Sobrancelhas e Cílios"", REGEXMATCH(LOWER(A350), ""maquia|make""), ""Maquiagem"", RE"&amp;"GEXMATCH(LOWER(A350), ""depil|epil""), ""Depilação"", REGEXMATCH(LOWER(A350), ""esmalteria|unha|nail|manicur|spa dos p[eé]s|kauu_nhas""), ""Manicure - Esmalteria"", REGEXMATCH(LOWER(A350), ""est[eé]tic|bronze|massot|terap|pilates|revitalize|dra""), ""Clín"&amp;"ica de Estética"", TRUE, ""Salão de Beleza""))"),"Manicure - Esmalteria")</f>
        <v>Manicure - Esmalteria</v>
      </c>
    </row>
    <row r="351">
      <c r="A351" s="1" t="s">
        <v>2571</v>
      </c>
      <c r="B351" s="1" t="s">
        <v>2572</v>
      </c>
      <c r="C351" s="1" t="s">
        <v>2573</v>
      </c>
      <c r="D351" s="1" t="s">
        <v>2574</v>
      </c>
      <c r="E351" s="1" t="s">
        <v>2575</v>
      </c>
      <c r="F351" s="1" t="s">
        <v>2576</v>
      </c>
      <c r="G351" s="3" t="str">
        <f>IFERROR(__xludf.DUMMYFUNCTION("AI(""Preencha um valor adequado para esta célula com base no contexto da tabela"")"),"Timon - MA")</f>
        <v>Timon - MA</v>
      </c>
      <c r="H351" s="2" t="s">
        <v>2577</v>
      </c>
      <c r="I351" s="1" t="s">
        <v>2578</v>
      </c>
      <c r="J351" s="3" t="str">
        <f>IFERROR(__xludf.DUMMYFUNCTION("IF(A351="""", """", IFS(REGEXMATCH(LOWER(A351), ""barbearia|barber""), ""Barbearia"", REGEXMATCH(LOWER(A351), ""sobrancelh|c[ií]lio|lash|micropigment|showbrancelhas""), ""Sobrancelhas e Cílios"", REGEXMATCH(LOWER(A351), ""maquia|make""), ""Maquiagem"", RE"&amp;"GEXMATCH(LOWER(A351), ""depil|epil""), ""Depilação"", REGEXMATCH(LOWER(A351), ""esmalteria|unha|nail|manicur|spa dos p[eé]s|kauu_nhas""), ""Manicure - Esmalteria"", REGEXMATCH(LOWER(A351), ""est[eé]tic|bronze|massot|terap|pilates|revitalize|dra""), ""Clín"&amp;"ica de Estética"", TRUE, ""Salão de Beleza""))"),"Manicure - Esmalteria")</f>
        <v>Manicure - Esmalteria</v>
      </c>
    </row>
    <row r="352">
      <c r="A352" s="1" t="s">
        <v>2579</v>
      </c>
      <c r="D352" s="1" t="s">
        <v>2580</v>
      </c>
      <c r="E352" s="1" t="s">
        <v>2581</v>
      </c>
      <c r="F352" s="1" t="s">
        <v>2582</v>
      </c>
      <c r="G352" s="3" t="str">
        <f>IFERROR(__xludf.DUMMYFUNCTION("AI(""Preencha um valor adequado para esta célula com base no contexto da tabela"")"),"Timon - MA")</f>
        <v>Timon - MA</v>
      </c>
      <c r="H352" s="2" t="s">
        <v>2583</v>
      </c>
      <c r="I352" s="1" t="s">
        <v>2584</v>
      </c>
      <c r="J352" s="3" t="str">
        <f>IFERROR(__xludf.DUMMYFUNCTION("IF(A352="""", """", IFS(REGEXMATCH(LOWER(A352), ""barbearia|barber""), ""Barbearia"", REGEXMATCH(LOWER(A352), ""sobrancelh|c[ií]lio|lash|micropigment|showbrancelhas""), ""Sobrancelhas e Cílios"", REGEXMATCH(LOWER(A352), ""maquia|make""), ""Maquiagem"", RE"&amp;"GEXMATCH(LOWER(A352), ""depil|epil""), ""Depilação"", REGEXMATCH(LOWER(A352), ""esmalteria|unha|nail|manicur|spa dos p[eé]s|kauu_nhas""), ""Manicure - Esmalteria"", REGEXMATCH(LOWER(A352), ""est[eé]tic|bronze|massot|terap|pilates|revitalize|dra""), ""Clín"&amp;"ica de Estética"", TRUE, ""Salão de Beleza""))"),"Salão de Beleza")</f>
        <v>Salão de Beleza</v>
      </c>
    </row>
    <row r="353">
      <c r="A353" s="1" t="s">
        <v>1442</v>
      </c>
      <c r="B353" s="1" t="s">
        <v>2585</v>
      </c>
      <c r="C353" s="1" t="s">
        <v>2586</v>
      </c>
      <c r="D353" s="1" t="s">
        <v>2587</v>
      </c>
      <c r="E353" s="1" t="s">
        <v>2588</v>
      </c>
      <c r="F353" s="1" t="s">
        <v>2589</v>
      </c>
      <c r="G353" s="3" t="str">
        <f>IFERROR(__xludf.DUMMYFUNCTION("AI(""Preencha um valor adequado para esta célula com base no contexto da tabela"")"),"Timon - MA")</f>
        <v>Timon - MA</v>
      </c>
      <c r="H353" s="2" t="s">
        <v>2590</v>
      </c>
      <c r="I353" s="1" t="s">
        <v>2591</v>
      </c>
      <c r="J353" s="3" t="str">
        <f>IFERROR(__xludf.DUMMYFUNCTION("IF(A353="""", """", IFS(REGEXMATCH(LOWER(A353), ""barbearia|barber""), ""Barbearia"", REGEXMATCH(LOWER(A353), ""sobrancelh|c[ií]lio|lash|micropigment|showbrancelhas""), ""Sobrancelhas e Cílios"", REGEXMATCH(LOWER(A353), ""maquia|make""), ""Maquiagem"", RE"&amp;"GEXMATCH(LOWER(A353), ""depil|epil""), ""Depilação"", REGEXMATCH(LOWER(A353), ""esmalteria|unha|nail|manicur|spa dos p[eé]s|kauu_nhas""), ""Manicure - Esmalteria"", REGEXMATCH(LOWER(A353), ""est[eé]tic|bronze|massot|terap|pilates|revitalize|dra""), ""Clín"&amp;"ica de Estética"", TRUE, ""Salão de Beleza""))"),"Salão de Beleza")</f>
        <v>Salão de Beleza</v>
      </c>
    </row>
    <row r="354">
      <c r="A354" s="1" t="s">
        <v>2592</v>
      </c>
      <c r="B354" s="1" t="s">
        <v>2593</v>
      </c>
      <c r="C354" s="1" t="s">
        <v>2594</v>
      </c>
      <c r="D354" s="1" t="s">
        <v>2595</v>
      </c>
      <c r="E354" s="1" t="s">
        <v>2596</v>
      </c>
      <c r="F354" s="1" t="s">
        <v>2597</v>
      </c>
      <c r="G354" s="3" t="str">
        <f>IFERROR(__xludf.DUMMYFUNCTION("AI(""Preencha um valor adequado para esta célula com base no contexto da tabela"")"),"Timon - MA")</f>
        <v>Timon - MA</v>
      </c>
      <c r="H354" s="2" t="s">
        <v>2598</v>
      </c>
      <c r="I354" s="1" t="s">
        <v>2599</v>
      </c>
      <c r="J354" s="3" t="str">
        <f>IFERROR(__xludf.DUMMYFUNCTION("IF(A354="""", """", IFS(REGEXMATCH(LOWER(A354), ""barbearia|barber""), ""Barbearia"", REGEXMATCH(LOWER(A354), ""sobrancelh|c[ií]lio|lash|micropigment|showbrancelhas""), ""Sobrancelhas e Cílios"", REGEXMATCH(LOWER(A354), ""maquia|make""), ""Maquiagem"", RE"&amp;"GEXMATCH(LOWER(A354), ""depil|epil""), ""Depilação"", REGEXMATCH(LOWER(A354), ""esmalteria|unha|nail|manicur|spa dos p[eé]s|kauu_nhas""), ""Manicure - Esmalteria"", REGEXMATCH(LOWER(A354), ""est[eé]tic|bronze|massot|terap|pilates|revitalize|dra""), ""Clín"&amp;"ica de Estética"", TRUE, ""Salão de Beleza""))"),"Salão de Beleza")</f>
        <v>Salão de Beleza</v>
      </c>
    </row>
    <row r="355">
      <c r="A355" s="1" t="s">
        <v>2600</v>
      </c>
      <c r="D355" s="1" t="s">
        <v>2601</v>
      </c>
      <c r="E355" s="1" t="s">
        <v>2602</v>
      </c>
      <c r="F355" s="1" t="s">
        <v>2603</v>
      </c>
      <c r="G355" s="3" t="str">
        <f>IFERROR(__xludf.DUMMYFUNCTION("AI(""Preencha um valor adequado para esta célula com base no contexto da tabela"")"),"Timon - MA")</f>
        <v>Timon - MA</v>
      </c>
      <c r="H355" s="2" t="s">
        <v>2604</v>
      </c>
      <c r="I355" s="1" t="s">
        <v>2605</v>
      </c>
      <c r="J355" s="3" t="str">
        <f>IFERROR(__xludf.DUMMYFUNCTION("IF(A355="""", """", IFS(REGEXMATCH(LOWER(A355), ""barbearia|barber""), ""Barbearia"", REGEXMATCH(LOWER(A355), ""sobrancelh|c[ií]lio|lash|micropigment|showbrancelhas""), ""Sobrancelhas e Cílios"", REGEXMATCH(LOWER(A355), ""maquia|make""), ""Maquiagem"", RE"&amp;"GEXMATCH(LOWER(A355), ""depil|epil""), ""Depilação"", REGEXMATCH(LOWER(A355), ""esmalteria|unha|nail|manicur|spa dos p[eé]s|kauu_nhas""), ""Manicure - Esmalteria"", REGEXMATCH(LOWER(A355), ""est[eé]tic|bronze|massot|terap|pilates|revitalize|dra""), ""Clín"&amp;"ica de Estética"", TRUE, ""Salão de Beleza""))"),"Salão de Beleza")</f>
        <v>Salão de Beleza</v>
      </c>
    </row>
    <row r="356">
      <c r="A356" s="1" t="s">
        <v>2606</v>
      </c>
      <c r="B356" s="1" t="s">
        <v>2607</v>
      </c>
      <c r="C356" s="1" t="s">
        <v>2608</v>
      </c>
      <c r="D356" s="1" t="s">
        <v>2609</v>
      </c>
      <c r="E356" s="1" t="s">
        <v>2610</v>
      </c>
      <c r="F356" s="1" t="s">
        <v>2611</v>
      </c>
      <c r="G356" s="3" t="str">
        <f>IFERROR(__xludf.DUMMYFUNCTION("AI(""Preencha um valor adequado para esta célula com base no contexto da tabela"")"),"Timon - MA")</f>
        <v>Timon - MA</v>
      </c>
      <c r="H356" s="2" t="s">
        <v>2612</v>
      </c>
      <c r="I356" s="1" t="s">
        <v>2613</v>
      </c>
      <c r="J356" s="3" t="str">
        <f>IFERROR(__xludf.DUMMYFUNCTION("IF(A356="""", """", IFS(REGEXMATCH(LOWER(A356), ""barbearia|barber""), ""Barbearia"", REGEXMATCH(LOWER(A356), ""sobrancelh|c[ií]lio|lash|micropigment|showbrancelhas""), ""Sobrancelhas e Cílios"", REGEXMATCH(LOWER(A356), ""maquia|make""), ""Maquiagem"", RE"&amp;"GEXMATCH(LOWER(A356), ""depil|epil""), ""Depilação"", REGEXMATCH(LOWER(A356), ""esmalteria|unha|nail|manicur|spa dos p[eé]s|kauu_nhas""), ""Manicure - Esmalteria"", REGEXMATCH(LOWER(A356), ""est[eé]tic|bronze|massot|terap|pilates|revitalize|dra""), ""Clín"&amp;"ica de Estética"", TRUE, ""Salão de Beleza""))"),"Salão de Beleza")</f>
        <v>Salão de Beleza</v>
      </c>
    </row>
    <row r="357">
      <c r="A357" s="1" t="s">
        <v>2614</v>
      </c>
      <c r="B357" s="1" t="s">
        <v>2615</v>
      </c>
      <c r="C357" s="1" t="s">
        <v>2616</v>
      </c>
      <c r="D357" s="1" t="s">
        <v>2617</v>
      </c>
      <c r="E357" s="1" t="s">
        <v>2618</v>
      </c>
      <c r="F357" s="1" t="s">
        <v>2619</v>
      </c>
      <c r="G357" s="3" t="str">
        <f>IFERROR(__xludf.DUMMYFUNCTION("AI(""Preencha um valor adequado para esta célula com base no contexto da tabela"")"),"Timon - MA")</f>
        <v>Timon - MA</v>
      </c>
      <c r="H357" s="2" t="s">
        <v>2620</v>
      </c>
      <c r="I357" s="1" t="s">
        <v>2621</v>
      </c>
      <c r="J357" s="3" t="str">
        <f>IFERROR(__xludf.DUMMYFUNCTION("IF(A357="""", """", IFS(REGEXMATCH(LOWER(A357), ""barbearia|barber""), ""Barbearia"", REGEXMATCH(LOWER(A357), ""sobrancelh|c[ií]lio|lash|micropigment|showbrancelhas""), ""Sobrancelhas e Cílios"", REGEXMATCH(LOWER(A357), ""maquia|make""), ""Maquiagem"", RE"&amp;"GEXMATCH(LOWER(A357), ""depil|epil""), ""Depilação"", REGEXMATCH(LOWER(A357), ""esmalteria|unha|nail|manicur|spa dos p[eé]s|kauu_nhas""), ""Manicure - Esmalteria"", REGEXMATCH(LOWER(A357), ""est[eé]tic|bronze|massot|terap|pilates|revitalize|dra""), ""Clín"&amp;"ica de Estética"", TRUE, ""Salão de Beleza""))"),"Manicure - Esmalteria")</f>
        <v>Manicure - Esmalteria</v>
      </c>
    </row>
    <row r="358">
      <c r="A358" s="1" t="s">
        <v>2622</v>
      </c>
      <c r="B358" s="1" t="s">
        <v>2623</v>
      </c>
      <c r="C358" s="1" t="s">
        <v>2624</v>
      </c>
      <c r="D358" s="1" t="s">
        <v>2625</v>
      </c>
      <c r="E358" s="1" t="s">
        <v>2626</v>
      </c>
      <c r="F358" s="1" t="s">
        <v>2627</v>
      </c>
      <c r="G358" s="3" t="str">
        <f>IFERROR(__xludf.DUMMYFUNCTION("AI(""Preencha um valor adequado para esta célula com base no contexto da tabela"")"),"Timon - MA")</f>
        <v>Timon - MA</v>
      </c>
      <c r="H358" s="2" t="s">
        <v>2628</v>
      </c>
      <c r="I358" s="1" t="s">
        <v>2629</v>
      </c>
      <c r="J358" s="3" t="str">
        <f>IFERROR(__xludf.DUMMYFUNCTION("IF(A358="""", """", IFS(REGEXMATCH(LOWER(A358), ""barbearia|barber""), ""Barbearia"", REGEXMATCH(LOWER(A358), ""sobrancelh|c[ií]lio|lash|micropigment|showbrancelhas""), ""Sobrancelhas e Cílios"", REGEXMATCH(LOWER(A358), ""maquia|make""), ""Maquiagem"", RE"&amp;"GEXMATCH(LOWER(A358), ""depil|epil""), ""Depilação"", REGEXMATCH(LOWER(A358), ""esmalteria|unha|nail|manicur|spa dos p[eé]s|kauu_nhas""), ""Manicure - Esmalteria"", REGEXMATCH(LOWER(A358), ""est[eé]tic|bronze|massot|terap|pilates|revitalize|dra""), ""Clín"&amp;"ica de Estética"", TRUE, ""Salão de Beleza""))"),"Salão de Beleza")</f>
        <v>Salão de Beleza</v>
      </c>
    </row>
    <row r="359">
      <c r="A359" s="1" t="s">
        <v>2630</v>
      </c>
      <c r="B359" s="1" t="s">
        <v>2631</v>
      </c>
      <c r="C359" s="1" t="s">
        <v>2632</v>
      </c>
      <c r="D359" s="1" t="s">
        <v>2633</v>
      </c>
      <c r="E359" s="1" t="s">
        <v>2634</v>
      </c>
      <c r="F359" s="1" t="s">
        <v>2635</v>
      </c>
      <c r="G359" s="3" t="str">
        <f>IFERROR(__xludf.DUMMYFUNCTION("AI(""Preencha um valor adequado para esta célula com base no contexto da tabela"")"),"Timon - MA")</f>
        <v>Timon - MA</v>
      </c>
      <c r="H359" s="2" t="s">
        <v>2636</v>
      </c>
      <c r="I359" s="1" t="s">
        <v>2637</v>
      </c>
      <c r="J359" s="3" t="str">
        <f>IFERROR(__xludf.DUMMYFUNCTION("IF(A359="""", """", IFS(REGEXMATCH(LOWER(A359), ""barbearia|barber""), ""Barbearia"", REGEXMATCH(LOWER(A359), ""sobrancelh|c[ií]lio|lash|micropigment|showbrancelhas""), ""Sobrancelhas e Cílios"", REGEXMATCH(LOWER(A359), ""maquia|make""), ""Maquiagem"", RE"&amp;"GEXMATCH(LOWER(A359), ""depil|epil""), ""Depilação"", REGEXMATCH(LOWER(A359), ""esmalteria|unha|nail|manicur|spa dos p[eé]s|kauu_nhas""), ""Manicure - Esmalteria"", REGEXMATCH(LOWER(A359), ""est[eé]tic|bronze|massot|terap|pilates|revitalize|dra""), ""Clín"&amp;"ica de Estética"", TRUE, ""Salão de Beleza""))"),"Salão de Beleza")</f>
        <v>Salão de Beleza</v>
      </c>
    </row>
    <row r="360">
      <c r="A360" s="1" t="s">
        <v>2638</v>
      </c>
      <c r="B360" s="1" t="s">
        <v>2639</v>
      </c>
      <c r="C360" s="1" t="s">
        <v>2640</v>
      </c>
      <c r="D360" s="1" t="s">
        <v>2641</v>
      </c>
      <c r="E360" s="1" t="s">
        <v>2642</v>
      </c>
      <c r="F360" s="1" t="s">
        <v>2643</v>
      </c>
      <c r="G360" s="3" t="str">
        <f>IFERROR(__xludf.DUMMYFUNCTION("AI(""Preencha um valor adequado para esta célula com base no contexto da tabela"")"),"Timon - MA")</f>
        <v>Timon - MA</v>
      </c>
      <c r="H360" s="2" t="s">
        <v>2644</v>
      </c>
      <c r="I360" s="1" t="s">
        <v>2645</v>
      </c>
      <c r="J360" s="3" t="str">
        <f>IFERROR(__xludf.DUMMYFUNCTION("IF(A360="""", """", IFS(REGEXMATCH(LOWER(A360), ""barbearia|barber""), ""Barbearia"", REGEXMATCH(LOWER(A360), ""sobrancelh|c[ií]lio|lash|micropigment|showbrancelhas""), ""Sobrancelhas e Cílios"", REGEXMATCH(LOWER(A360), ""maquia|make""), ""Maquiagem"", RE"&amp;"GEXMATCH(LOWER(A360), ""depil|epil""), ""Depilação"", REGEXMATCH(LOWER(A360), ""esmalteria|unha|nail|manicur|spa dos p[eé]s|kauu_nhas""), ""Manicure - Esmalteria"", REGEXMATCH(LOWER(A360), ""est[eé]tic|bronze|massot|terap|pilates|revitalize|dra""), ""Clín"&amp;"ica de Estética"", TRUE, ""Salão de Beleza""))"),"Depilação")</f>
        <v>Depilação</v>
      </c>
    </row>
    <row r="361">
      <c r="A361" s="1" t="s">
        <v>2646</v>
      </c>
      <c r="B361" s="1" t="s">
        <v>2647</v>
      </c>
      <c r="C361" s="1" t="s">
        <v>2648</v>
      </c>
      <c r="D361" s="1" t="s">
        <v>2649</v>
      </c>
      <c r="E361" s="1" t="s">
        <v>2650</v>
      </c>
      <c r="F361" s="1" t="s">
        <v>2651</v>
      </c>
      <c r="G361" s="3" t="str">
        <f>IFERROR(__xludf.DUMMYFUNCTION("AI(""Preencha um valor adequado para esta célula com base no contexto da tabela"")"),"Timon - MA")</f>
        <v>Timon - MA</v>
      </c>
      <c r="H361" s="2" t="s">
        <v>2652</v>
      </c>
      <c r="I361" s="1" t="s">
        <v>2653</v>
      </c>
      <c r="J361" s="3" t="str">
        <f>IFERROR(__xludf.DUMMYFUNCTION("IF(A361="""", """", IFS(REGEXMATCH(LOWER(A361), ""barbearia|barber""), ""Barbearia"", REGEXMATCH(LOWER(A361), ""sobrancelh|c[ií]lio|lash|micropigment|showbrancelhas""), ""Sobrancelhas e Cílios"", REGEXMATCH(LOWER(A361), ""maquia|make""), ""Maquiagem"", RE"&amp;"GEXMATCH(LOWER(A361), ""depil|epil""), ""Depilação"", REGEXMATCH(LOWER(A361), ""esmalteria|unha|nail|manicur|spa dos p[eé]s|kauu_nhas""), ""Manicure - Esmalteria"", REGEXMATCH(LOWER(A361), ""est[eé]tic|bronze|massot|terap|pilates|revitalize|dra""), ""Clín"&amp;"ica de Estética"", TRUE, ""Salão de Beleza""))"),"Salão de Beleza")</f>
        <v>Salão de Beleza</v>
      </c>
    </row>
    <row r="362">
      <c r="A362" s="1" t="s">
        <v>2654</v>
      </c>
      <c r="D362" s="1" t="s">
        <v>2655</v>
      </c>
      <c r="E362" s="1" t="s">
        <v>2656</v>
      </c>
      <c r="F362" s="1" t="s">
        <v>2657</v>
      </c>
      <c r="G362" s="3" t="str">
        <f>IFERROR(__xludf.DUMMYFUNCTION("AI(""Preencha um valor adequado para esta célula com base no contexto da tabela"")"),"Timon - MA")</f>
        <v>Timon - MA</v>
      </c>
      <c r="H362" s="2" t="s">
        <v>2658</v>
      </c>
      <c r="I362" s="1" t="s">
        <v>2659</v>
      </c>
      <c r="J362" s="3" t="str">
        <f>IFERROR(__xludf.DUMMYFUNCTION("IF(A362="""", """", IFS(REGEXMATCH(LOWER(A362), ""barbearia|barber""), ""Barbearia"", REGEXMATCH(LOWER(A362), ""sobrancelh|c[ií]lio|lash|micropigment|showbrancelhas""), ""Sobrancelhas e Cílios"", REGEXMATCH(LOWER(A362), ""maquia|make""), ""Maquiagem"", RE"&amp;"GEXMATCH(LOWER(A362), ""depil|epil""), ""Depilação"", REGEXMATCH(LOWER(A362), ""esmalteria|unha|nail|manicur|spa dos p[eé]s|kauu_nhas""), ""Manicure - Esmalteria"", REGEXMATCH(LOWER(A362), ""est[eé]tic|bronze|massot|terap|pilates|revitalize|dra""), ""Clín"&amp;"ica de Estética"", TRUE, ""Salão de Beleza""))"),"Salão de Beleza")</f>
        <v>Salão de Beleza</v>
      </c>
    </row>
    <row r="363">
      <c r="A363" s="1" t="s">
        <v>1239</v>
      </c>
      <c r="B363" s="1" t="s">
        <v>2660</v>
      </c>
      <c r="C363" s="1" t="s">
        <v>2661</v>
      </c>
      <c r="D363" s="1" t="s">
        <v>2662</v>
      </c>
      <c r="E363" s="1" t="s">
        <v>2663</v>
      </c>
      <c r="F363" s="1" t="s">
        <v>2664</v>
      </c>
      <c r="G363" s="3" t="str">
        <f>IFERROR(__xludf.DUMMYFUNCTION("AI(""Preencha um valor adequado para esta célula com base no contexto da tabela"")"),"Timon - MA")</f>
        <v>Timon - MA</v>
      </c>
      <c r="H363" s="2" t="s">
        <v>2665</v>
      </c>
      <c r="I363" s="1" t="s">
        <v>2666</v>
      </c>
      <c r="J363" s="3" t="str">
        <f>IFERROR(__xludf.DUMMYFUNCTION("IF(A363="""", """", IFS(REGEXMATCH(LOWER(A363), ""barbearia|barber""), ""Barbearia"", REGEXMATCH(LOWER(A363), ""sobrancelh|c[ií]lio|lash|micropigment|showbrancelhas""), ""Sobrancelhas e Cílios"", REGEXMATCH(LOWER(A363), ""maquia|make""), ""Maquiagem"", RE"&amp;"GEXMATCH(LOWER(A363), ""depil|epil""), ""Depilação"", REGEXMATCH(LOWER(A363), ""esmalteria|unha|nail|manicur|spa dos p[eé]s|kauu_nhas""), ""Manicure - Esmalteria"", REGEXMATCH(LOWER(A363), ""est[eé]tic|bronze|massot|terap|pilates|revitalize|dra""), ""Clín"&amp;"ica de Estética"", TRUE, ""Salão de Beleza""))"),"Salão de Beleza")</f>
        <v>Salão de Beleza</v>
      </c>
    </row>
    <row r="364">
      <c r="A364" s="1" t="s">
        <v>2667</v>
      </c>
      <c r="B364" s="1" t="s">
        <v>2668</v>
      </c>
      <c r="C364" s="1" t="s">
        <v>2669</v>
      </c>
      <c r="D364" s="1" t="s">
        <v>2670</v>
      </c>
      <c r="E364" s="1" t="s">
        <v>2671</v>
      </c>
      <c r="F364" s="1" t="s">
        <v>2672</v>
      </c>
      <c r="G364" s="3" t="str">
        <f>IFERROR(__xludf.DUMMYFUNCTION("AI(""Preencha um valor adequado para esta célula com base no contexto da tabela"")"),"Timon - MA")</f>
        <v>Timon - MA</v>
      </c>
      <c r="H364" s="2" t="s">
        <v>2673</v>
      </c>
      <c r="I364" s="1" t="s">
        <v>2674</v>
      </c>
      <c r="J364" s="3" t="str">
        <f>IFERROR(__xludf.DUMMYFUNCTION("IF(A364="""", """", IFS(REGEXMATCH(LOWER(A364), ""barbearia|barber""), ""Barbearia"", REGEXMATCH(LOWER(A364), ""sobrancelh|c[ií]lio|lash|micropigment|showbrancelhas""), ""Sobrancelhas e Cílios"", REGEXMATCH(LOWER(A364), ""maquia|make""), ""Maquiagem"", RE"&amp;"GEXMATCH(LOWER(A364), ""depil|epil""), ""Depilação"", REGEXMATCH(LOWER(A364), ""esmalteria|unha|nail|manicur|spa dos p[eé]s|kauu_nhas""), ""Manicure - Esmalteria"", REGEXMATCH(LOWER(A364), ""est[eé]tic|bronze|massot|terap|pilates|revitalize|dra""), ""Clín"&amp;"ica de Estética"", TRUE, ""Salão de Beleza""))"),"Salão de Beleza")</f>
        <v>Salão de Beleza</v>
      </c>
    </row>
    <row r="365">
      <c r="A365" s="1" t="s">
        <v>2675</v>
      </c>
      <c r="B365" s="1" t="s">
        <v>2676</v>
      </c>
      <c r="C365" s="1" t="s">
        <v>2677</v>
      </c>
      <c r="D365" s="1" t="s">
        <v>2678</v>
      </c>
      <c r="E365" s="1" t="s">
        <v>2679</v>
      </c>
      <c r="F365" s="1" t="s">
        <v>2680</v>
      </c>
      <c r="G365" s="3" t="str">
        <f>IFERROR(__xludf.DUMMYFUNCTION("AI(""Preencha um valor adequado para esta célula com base no contexto da tabela"")"),"Timon - MA")</f>
        <v>Timon - MA</v>
      </c>
      <c r="H365" s="2" t="s">
        <v>2681</v>
      </c>
      <c r="I365" s="1" t="s">
        <v>2682</v>
      </c>
      <c r="J365" s="3" t="str">
        <f>IFERROR(__xludf.DUMMYFUNCTION("IF(A365="""", """", IFS(REGEXMATCH(LOWER(A365), ""barbearia|barber""), ""Barbearia"", REGEXMATCH(LOWER(A365), ""sobrancelh|c[ií]lio|lash|micropigment|showbrancelhas""), ""Sobrancelhas e Cílios"", REGEXMATCH(LOWER(A365), ""maquia|make""), ""Maquiagem"", RE"&amp;"GEXMATCH(LOWER(A365), ""depil|epil""), ""Depilação"", REGEXMATCH(LOWER(A365), ""esmalteria|unha|nail|manicur|spa dos p[eé]s|kauu_nhas""), ""Manicure - Esmalteria"", REGEXMATCH(LOWER(A365), ""est[eé]tic|bronze|massot|terap|pilates|revitalize|dra""), ""Clín"&amp;"ica de Estética"", TRUE, ""Salão de Beleza""))"),"Salão de Beleza")</f>
        <v>Salão de Beleza</v>
      </c>
    </row>
    <row r="366">
      <c r="A366" s="1" t="s">
        <v>2683</v>
      </c>
      <c r="B366" s="1" t="s">
        <v>2684</v>
      </c>
      <c r="C366" s="1" t="s">
        <v>2685</v>
      </c>
      <c r="D366" s="1" t="s">
        <v>2686</v>
      </c>
      <c r="E366" s="1" t="s">
        <v>2687</v>
      </c>
      <c r="F366" s="1" t="s">
        <v>2688</v>
      </c>
      <c r="G366" s="3" t="str">
        <f>IFERROR(__xludf.DUMMYFUNCTION("AI(""Preencha um valor adequado para esta célula com base no contexto da tabela"")"),"Timon - MA")</f>
        <v>Timon - MA</v>
      </c>
      <c r="H366" s="2" t="s">
        <v>2689</v>
      </c>
      <c r="I366" s="1" t="s">
        <v>2690</v>
      </c>
      <c r="J366" s="3" t="str">
        <f>IFERROR(__xludf.DUMMYFUNCTION("IF(A366="""", """", IFS(REGEXMATCH(LOWER(A366), ""barbearia|barber""), ""Barbearia"", REGEXMATCH(LOWER(A366), ""sobrancelh|c[ií]lio|lash|micropigment|showbrancelhas""), ""Sobrancelhas e Cílios"", REGEXMATCH(LOWER(A366), ""maquia|make""), ""Maquiagem"", RE"&amp;"GEXMATCH(LOWER(A366), ""depil|epil""), ""Depilação"", REGEXMATCH(LOWER(A366), ""esmalteria|unha|nail|manicur|spa dos p[eé]s|kauu_nhas""), ""Manicure - Esmalteria"", REGEXMATCH(LOWER(A366), ""est[eé]tic|bronze|massot|terap|pilates|revitalize|dra""), ""Clín"&amp;"ica de Estética"", TRUE, ""Salão de Beleza""))"),"Salão de Beleza")</f>
        <v>Salão de Beleza</v>
      </c>
    </row>
    <row r="367">
      <c r="A367" s="1" t="s">
        <v>2691</v>
      </c>
      <c r="B367" s="1" t="s">
        <v>2692</v>
      </c>
      <c r="C367" s="1" t="s">
        <v>2693</v>
      </c>
      <c r="D367" s="1" t="s">
        <v>2694</v>
      </c>
      <c r="E367" s="1" t="s">
        <v>2695</v>
      </c>
      <c r="F367" s="1" t="s">
        <v>2696</v>
      </c>
      <c r="G367" s="3" t="str">
        <f>IFERROR(__xludf.DUMMYFUNCTION("AI(""Preencha um valor adequado para esta célula com base no contexto da tabela"")"),"Timon - MA")</f>
        <v>Timon - MA</v>
      </c>
      <c r="H367" s="2" t="s">
        <v>2697</v>
      </c>
      <c r="I367" s="1" t="s">
        <v>2698</v>
      </c>
      <c r="J367" s="3" t="str">
        <f>IFERROR(__xludf.DUMMYFUNCTION("IF(A367="""", """", IFS(REGEXMATCH(LOWER(A367), ""barbearia|barber""), ""Barbearia"", REGEXMATCH(LOWER(A367), ""sobrancelh|c[ií]lio|lash|micropigment|showbrancelhas""), ""Sobrancelhas e Cílios"", REGEXMATCH(LOWER(A367), ""maquia|make""), ""Maquiagem"", RE"&amp;"GEXMATCH(LOWER(A367), ""depil|epil""), ""Depilação"", REGEXMATCH(LOWER(A367), ""esmalteria|unha|nail|manicur|spa dos p[eé]s|kauu_nhas""), ""Manicure - Esmalteria"", REGEXMATCH(LOWER(A367), ""est[eé]tic|bronze|massot|terap|pilates|revitalize|dra""), ""Clín"&amp;"ica de Estética"", TRUE, ""Salão de Beleza""))"),"Clínica de Estética")</f>
        <v>Clínica de Estética</v>
      </c>
    </row>
    <row r="368">
      <c r="A368" s="1" t="s">
        <v>2699</v>
      </c>
      <c r="B368" s="1" t="s">
        <v>2700</v>
      </c>
      <c r="C368" s="1" t="s">
        <v>2701</v>
      </c>
      <c r="D368" s="1" t="s">
        <v>2702</v>
      </c>
      <c r="E368" s="1" t="s">
        <v>2703</v>
      </c>
      <c r="F368" s="1" t="s">
        <v>2704</v>
      </c>
      <c r="G368" s="3" t="str">
        <f>IFERROR(__xludf.DUMMYFUNCTION("AI(""Preencha um valor adequado para esta célula com base no contexto da tabela"")"),"Timon - MA")</f>
        <v>Timon - MA</v>
      </c>
      <c r="H368" s="2" t="s">
        <v>2705</v>
      </c>
      <c r="I368" s="1" t="s">
        <v>2706</v>
      </c>
      <c r="J368" s="3" t="str">
        <f>IFERROR(__xludf.DUMMYFUNCTION("IF(A368="""", """", IFS(REGEXMATCH(LOWER(A368), ""barbearia|barber""), ""Barbearia"", REGEXMATCH(LOWER(A368), ""sobrancelh|c[ií]lio|lash|micropigment|showbrancelhas""), ""Sobrancelhas e Cílios"", REGEXMATCH(LOWER(A368), ""maquia|make""), ""Maquiagem"", RE"&amp;"GEXMATCH(LOWER(A368), ""depil|epil""), ""Depilação"", REGEXMATCH(LOWER(A368), ""esmalteria|unha|nail|manicur|spa dos p[eé]s|kauu_nhas""), ""Manicure - Esmalteria"", REGEXMATCH(LOWER(A368), ""est[eé]tic|bronze|massot|terap|pilates|revitalize|dra""), ""Clín"&amp;"ica de Estética"", TRUE, ""Salão de Beleza""))"),"Salão de Beleza")</f>
        <v>Salão de Beleza</v>
      </c>
    </row>
    <row r="369">
      <c r="A369" s="1" t="s">
        <v>2707</v>
      </c>
      <c r="D369" s="1" t="s">
        <v>2708</v>
      </c>
      <c r="E369" s="1" t="s">
        <v>2709</v>
      </c>
      <c r="F369" s="1" t="s">
        <v>2710</v>
      </c>
      <c r="G369" s="3" t="str">
        <f>IFERROR(__xludf.DUMMYFUNCTION("AI(""Preencha um valor adequado para esta célula com base no contexto da tabela"")"),"Timon - MA")</f>
        <v>Timon - MA</v>
      </c>
      <c r="H369" s="2" t="s">
        <v>2711</v>
      </c>
      <c r="J369" s="3" t="str">
        <f>IFERROR(__xludf.DUMMYFUNCTION("IF(A369="""", """", IFS(REGEXMATCH(LOWER(A369), ""barbearia|barber""), ""Barbearia"", REGEXMATCH(LOWER(A369), ""sobrancelh|c[ií]lio|lash|micropigment|showbrancelhas""), ""Sobrancelhas e Cílios"", REGEXMATCH(LOWER(A369), ""maquia|make""), ""Maquiagem"", RE"&amp;"GEXMATCH(LOWER(A369), ""depil|epil""), ""Depilação"", REGEXMATCH(LOWER(A369), ""esmalteria|unha|nail|manicur|spa dos p[eé]s|kauu_nhas""), ""Manicure - Esmalteria"", REGEXMATCH(LOWER(A369), ""est[eé]tic|bronze|massot|terap|pilates|revitalize|dra""), ""Clín"&amp;"ica de Estética"", TRUE, ""Salão de Beleza""))"),"Salão de Beleza")</f>
        <v>Salão de Beleza</v>
      </c>
    </row>
    <row r="370">
      <c r="A370" s="1" t="s">
        <v>2712</v>
      </c>
      <c r="B370" s="1" t="s">
        <v>2713</v>
      </c>
      <c r="C370" s="1" t="s">
        <v>2714</v>
      </c>
      <c r="D370" s="1" t="s">
        <v>2715</v>
      </c>
      <c r="E370" s="1" t="s">
        <v>2716</v>
      </c>
      <c r="F370" s="1" t="s">
        <v>2717</v>
      </c>
      <c r="G370" s="3" t="str">
        <f>IFERROR(__xludf.DUMMYFUNCTION("AI(""Preencha um valor adequado para esta célula com base no contexto da tabela"")"),"Timon - MA")</f>
        <v>Timon - MA</v>
      </c>
      <c r="H370" s="2" t="s">
        <v>2718</v>
      </c>
      <c r="I370" s="1" t="s">
        <v>2719</v>
      </c>
      <c r="J370" s="3" t="str">
        <f>IFERROR(__xludf.DUMMYFUNCTION("IF(A370="""", """", IFS(REGEXMATCH(LOWER(A370), ""barbearia|barber""), ""Barbearia"", REGEXMATCH(LOWER(A370), ""sobrancelh|c[ií]lio|lash|micropigment|showbrancelhas""), ""Sobrancelhas e Cílios"", REGEXMATCH(LOWER(A370), ""maquia|make""), ""Maquiagem"", RE"&amp;"GEXMATCH(LOWER(A370), ""depil|epil""), ""Depilação"", REGEXMATCH(LOWER(A370), ""esmalteria|unha|nail|manicur|spa dos p[eé]s|kauu_nhas""), ""Manicure - Esmalteria"", REGEXMATCH(LOWER(A370), ""est[eé]tic|bronze|massot|terap|pilates|revitalize|dra""), ""Clín"&amp;"ica de Estética"", TRUE, ""Salão de Beleza""))"),"Salão de Beleza")</f>
        <v>Salão de Beleza</v>
      </c>
    </row>
    <row r="371">
      <c r="A371" s="1" t="s">
        <v>2720</v>
      </c>
      <c r="B371" s="1" t="s">
        <v>2721</v>
      </c>
      <c r="C371" s="1" t="s">
        <v>2722</v>
      </c>
      <c r="D371" s="1" t="s">
        <v>2723</v>
      </c>
      <c r="E371" s="1" t="s">
        <v>310</v>
      </c>
      <c r="F371" s="1" t="s">
        <v>311</v>
      </c>
      <c r="G371" s="3" t="str">
        <f>IFERROR(__xludf.DUMMYFUNCTION("AI(""Preencha um valor adequado para esta célula com base no contexto da tabela"")"),"Timon - MA")</f>
        <v>Timon - MA</v>
      </c>
      <c r="H371" s="2" t="s">
        <v>2724</v>
      </c>
      <c r="I371" s="1" t="s">
        <v>313</v>
      </c>
      <c r="J371" s="3" t="str">
        <f>IFERROR(__xludf.DUMMYFUNCTION("IF(A371="""", """", IFS(REGEXMATCH(LOWER(A371), ""barbearia|barber""), ""Barbearia"", REGEXMATCH(LOWER(A371), ""sobrancelh|c[ií]lio|lash|micropigment|showbrancelhas""), ""Sobrancelhas e Cílios"", REGEXMATCH(LOWER(A371), ""maquia|make""), ""Maquiagem"", RE"&amp;"GEXMATCH(LOWER(A371), ""depil|epil""), ""Depilação"", REGEXMATCH(LOWER(A371), ""esmalteria|unha|nail|manicur|spa dos p[eé]s|kauu_nhas""), ""Manicure - Esmalteria"", REGEXMATCH(LOWER(A371), ""est[eé]tic|bronze|massot|terap|pilates|revitalize|dra""), ""Clín"&amp;"ica de Estética"", TRUE, ""Salão de Beleza""))"),"Salão de Beleza")</f>
        <v>Salão de Beleza</v>
      </c>
    </row>
    <row r="372">
      <c r="A372" s="1" t="s">
        <v>2725</v>
      </c>
      <c r="B372" s="1" t="s">
        <v>2726</v>
      </c>
      <c r="C372" s="1" t="s">
        <v>2727</v>
      </c>
      <c r="D372" s="1" t="s">
        <v>2728</v>
      </c>
      <c r="E372" s="1" t="s">
        <v>2729</v>
      </c>
      <c r="F372" s="1" t="s">
        <v>2730</v>
      </c>
      <c r="G372" s="3" t="str">
        <f>IFERROR(__xludf.DUMMYFUNCTION("AI(""Preencha um valor adequado para esta célula com base no contexto da tabela"")"),"Timon - MA")</f>
        <v>Timon - MA</v>
      </c>
      <c r="H372" s="2" t="s">
        <v>2731</v>
      </c>
      <c r="I372" s="1" t="s">
        <v>2732</v>
      </c>
      <c r="J372" s="3" t="str">
        <f>IFERROR(__xludf.DUMMYFUNCTION("IF(A372="""", """", IFS(REGEXMATCH(LOWER(A372), ""barbearia|barber""), ""Barbearia"", REGEXMATCH(LOWER(A372), ""sobrancelh|c[ií]lio|lash|micropigment|showbrancelhas""), ""Sobrancelhas e Cílios"", REGEXMATCH(LOWER(A372), ""maquia|make""), ""Maquiagem"", RE"&amp;"GEXMATCH(LOWER(A372), ""depil|epil""), ""Depilação"", REGEXMATCH(LOWER(A372), ""esmalteria|unha|nail|manicur|spa dos p[eé]s|kauu_nhas""), ""Manicure - Esmalteria"", REGEXMATCH(LOWER(A372), ""est[eé]tic|bronze|massot|terap|pilates|revitalize|dra""), ""Clín"&amp;"ica de Estética"", TRUE, ""Salão de Beleza""))"),"Salão de Beleza")</f>
        <v>Salão de Beleza</v>
      </c>
    </row>
    <row r="373">
      <c r="A373" s="1" t="s">
        <v>2733</v>
      </c>
      <c r="B373" s="1" t="s">
        <v>2734</v>
      </c>
      <c r="D373" s="1" t="s">
        <v>2735</v>
      </c>
      <c r="E373" s="1" t="s">
        <v>2736</v>
      </c>
      <c r="F373" s="1" t="s">
        <v>2737</v>
      </c>
      <c r="G373" s="3" t="str">
        <f>IFERROR(__xludf.DUMMYFUNCTION("AI(""Preencha um valor adequado para esta célula com base no contexto da tabela"")"),"Timon - MA")</f>
        <v>Timon - MA</v>
      </c>
      <c r="H373" s="2" t="s">
        <v>2738</v>
      </c>
      <c r="I373" s="1" t="s">
        <v>2739</v>
      </c>
      <c r="J373" s="3" t="str">
        <f>IFERROR(__xludf.DUMMYFUNCTION("IF(A373="""", """", IFS(REGEXMATCH(LOWER(A373), ""barbearia|barber""), ""Barbearia"", REGEXMATCH(LOWER(A373), ""sobrancelh|c[ií]lio|lash|micropigment|showbrancelhas""), ""Sobrancelhas e Cílios"", REGEXMATCH(LOWER(A373), ""maquia|make""), ""Maquiagem"", RE"&amp;"GEXMATCH(LOWER(A373), ""depil|epil""), ""Depilação"", REGEXMATCH(LOWER(A373), ""esmalteria|unha|nail|manicur|spa dos p[eé]s|kauu_nhas""), ""Manicure - Esmalteria"", REGEXMATCH(LOWER(A373), ""est[eé]tic|bronze|massot|terap|pilates|revitalize|dra""), ""Clín"&amp;"ica de Estética"", TRUE, ""Salão de Beleza""))"),"Salão de Beleza")</f>
        <v>Salão de Beleza</v>
      </c>
    </row>
    <row r="374">
      <c r="A374" s="1" t="s">
        <v>2740</v>
      </c>
      <c r="B374" s="1" t="s">
        <v>2741</v>
      </c>
      <c r="C374" s="1" t="s">
        <v>2742</v>
      </c>
      <c r="D374" s="1" t="s">
        <v>2743</v>
      </c>
      <c r="E374" s="1" t="s">
        <v>2744</v>
      </c>
      <c r="F374" s="1" t="s">
        <v>2745</v>
      </c>
      <c r="G374" s="3" t="str">
        <f>IFERROR(__xludf.DUMMYFUNCTION("AI(""Preencha um valor adequado para esta célula com base no contexto da tabela"")"),"Timon - MA")</f>
        <v>Timon - MA</v>
      </c>
      <c r="H374" s="2" t="s">
        <v>2746</v>
      </c>
      <c r="I374" s="1" t="s">
        <v>2747</v>
      </c>
      <c r="J374" s="3" t="str">
        <f>IFERROR(__xludf.DUMMYFUNCTION("IF(A374="""", """", IFS(REGEXMATCH(LOWER(A374), ""barbearia|barber""), ""Barbearia"", REGEXMATCH(LOWER(A374), ""sobrancelh|c[ií]lio|lash|micropigment|showbrancelhas""), ""Sobrancelhas e Cílios"", REGEXMATCH(LOWER(A374), ""maquia|make""), ""Maquiagem"", RE"&amp;"GEXMATCH(LOWER(A374), ""depil|epil""), ""Depilação"", REGEXMATCH(LOWER(A374), ""esmalteria|unha|nail|manicur|spa dos p[eé]s|kauu_nhas""), ""Manicure - Esmalteria"", REGEXMATCH(LOWER(A374), ""est[eé]tic|bronze|massot|terap|pilates|revitalize|dra""), ""Clín"&amp;"ica de Estética"", TRUE, ""Salão de Beleza""))"),"Salão de Beleza")</f>
        <v>Salão de Beleza</v>
      </c>
    </row>
    <row r="375">
      <c r="A375" s="1" t="s">
        <v>2748</v>
      </c>
      <c r="D375" s="1" t="s">
        <v>2749</v>
      </c>
      <c r="E375" s="1" t="s">
        <v>2750</v>
      </c>
      <c r="F375" s="1" t="s">
        <v>2751</v>
      </c>
      <c r="G375" s="3" t="str">
        <f>IFERROR(__xludf.DUMMYFUNCTION("AI(""Preencha um valor adequado para esta célula com base no contexto da tabela"")"),"Timon - MA")</f>
        <v>Timon - MA</v>
      </c>
      <c r="H375" s="2" t="s">
        <v>2752</v>
      </c>
      <c r="I375" s="1" t="s">
        <v>2753</v>
      </c>
      <c r="J375" s="3" t="str">
        <f>IFERROR(__xludf.DUMMYFUNCTION("IF(A375="""", """", IFS(REGEXMATCH(LOWER(A375), ""barbearia|barber""), ""Barbearia"", REGEXMATCH(LOWER(A375), ""sobrancelh|c[ií]lio|lash|micropigment|showbrancelhas""), ""Sobrancelhas e Cílios"", REGEXMATCH(LOWER(A375), ""maquia|make""), ""Maquiagem"", RE"&amp;"GEXMATCH(LOWER(A375), ""depil|epil""), ""Depilação"", REGEXMATCH(LOWER(A375), ""esmalteria|unha|nail|manicur|spa dos p[eé]s|kauu_nhas""), ""Manicure - Esmalteria"", REGEXMATCH(LOWER(A375), ""est[eé]tic|bronze|massot|terap|pilates|revitalize|dra""), ""Clín"&amp;"ica de Estética"", TRUE, ""Salão de Beleza""))"),"Salão de Beleza")</f>
        <v>Salão de Beleza</v>
      </c>
    </row>
    <row r="376">
      <c r="A376" s="1" t="s">
        <v>2754</v>
      </c>
      <c r="B376" s="1" t="s">
        <v>2755</v>
      </c>
      <c r="C376" s="1" t="s">
        <v>2756</v>
      </c>
      <c r="D376" s="1" t="s">
        <v>2757</v>
      </c>
      <c r="E376" s="1" t="s">
        <v>2758</v>
      </c>
      <c r="F376" s="1" t="s">
        <v>2759</v>
      </c>
      <c r="G376" s="3" t="str">
        <f>IFERROR(__xludf.DUMMYFUNCTION("AI(""Preencha um valor adequado para esta célula com base no contexto da tabela"")"),"Timon - MA")</f>
        <v>Timon - MA</v>
      </c>
      <c r="H376" s="2" t="s">
        <v>2760</v>
      </c>
      <c r="I376" s="1" t="s">
        <v>2761</v>
      </c>
      <c r="J376" s="3" t="str">
        <f>IFERROR(__xludf.DUMMYFUNCTION("IF(A376="""", """", IFS(REGEXMATCH(LOWER(A376), ""barbearia|barber""), ""Barbearia"", REGEXMATCH(LOWER(A376), ""sobrancelh|c[ií]lio|lash|micropigment|showbrancelhas""), ""Sobrancelhas e Cílios"", REGEXMATCH(LOWER(A376), ""maquia|make""), ""Maquiagem"", RE"&amp;"GEXMATCH(LOWER(A376), ""depil|epil""), ""Depilação"", REGEXMATCH(LOWER(A376), ""esmalteria|unha|nail|manicur|spa dos p[eé]s|kauu_nhas""), ""Manicure - Esmalteria"", REGEXMATCH(LOWER(A376), ""est[eé]tic|bronze|massot|terap|pilates|revitalize|dra""), ""Clín"&amp;"ica de Estética"", TRUE, ""Salão de Beleza""))"),"Salão de Beleza")</f>
        <v>Salão de Beleza</v>
      </c>
    </row>
    <row r="377">
      <c r="A377" s="1" t="s">
        <v>2762</v>
      </c>
      <c r="B377" s="1" t="s">
        <v>2763</v>
      </c>
      <c r="C377" s="1" t="s">
        <v>2764</v>
      </c>
      <c r="D377" s="1" t="s">
        <v>2765</v>
      </c>
      <c r="E377" s="1" t="s">
        <v>2766</v>
      </c>
      <c r="F377" s="1" t="s">
        <v>2767</v>
      </c>
      <c r="G377" s="3" t="str">
        <f>IFERROR(__xludf.DUMMYFUNCTION("AI(""Preencha um valor adequado para esta célula com base no contexto da tabela"")"),"Timon - MA")</f>
        <v>Timon - MA</v>
      </c>
      <c r="H377" s="2" t="s">
        <v>2768</v>
      </c>
      <c r="I377" s="1" t="s">
        <v>2769</v>
      </c>
      <c r="J377" s="3" t="str">
        <f>IFERROR(__xludf.DUMMYFUNCTION("IF(A377="""", """", IFS(REGEXMATCH(LOWER(A377), ""barbearia|barber""), ""Barbearia"", REGEXMATCH(LOWER(A377), ""sobrancelh|c[ií]lio|lash|micropigment|showbrancelhas""), ""Sobrancelhas e Cílios"", REGEXMATCH(LOWER(A377), ""maquia|make""), ""Maquiagem"", RE"&amp;"GEXMATCH(LOWER(A377), ""depil|epil""), ""Depilação"", REGEXMATCH(LOWER(A377), ""esmalteria|unha|nail|manicur|spa dos p[eé]s|kauu_nhas""), ""Manicure - Esmalteria"", REGEXMATCH(LOWER(A377), ""est[eé]tic|bronze|massot|terap|pilates|revitalize|dra""), ""Clín"&amp;"ica de Estética"", TRUE, ""Salão de Beleza""))"),"Salão de Beleza")</f>
        <v>Salão de Beleza</v>
      </c>
    </row>
    <row r="378">
      <c r="A378" s="1" t="s">
        <v>2770</v>
      </c>
      <c r="B378" s="1" t="s">
        <v>2771</v>
      </c>
      <c r="C378" s="1" t="s">
        <v>2772</v>
      </c>
      <c r="D378" s="1" t="s">
        <v>2773</v>
      </c>
      <c r="E378" s="1" t="s">
        <v>2774</v>
      </c>
      <c r="F378" s="1" t="s">
        <v>2775</v>
      </c>
      <c r="G378" s="3" t="str">
        <f>IFERROR(__xludf.DUMMYFUNCTION("AI(""Preencha um valor adequado para esta célula com base no contexto da tabela"")"),"Timon - MA")</f>
        <v>Timon - MA</v>
      </c>
      <c r="H378" s="2" t="s">
        <v>2776</v>
      </c>
      <c r="I378" s="1" t="s">
        <v>2777</v>
      </c>
      <c r="J378" s="3" t="str">
        <f>IFERROR(__xludf.DUMMYFUNCTION("IF(A378="""", """", IFS(REGEXMATCH(LOWER(A378), ""barbearia|barber""), ""Barbearia"", REGEXMATCH(LOWER(A378), ""sobrancelh|c[ií]lio|lash|micropigment|showbrancelhas""), ""Sobrancelhas e Cílios"", REGEXMATCH(LOWER(A378), ""maquia|make""), ""Maquiagem"", RE"&amp;"GEXMATCH(LOWER(A378), ""depil|epil""), ""Depilação"", REGEXMATCH(LOWER(A378), ""esmalteria|unha|nail|manicur|spa dos p[eé]s|kauu_nhas""), ""Manicure - Esmalteria"", REGEXMATCH(LOWER(A378), ""est[eé]tic|bronze|massot|terap|pilates|revitalize|dra""), ""Clín"&amp;"ica de Estética"", TRUE, ""Salão de Beleza""))"),"Salão de Beleza")</f>
        <v>Salão de Beleza</v>
      </c>
    </row>
    <row r="379">
      <c r="A379" s="1" t="s">
        <v>2778</v>
      </c>
      <c r="B379" s="1" t="s">
        <v>2779</v>
      </c>
      <c r="C379" s="1" t="s">
        <v>2780</v>
      </c>
      <c r="D379" s="1" t="s">
        <v>2781</v>
      </c>
      <c r="E379" s="1" t="s">
        <v>2782</v>
      </c>
      <c r="F379" s="1" t="s">
        <v>2783</v>
      </c>
      <c r="G379" s="3" t="str">
        <f>IFERROR(__xludf.DUMMYFUNCTION("AI(""Preencha um valor adequado para esta célula com base no contexto da tabela"")"),"Timon - MA")</f>
        <v>Timon - MA</v>
      </c>
      <c r="H379" s="2" t="s">
        <v>2784</v>
      </c>
      <c r="I379" s="1" t="s">
        <v>2785</v>
      </c>
      <c r="J379" s="3" t="str">
        <f>IFERROR(__xludf.DUMMYFUNCTION("IF(A379="""", """", IFS(REGEXMATCH(LOWER(A379), ""barbearia|barber""), ""Barbearia"", REGEXMATCH(LOWER(A379), ""sobrancelh|c[ií]lio|lash|micropigment|showbrancelhas""), ""Sobrancelhas e Cílios"", REGEXMATCH(LOWER(A379), ""maquia|make""), ""Maquiagem"", RE"&amp;"GEXMATCH(LOWER(A379), ""depil|epil""), ""Depilação"", REGEXMATCH(LOWER(A379), ""esmalteria|unha|nail|manicur|spa dos p[eé]s|kauu_nhas""), ""Manicure - Esmalteria"", REGEXMATCH(LOWER(A379), ""est[eé]tic|bronze|massot|terap|pilates|revitalize|dra""), ""Clín"&amp;"ica de Estética"", TRUE, ""Salão de Beleza""))"),"Manicure - Esmalteria")</f>
        <v>Manicure - Esmalteria</v>
      </c>
    </row>
    <row r="380">
      <c r="A380" s="1" t="s">
        <v>2786</v>
      </c>
      <c r="B380" s="1" t="s">
        <v>2787</v>
      </c>
      <c r="C380" s="1" t="s">
        <v>2788</v>
      </c>
      <c r="D380" s="1" t="s">
        <v>2789</v>
      </c>
      <c r="E380" s="1" t="s">
        <v>2790</v>
      </c>
      <c r="F380" s="1" t="s">
        <v>2791</v>
      </c>
      <c r="G380" s="3" t="str">
        <f>IFERROR(__xludf.DUMMYFUNCTION("AI(""Preencha um valor adequado para esta célula com base no contexto da tabela"")"),"Timon - MA")</f>
        <v>Timon - MA</v>
      </c>
      <c r="H380" s="2" t="s">
        <v>2792</v>
      </c>
      <c r="I380" s="1" t="s">
        <v>2793</v>
      </c>
      <c r="J380" s="3" t="str">
        <f>IFERROR(__xludf.DUMMYFUNCTION("IF(A380="""", """", IFS(REGEXMATCH(LOWER(A380), ""barbearia|barber""), ""Barbearia"", REGEXMATCH(LOWER(A380), ""sobrancelh|c[ií]lio|lash|micropigment|showbrancelhas""), ""Sobrancelhas e Cílios"", REGEXMATCH(LOWER(A380), ""maquia|make""), ""Maquiagem"", RE"&amp;"GEXMATCH(LOWER(A380), ""depil|epil""), ""Depilação"", REGEXMATCH(LOWER(A380), ""esmalteria|unha|nail|manicur|spa dos p[eé]s|kauu_nhas""), ""Manicure - Esmalteria"", REGEXMATCH(LOWER(A380), ""est[eé]tic|bronze|massot|terap|pilates|revitalize|dra""), ""Clín"&amp;"ica de Estética"", TRUE, ""Salão de Beleza""))"),"Salão de Beleza")</f>
        <v>Salão de Beleza</v>
      </c>
    </row>
    <row r="381">
      <c r="A381" s="1" t="s">
        <v>2794</v>
      </c>
      <c r="B381" s="1" t="s">
        <v>2795</v>
      </c>
      <c r="C381" s="1" t="s">
        <v>2796</v>
      </c>
      <c r="D381" s="1" t="s">
        <v>2797</v>
      </c>
      <c r="E381" s="1" t="s">
        <v>2798</v>
      </c>
      <c r="F381" s="1" t="s">
        <v>2799</v>
      </c>
      <c r="G381" s="3" t="str">
        <f>IFERROR(__xludf.DUMMYFUNCTION("AI(""Preencha um valor adequado para esta célula com base no contexto da tabela"")"),"Timon - MA")</f>
        <v>Timon - MA</v>
      </c>
      <c r="H381" s="2" t="s">
        <v>2800</v>
      </c>
      <c r="I381" s="1" t="s">
        <v>2801</v>
      </c>
      <c r="J381" s="3" t="str">
        <f>IFERROR(__xludf.DUMMYFUNCTION("IF(A381="""", """", IFS(REGEXMATCH(LOWER(A381), ""barbearia|barber""), ""Barbearia"", REGEXMATCH(LOWER(A381), ""sobrancelh|c[ií]lio|lash|micropigment|showbrancelhas""), ""Sobrancelhas e Cílios"", REGEXMATCH(LOWER(A381), ""maquia|make""), ""Maquiagem"", RE"&amp;"GEXMATCH(LOWER(A381), ""depil|epil""), ""Depilação"", REGEXMATCH(LOWER(A381), ""esmalteria|unha|nail|manicur|spa dos p[eé]s|kauu_nhas""), ""Manicure - Esmalteria"", REGEXMATCH(LOWER(A381), ""est[eé]tic|bronze|massot|terap|pilates|revitalize|dra""), ""Clín"&amp;"ica de Estética"", TRUE, ""Salão de Beleza""))"),"Salão de Beleza")</f>
        <v>Salão de Beleza</v>
      </c>
    </row>
    <row r="382">
      <c r="A382" s="1" t="s">
        <v>2802</v>
      </c>
      <c r="B382" s="1" t="s">
        <v>2803</v>
      </c>
      <c r="C382" s="1" t="s">
        <v>2804</v>
      </c>
      <c r="D382" s="1" t="s">
        <v>2805</v>
      </c>
      <c r="E382" s="1" t="s">
        <v>2806</v>
      </c>
      <c r="F382" s="1" t="s">
        <v>2807</v>
      </c>
      <c r="G382" s="3" t="str">
        <f>IFERROR(__xludf.DUMMYFUNCTION("AI(""Preencha um valor adequado para esta célula com base no contexto da tabela"")"),"Timon - MA")</f>
        <v>Timon - MA</v>
      </c>
      <c r="H382" s="2" t="s">
        <v>2808</v>
      </c>
      <c r="I382" s="1" t="s">
        <v>2809</v>
      </c>
      <c r="J382" s="3" t="str">
        <f>IFERROR(__xludf.DUMMYFUNCTION("IF(A382="""", """", IFS(REGEXMATCH(LOWER(A382), ""barbearia|barber""), ""Barbearia"", REGEXMATCH(LOWER(A382), ""sobrancelh|c[ií]lio|lash|micropigment|showbrancelhas""), ""Sobrancelhas e Cílios"", REGEXMATCH(LOWER(A382), ""maquia|make""), ""Maquiagem"", RE"&amp;"GEXMATCH(LOWER(A382), ""depil|epil""), ""Depilação"", REGEXMATCH(LOWER(A382), ""esmalteria|unha|nail|manicur|spa dos p[eé]s|kauu_nhas""), ""Manicure - Esmalteria"", REGEXMATCH(LOWER(A382), ""est[eé]tic|bronze|massot|terap|pilates|revitalize|dra""), ""Clín"&amp;"ica de Estética"", TRUE, ""Salão de Beleza""))"),"Salão de Beleza")</f>
        <v>Salão de Beleza</v>
      </c>
    </row>
    <row r="383">
      <c r="A383" s="1" t="s">
        <v>2810</v>
      </c>
      <c r="B383" s="1" t="s">
        <v>2811</v>
      </c>
      <c r="C383" s="1" t="s">
        <v>2812</v>
      </c>
      <c r="D383" s="1" t="s">
        <v>2813</v>
      </c>
      <c r="E383" s="1" t="s">
        <v>2814</v>
      </c>
      <c r="F383" s="1" t="s">
        <v>2815</v>
      </c>
      <c r="G383" s="3" t="str">
        <f>IFERROR(__xludf.DUMMYFUNCTION("AI(""Preencha um valor adequado para esta célula com base no contexto da tabela"")"),"Timon - MA")</f>
        <v>Timon - MA</v>
      </c>
      <c r="H383" s="2" t="s">
        <v>2816</v>
      </c>
      <c r="I383" s="1" t="s">
        <v>2817</v>
      </c>
      <c r="J383" s="3" t="str">
        <f>IFERROR(__xludf.DUMMYFUNCTION("IF(A383="""", """", IFS(REGEXMATCH(LOWER(A383), ""barbearia|barber""), ""Barbearia"", REGEXMATCH(LOWER(A383), ""sobrancelh|c[ií]lio|lash|micropigment|showbrancelhas""), ""Sobrancelhas e Cílios"", REGEXMATCH(LOWER(A383), ""maquia|make""), ""Maquiagem"", RE"&amp;"GEXMATCH(LOWER(A383), ""depil|epil""), ""Depilação"", REGEXMATCH(LOWER(A383), ""esmalteria|unha|nail|manicur|spa dos p[eé]s|kauu_nhas""), ""Manicure - Esmalteria"", REGEXMATCH(LOWER(A383), ""est[eé]tic|bronze|massot|terap|pilates|revitalize|dra""), ""Clín"&amp;"ica de Estética"", TRUE, ""Salão de Beleza""))"),"Barbearia")</f>
        <v>Barbearia</v>
      </c>
    </row>
    <row r="384">
      <c r="A384" s="1" t="s">
        <v>2818</v>
      </c>
      <c r="B384" s="1" t="s">
        <v>2819</v>
      </c>
      <c r="C384" s="1" t="s">
        <v>2820</v>
      </c>
      <c r="D384" s="1" t="s">
        <v>2821</v>
      </c>
      <c r="E384" s="1" t="s">
        <v>2822</v>
      </c>
      <c r="F384" s="1" t="s">
        <v>2823</v>
      </c>
      <c r="G384" s="3" t="str">
        <f>IFERROR(__xludf.DUMMYFUNCTION("AI(""Preencha um valor adequado para esta célula com base no contexto da tabela"")"),"Timon - MA")</f>
        <v>Timon - MA</v>
      </c>
      <c r="H384" s="2" t="s">
        <v>2824</v>
      </c>
      <c r="I384" s="1" t="s">
        <v>2825</v>
      </c>
      <c r="J384" s="3" t="str">
        <f>IFERROR(__xludf.DUMMYFUNCTION("IF(A384="""", """", IFS(REGEXMATCH(LOWER(A384), ""barbearia|barber""), ""Barbearia"", REGEXMATCH(LOWER(A384), ""sobrancelh|c[ií]lio|lash|micropigment|showbrancelhas""), ""Sobrancelhas e Cílios"", REGEXMATCH(LOWER(A384), ""maquia|make""), ""Maquiagem"", RE"&amp;"GEXMATCH(LOWER(A384), ""depil|epil""), ""Depilação"", REGEXMATCH(LOWER(A384), ""esmalteria|unha|nail|manicur|spa dos p[eé]s|kauu_nhas""), ""Manicure - Esmalteria"", REGEXMATCH(LOWER(A384), ""est[eé]tic|bronze|massot|terap|pilates|revitalize|dra""), ""Clín"&amp;"ica de Estética"", TRUE, ""Salão de Beleza""))"),"Salão de Beleza")</f>
        <v>Salão de Beleza</v>
      </c>
    </row>
    <row r="385">
      <c r="A385" s="1" t="s">
        <v>2826</v>
      </c>
      <c r="B385" s="1" t="s">
        <v>2827</v>
      </c>
      <c r="C385" s="1" t="s">
        <v>2828</v>
      </c>
      <c r="D385" s="1" t="s">
        <v>2829</v>
      </c>
      <c r="E385" s="1" t="s">
        <v>2830</v>
      </c>
      <c r="F385" s="1" t="s">
        <v>2831</v>
      </c>
      <c r="G385" s="3" t="str">
        <f>IFERROR(__xludf.DUMMYFUNCTION("AI(""Preencha um valor adequado para esta célula com base no contexto da tabela"")"),"Timon - MA")</f>
        <v>Timon - MA</v>
      </c>
      <c r="H385" s="2" t="s">
        <v>2832</v>
      </c>
      <c r="I385" s="1" t="s">
        <v>2833</v>
      </c>
      <c r="J385" s="3" t="str">
        <f>IFERROR(__xludf.DUMMYFUNCTION("IF(A385="""", """", IFS(REGEXMATCH(LOWER(A385), ""barbearia|barber""), ""Barbearia"", REGEXMATCH(LOWER(A385), ""sobrancelh|c[ií]lio|lash|micropigment|showbrancelhas""), ""Sobrancelhas e Cílios"", REGEXMATCH(LOWER(A385), ""maquia|make""), ""Maquiagem"", RE"&amp;"GEXMATCH(LOWER(A385), ""depil|epil""), ""Depilação"", REGEXMATCH(LOWER(A385), ""esmalteria|unha|nail|manicur|spa dos p[eé]s|kauu_nhas""), ""Manicure - Esmalteria"", REGEXMATCH(LOWER(A385), ""est[eé]tic|bronze|massot|terap|pilates|revitalize|dra""), ""Clín"&amp;"ica de Estética"", TRUE, ""Salão de Beleza""))"),"Salão de Beleza")</f>
        <v>Salão de Beleza</v>
      </c>
    </row>
    <row r="386">
      <c r="A386" s="1" t="s">
        <v>2834</v>
      </c>
      <c r="B386" s="1" t="s">
        <v>2835</v>
      </c>
      <c r="C386" s="1" t="s">
        <v>2836</v>
      </c>
      <c r="D386" s="1" t="s">
        <v>2837</v>
      </c>
      <c r="E386" s="1" t="s">
        <v>2838</v>
      </c>
      <c r="F386" s="1" t="s">
        <v>2839</v>
      </c>
      <c r="G386" s="3" t="str">
        <f>IFERROR(__xludf.DUMMYFUNCTION("AI(""Preencha um valor adequado para esta célula com base no contexto da tabela"")"),"Timon - MA")</f>
        <v>Timon - MA</v>
      </c>
      <c r="H386" s="2" t="s">
        <v>2840</v>
      </c>
      <c r="I386" s="1" t="s">
        <v>2841</v>
      </c>
      <c r="J386" s="3" t="str">
        <f>IFERROR(__xludf.DUMMYFUNCTION("IF(A386="""", """", IFS(REGEXMATCH(LOWER(A386), ""barbearia|barber""), ""Barbearia"", REGEXMATCH(LOWER(A386), ""sobrancelh|c[ií]lio|lash|micropigment|showbrancelhas""), ""Sobrancelhas e Cílios"", REGEXMATCH(LOWER(A386), ""maquia|make""), ""Maquiagem"", RE"&amp;"GEXMATCH(LOWER(A386), ""depil|epil""), ""Depilação"", REGEXMATCH(LOWER(A386), ""esmalteria|unha|nail|manicur|spa dos p[eé]s|kauu_nhas""), ""Manicure - Esmalteria"", REGEXMATCH(LOWER(A386), ""est[eé]tic|bronze|massot|terap|pilates|revitalize|dra""), ""Clín"&amp;"ica de Estética"", TRUE, ""Salão de Beleza""))"),"Manicure - Esmalteria")</f>
        <v>Manicure - Esmalteria</v>
      </c>
    </row>
    <row r="387">
      <c r="A387" s="1" t="s">
        <v>2842</v>
      </c>
      <c r="B387" s="1" t="s">
        <v>2843</v>
      </c>
      <c r="C387" s="1" t="s">
        <v>2844</v>
      </c>
      <c r="D387" s="1" t="s">
        <v>2845</v>
      </c>
      <c r="E387" s="1" t="s">
        <v>2846</v>
      </c>
      <c r="F387" s="1" t="s">
        <v>2847</v>
      </c>
      <c r="G387" s="3" t="str">
        <f>IFERROR(__xludf.DUMMYFUNCTION("AI(""Preencha um valor adequado para esta célula com base no contexto da tabela"")"),"Timon - MA")</f>
        <v>Timon - MA</v>
      </c>
      <c r="H387" s="2" t="s">
        <v>2848</v>
      </c>
      <c r="I387" s="1" t="s">
        <v>2849</v>
      </c>
      <c r="J387" s="3" t="str">
        <f>IFERROR(__xludf.DUMMYFUNCTION("IF(A387="""", """", IFS(REGEXMATCH(LOWER(A387), ""barbearia|barber""), ""Barbearia"", REGEXMATCH(LOWER(A387), ""sobrancelh|c[ií]lio|lash|micropigment|showbrancelhas""), ""Sobrancelhas e Cílios"", REGEXMATCH(LOWER(A387), ""maquia|make""), ""Maquiagem"", RE"&amp;"GEXMATCH(LOWER(A387), ""depil|epil""), ""Depilação"", REGEXMATCH(LOWER(A387), ""esmalteria|unha|nail|manicur|spa dos p[eé]s|kauu_nhas""), ""Manicure - Esmalteria"", REGEXMATCH(LOWER(A387), ""est[eé]tic|bronze|massot|terap|pilates|revitalize|dra""), ""Clín"&amp;"ica de Estética"", TRUE, ""Salão de Beleza""))"),"Salão de Beleza")</f>
        <v>Salão de Beleza</v>
      </c>
    </row>
    <row r="388">
      <c r="A388" s="1" t="s">
        <v>2850</v>
      </c>
      <c r="B388" s="1" t="s">
        <v>2851</v>
      </c>
      <c r="C388" s="1" t="s">
        <v>2852</v>
      </c>
      <c r="D388" s="1" t="s">
        <v>2853</v>
      </c>
      <c r="E388" s="1" t="s">
        <v>2854</v>
      </c>
      <c r="F388" s="1" t="s">
        <v>2855</v>
      </c>
      <c r="G388" s="3" t="str">
        <f>IFERROR(__xludf.DUMMYFUNCTION("AI(""Preencha um valor adequado para esta célula com base no contexto da tabela"")"),"Timon - MA")</f>
        <v>Timon - MA</v>
      </c>
      <c r="H388" s="2" t="s">
        <v>2856</v>
      </c>
      <c r="I388" s="1" t="s">
        <v>2032</v>
      </c>
      <c r="J388" s="3" t="str">
        <f>IFERROR(__xludf.DUMMYFUNCTION("IF(A388="""", """", IFS(REGEXMATCH(LOWER(A388), ""barbearia|barber""), ""Barbearia"", REGEXMATCH(LOWER(A388), ""sobrancelh|c[ií]lio|lash|micropigment|showbrancelhas""), ""Sobrancelhas e Cílios"", REGEXMATCH(LOWER(A388), ""maquia|make""), ""Maquiagem"", RE"&amp;"GEXMATCH(LOWER(A388), ""depil|epil""), ""Depilação"", REGEXMATCH(LOWER(A388), ""esmalteria|unha|nail|manicur|spa dos p[eé]s|kauu_nhas""), ""Manicure - Esmalteria"", REGEXMATCH(LOWER(A388), ""est[eé]tic|bronze|massot|terap|pilates|revitalize|dra""), ""Clín"&amp;"ica de Estética"", TRUE, ""Salão de Beleza""))"),"Salão de Beleza")</f>
        <v>Salão de Beleza</v>
      </c>
    </row>
    <row r="389">
      <c r="A389" s="1" t="s">
        <v>2857</v>
      </c>
      <c r="B389" s="1" t="s">
        <v>2858</v>
      </c>
      <c r="C389" s="1" t="s">
        <v>2859</v>
      </c>
      <c r="D389" s="1" t="s">
        <v>2860</v>
      </c>
      <c r="E389" s="1" t="s">
        <v>2861</v>
      </c>
      <c r="F389" s="1" t="s">
        <v>2862</v>
      </c>
      <c r="G389" s="3" t="str">
        <f>IFERROR(__xludf.DUMMYFUNCTION("AI(""Preencha um valor adequado para esta célula com base no contexto da tabela"")"),"Timon - MA")</f>
        <v>Timon - MA</v>
      </c>
      <c r="H389" s="2" t="s">
        <v>2863</v>
      </c>
      <c r="I389" s="1" t="s">
        <v>2864</v>
      </c>
      <c r="J389" s="3" t="str">
        <f>IFERROR(__xludf.DUMMYFUNCTION("IF(A389="""", """", IFS(REGEXMATCH(LOWER(A389), ""barbearia|barber""), ""Barbearia"", REGEXMATCH(LOWER(A389), ""sobrancelh|c[ií]lio|lash|micropigment|showbrancelhas""), ""Sobrancelhas e Cílios"", REGEXMATCH(LOWER(A389), ""maquia|make""), ""Maquiagem"", RE"&amp;"GEXMATCH(LOWER(A389), ""depil|epil""), ""Depilação"", REGEXMATCH(LOWER(A389), ""esmalteria|unha|nail|manicur|spa dos p[eé]s|kauu_nhas""), ""Manicure - Esmalteria"", REGEXMATCH(LOWER(A389), ""est[eé]tic|bronze|massot|terap|pilates|revitalize|dra""), ""Clín"&amp;"ica de Estética"", TRUE, ""Salão de Beleza""))"),"Salão de Beleza")</f>
        <v>Salão de Beleza</v>
      </c>
    </row>
    <row r="390">
      <c r="A390" s="1" t="s">
        <v>2865</v>
      </c>
      <c r="B390" s="1" t="s">
        <v>2866</v>
      </c>
      <c r="C390" s="1" t="s">
        <v>2867</v>
      </c>
      <c r="D390" s="1" t="s">
        <v>2868</v>
      </c>
      <c r="E390" s="1" t="s">
        <v>2869</v>
      </c>
      <c r="F390" s="1" t="s">
        <v>2870</v>
      </c>
      <c r="G390" s="3" t="str">
        <f>IFERROR(__xludf.DUMMYFUNCTION("AI(""Preencha um valor adequado para esta célula com base no contexto da tabela"")"),"Timon - MA")</f>
        <v>Timon - MA</v>
      </c>
      <c r="H390" s="2" t="s">
        <v>2871</v>
      </c>
      <c r="I390" s="1" t="s">
        <v>2872</v>
      </c>
      <c r="J390" s="3" t="str">
        <f>IFERROR(__xludf.DUMMYFUNCTION("IF(A390="""", """", IFS(REGEXMATCH(LOWER(A390), ""barbearia|barber""), ""Barbearia"", REGEXMATCH(LOWER(A390), ""sobrancelh|c[ií]lio|lash|micropigment|showbrancelhas""), ""Sobrancelhas e Cílios"", REGEXMATCH(LOWER(A390), ""maquia|make""), ""Maquiagem"", RE"&amp;"GEXMATCH(LOWER(A390), ""depil|epil""), ""Depilação"", REGEXMATCH(LOWER(A390), ""esmalteria|unha|nail|manicur|spa dos p[eé]s|kauu_nhas""), ""Manicure - Esmalteria"", REGEXMATCH(LOWER(A390), ""est[eé]tic|bronze|massot|terap|pilates|revitalize|dra""), ""Clín"&amp;"ica de Estética"", TRUE, ""Salão de Beleza""))"),"Salão de Beleza")</f>
        <v>Salão de Beleza</v>
      </c>
    </row>
    <row r="391">
      <c r="A391" s="1" t="s">
        <v>2873</v>
      </c>
      <c r="B391" s="1" t="s">
        <v>2874</v>
      </c>
      <c r="C391" s="1" t="s">
        <v>2875</v>
      </c>
      <c r="D391" s="1" t="s">
        <v>2876</v>
      </c>
      <c r="E391" s="1" t="s">
        <v>2877</v>
      </c>
      <c r="F391" s="1" t="s">
        <v>2878</v>
      </c>
      <c r="G391" s="3" t="str">
        <f>IFERROR(__xludf.DUMMYFUNCTION("AI(""Preencha um valor adequado para esta célula com base no contexto da tabela"")"),"Timon - MA")</f>
        <v>Timon - MA</v>
      </c>
      <c r="H391" s="2" t="s">
        <v>2879</v>
      </c>
      <c r="I391" s="1" t="s">
        <v>2880</v>
      </c>
      <c r="J391" s="3" t="str">
        <f>IFERROR(__xludf.DUMMYFUNCTION("IF(A391="""", """", IFS(REGEXMATCH(LOWER(A391), ""barbearia|barber""), ""Barbearia"", REGEXMATCH(LOWER(A391), ""sobrancelh|c[ií]lio|lash|micropigment|showbrancelhas""), ""Sobrancelhas e Cílios"", REGEXMATCH(LOWER(A391), ""maquia|make""), ""Maquiagem"", RE"&amp;"GEXMATCH(LOWER(A391), ""depil|epil""), ""Depilação"", REGEXMATCH(LOWER(A391), ""esmalteria|unha|nail|manicur|spa dos p[eé]s|kauu_nhas""), ""Manicure - Esmalteria"", REGEXMATCH(LOWER(A391), ""est[eé]tic|bronze|massot|terap|pilates|revitalize|dra""), ""Clín"&amp;"ica de Estética"", TRUE, ""Salão de Beleza""))"),"Salão de Beleza")</f>
        <v>Salão de Beleza</v>
      </c>
    </row>
    <row r="392">
      <c r="A392" s="1" t="s">
        <v>2881</v>
      </c>
      <c r="B392" s="1" t="s">
        <v>2882</v>
      </c>
      <c r="C392" s="1" t="s">
        <v>2883</v>
      </c>
      <c r="D392" s="1" t="s">
        <v>2884</v>
      </c>
      <c r="E392" s="1" t="s">
        <v>2885</v>
      </c>
      <c r="F392" s="1" t="s">
        <v>2886</v>
      </c>
      <c r="G392" s="3" t="str">
        <f>IFERROR(__xludf.DUMMYFUNCTION("AI(""Preencha um valor adequado para esta célula com base no contexto da tabela"")"),"Timon - MA")</f>
        <v>Timon - MA</v>
      </c>
      <c r="H392" s="2" t="s">
        <v>2887</v>
      </c>
      <c r="I392" s="1" t="s">
        <v>2888</v>
      </c>
      <c r="J392" s="3" t="str">
        <f>IFERROR(__xludf.DUMMYFUNCTION("IF(A392="""", """", IFS(REGEXMATCH(LOWER(A392), ""barbearia|barber""), ""Barbearia"", REGEXMATCH(LOWER(A392), ""sobrancelh|c[ií]lio|lash|micropigment|showbrancelhas""), ""Sobrancelhas e Cílios"", REGEXMATCH(LOWER(A392), ""maquia|make""), ""Maquiagem"", RE"&amp;"GEXMATCH(LOWER(A392), ""depil|epil""), ""Depilação"", REGEXMATCH(LOWER(A392), ""esmalteria|unha|nail|manicur|spa dos p[eé]s|kauu_nhas""), ""Manicure - Esmalteria"", REGEXMATCH(LOWER(A392), ""est[eé]tic|bronze|massot|terap|pilates|revitalize|dra""), ""Clín"&amp;"ica de Estética"", TRUE, ""Salão de Beleza""))"),"Salão de Beleza")</f>
        <v>Salão de Beleza</v>
      </c>
    </row>
    <row r="393">
      <c r="A393" s="1" t="s">
        <v>2889</v>
      </c>
      <c r="B393" s="1" t="s">
        <v>2890</v>
      </c>
      <c r="C393" s="1" t="s">
        <v>2891</v>
      </c>
      <c r="D393" s="1" t="s">
        <v>2892</v>
      </c>
      <c r="E393" s="1" t="s">
        <v>2893</v>
      </c>
      <c r="F393" s="1" t="s">
        <v>2894</v>
      </c>
      <c r="G393" s="3" t="str">
        <f>IFERROR(__xludf.DUMMYFUNCTION("AI(""Preencha um valor adequado para esta célula com base no contexto da tabela"")"),"Timon - MA")</f>
        <v>Timon - MA</v>
      </c>
      <c r="H393" s="2" t="s">
        <v>2895</v>
      </c>
      <c r="I393" s="1" t="s">
        <v>2896</v>
      </c>
      <c r="J393" s="3" t="str">
        <f>IFERROR(__xludf.DUMMYFUNCTION("IF(A393="""", """", IFS(REGEXMATCH(LOWER(A393), ""barbearia|barber""), ""Barbearia"", REGEXMATCH(LOWER(A393), ""sobrancelh|c[ií]lio|lash|micropigment|showbrancelhas""), ""Sobrancelhas e Cílios"", REGEXMATCH(LOWER(A393), ""maquia|make""), ""Maquiagem"", RE"&amp;"GEXMATCH(LOWER(A393), ""depil|epil""), ""Depilação"", REGEXMATCH(LOWER(A393), ""esmalteria|unha|nail|manicur|spa dos p[eé]s|kauu_nhas""), ""Manicure - Esmalteria"", REGEXMATCH(LOWER(A393), ""est[eé]tic|bronze|massot|terap|pilates|revitalize|dra""), ""Clín"&amp;"ica de Estética"", TRUE, ""Salão de Beleza""))"),"Manicure - Esmalteria")</f>
        <v>Manicure - Esmalteria</v>
      </c>
    </row>
    <row r="394">
      <c r="A394" s="1" t="s">
        <v>2897</v>
      </c>
      <c r="B394" s="1" t="s">
        <v>2835</v>
      </c>
      <c r="C394" s="1" t="s">
        <v>2836</v>
      </c>
      <c r="D394" s="1" t="s">
        <v>2898</v>
      </c>
      <c r="E394" s="1" t="s">
        <v>2899</v>
      </c>
      <c r="F394" s="1" t="s">
        <v>2900</v>
      </c>
      <c r="G394" s="3" t="str">
        <f>IFERROR(__xludf.DUMMYFUNCTION("AI(""Preencha um valor adequado para esta célula com base no contexto da tabela"")"),"Timon - MA")</f>
        <v>Timon - MA</v>
      </c>
      <c r="H394" s="2" t="s">
        <v>2901</v>
      </c>
      <c r="I394" s="1" t="s">
        <v>2902</v>
      </c>
      <c r="J394" s="3" t="str">
        <f>IFERROR(__xludf.DUMMYFUNCTION("IF(A394="""", """", IFS(REGEXMATCH(LOWER(A394), ""barbearia|barber""), ""Barbearia"", REGEXMATCH(LOWER(A394), ""sobrancelh|c[ií]lio|lash|micropigment|showbrancelhas""), ""Sobrancelhas e Cílios"", REGEXMATCH(LOWER(A394), ""maquia|make""), ""Maquiagem"", RE"&amp;"GEXMATCH(LOWER(A394), ""depil|epil""), ""Depilação"", REGEXMATCH(LOWER(A394), ""esmalteria|unha|nail|manicur|spa dos p[eé]s|kauu_nhas""), ""Manicure - Esmalteria"", REGEXMATCH(LOWER(A394), ""est[eé]tic|bronze|massot|terap|pilates|revitalize|dra""), ""Clín"&amp;"ica de Estética"", TRUE, ""Salão de Beleza""))"),"Manicure - Esmalteria")</f>
        <v>Manicure - Esmalteria</v>
      </c>
    </row>
    <row r="395">
      <c r="A395" s="1" t="s">
        <v>2903</v>
      </c>
      <c r="B395" s="1" t="s">
        <v>2904</v>
      </c>
      <c r="C395" s="1" t="s">
        <v>2905</v>
      </c>
      <c r="D395" s="1" t="s">
        <v>2906</v>
      </c>
      <c r="E395" s="1" t="s">
        <v>2907</v>
      </c>
      <c r="F395" s="1" t="s">
        <v>2908</v>
      </c>
      <c r="G395" s="3" t="str">
        <f>IFERROR(__xludf.DUMMYFUNCTION("AI(""Preencha um valor adequado para esta célula com base no contexto da tabela"")"),"Timon - MA")</f>
        <v>Timon - MA</v>
      </c>
      <c r="H395" s="2" t="s">
        <v>2909</v>
      </c>
      <c r="I395" s="1" t="s">
        <v>2910</v>
      </c>
      <c r="J395" s="3" t="str">
        <f>IFERROR(__xludf.DUMMYFUNCTION("IF(A395="""", """", IFS(REGEXMATCH(LOWER(A395), ""barbearia|barber""), ""Barbearia"", REGEXMATCH(LOWER(A395), ""sobrancelh|c[ií]lio|lash|micropigment|showbrancelhas""), ""Sobrancelhas e Cílios"", REGEXMATCH(LOWER(A395), ""maquia|make""), ""Maquiagem"", RE"&amp;"GEXMATCH(LOWER(A395), ""depil|epil""), ""Depilação"", REGEXMATCH(LOWER(A395), ""esmalteria|unha|nail|manicur|spa dos p[eé]s|kauu_nhas""), ""Manicure - Esmalteria"", REGEXMATCH(LOWER(A395), ""est[eé]tic|bronze|massot|terap|pilates|revitalize|dra""), ""Clín"&amp;"ica de Estética"", TRUE, ""Salão de Beleza""))"),"Salão de Beleza")</f>
        <v>Salão de Beleza</v>
      </c>
    </row>
    <row r="396">
      <c r="A396" s="1" t="s">
        <v>2911</v>
      </c>
      <c r="B396" s="1" t="s">
        <v>1847</v>
      </c>
      <c r="C396" s="1" t="s">
        <v>1848</v>
      </c>
      <c r="D396" s="1" t="s">
        <v>2912</v>
      </c>
      <c r="E396" s="1" t="s">
        <v>2913</v>
      </c>
      <c r="F396" s="1" t="s">
        <v>2914</v>
      </c>
      <c r="G396" s="3" t="str">
        <f>IFERROR(__xludf.DUMMYFUNCTION("AI(""Preencha um valor adequado para esta célula com base no contexto da tabela"")"),"Timon - MA")</f>
        <v>Timon - MA</v>
      </c>
      <c r="H396" s="2" t="s">
        <v>2915</v>
      </c>
      <c r="I396" s="1" t="s">
        <v>2916</v>
      </c>
      <c r="J396" s="3" t="str">
        <f>IFERROR(__xludf.DUMMYFUNCTION("IF(A396="""", """", IFS(REGEXMATCH(LOWER(A396), ""barbearia|barber""), ""Barbearia"", REGEXMATCH(LOWER(A396), ""sobrancelh|c[ií]lio|lash|micropigment|showbrancelhas""), ""Sobrancelhas e Cílios"", REGEXMATCH(LOWER(A396), ""maquia|make""), ""Maquiagem"", RE"&amp;"GEXMATCH(LOWER(A396), ""depil|epil""), ""Depilação"", REGEXMATCH(LOWER(A396), ""esmalteria|unha|nail|manicur|spa dos p[eé]s|kauu_nhas""), ""Manicure - Esmalteria"", REGEXMATCH(LOWER(A396), ""est[eé]tic|bronze|massot|terap|pilates|revitalize|dra""), ""Clín"&amp;"ica de Estética"", TRUE, ""Salão de Beleza""))"),"Manicure - Esmalteria")</f>
        <v>Manicure - Esmalteria</v>
      </c>
    </row>
    <row r="397">
      <c r="A397" s="1" t="s">
        <v>2917</v>
      </c>
      <c r="B397" s="1" t="s">
        <v>2918</v>
      </c>
      <c r="C397" s="1" t="s">
        <v>2919</v>
      </c>
      <c r="D397" s="1" t="s">
        <v>2920</v>
      </c>
      <c r="E397" s="1" t="s">
        <v>2921</v>
      </c>
      <c r="F397" s="1" t="s">
        <v>2922</v>
      </c>
      <c r="G397" s="3" t="str">
        <f>IFERROR(__xludf.DUMMYFUNCTION("AI(""Preencha um valor adequado para esta célula com base no contexto da tabela"")"),"Timon - MA")</f>
        <v>Timon - MA</v>
      </c>
      <c r="H397" s="2" t="s">
        <v>2923</v>
      </c>
      <c r="I397" s="1" t="s">
        <v>2924</v>
      </c>
      <c r="J397" s="3" t="str">
        <f>IFERROR(__xludf.DUMMYFUNCTION("IF(A397="""", """", IFS(REGEXMATCH(LOWER(A397), ""barbearia|barber""), ""Barbearia"", REGEXMATCH(LOWER(A397), ""sobrancelh|c[ií]lio|lash|micropigment|showbrancelhas""), ""Sobrancelhas e Cílios"", REGEXMATCH(LOWER(A397), ""maquia|make""), ""Maquiagem"", RE"&amp;"GEXMATCH(LOWER(A397), ""depil|epil""), ""Depilação"", REGEXMATCH(LOWER(A397), ""esmalteria|unha|nail|manicur|spa dos p[eé]s|kauu_nhas""), ""Manicure - Esmalteria"", REGEXMATCH(LOWER(A397), ""est[eé]tic|bronze|massot|terap|pilates|revitalize|dra""), ""Clín"&amp;"ica de Estética"", TRUE, ""Salão de Beleza""))"),"Manicure - Esmalteria")</f>
        <v>Manicure - Esmalteria</v>
      </c>
    </row>
    <row r="398">
      <c r="A398" s="1" t="s">
        <v>2925</v>
      </c>
      <c r="B398" s="1" t="s">
        <v>2926</v>
      </c>
      <c r="C398" s="1" t="s">
        <v>2927</v>
      </c>
      <c r="D398" s="1" t="s">
        <v>2928</v>
      </c>
      <c r="E398" s="1" t="s">
        <v>2929</v>
      </c>
      <c r="F398" s="1" t="s">
        <v>2930</v>
      </c>
      <c r="G398" s="3" t="str">
        <f>IFERROR(__xludf.DUMMYFUNCTION("AI(""Preencha um valor adequado para esta célula com base no contexto da tabela"")"),"Timon - MA")</f>
        <v>Timon - MA</v>
      </c>
      <c r="H398" s="2" t="s">
        <v>2931</v>
      </c>
      <c r="I398" s="1" t="s">
        <v>2932</v>
      </c>
      <c r="J398" s="3" t="str">
        <f>IFERROR(__xludf.DUMMYFUNCTION("IF(A398="""", """", IFS(REGEXMATCH(LOWER(A398), ""barbearia|barber""), ""Barbearia"", REGEXMATCH(LOWER(A398), ""sobrancelh|c[ií]lio|lash|micropigment|showbrancelhas""), ""Sobrancelhas e Cílios"", REGEXMATCH(LOWER(A398), ""maquia|make""), ""Maquiagem"", RE"&amp;"GEXMATCH(LOWER(A398), ""depil|epil""), ""Depilação"", REGEXMATCH(LOWER(A398), ""esmalteria|unha|nail|manicur|spa dos p[eé]s|kauu_nhas""), ""Manicure - Esmalteria"", REGEXMATCH(LOWER(A398), ""est[eé]tic|bronze|massot|terap|pilates|revitalize|dra""), ""Clín"&amp;"ica de Estética"", TRUE, ""Salão de Beleza""))"),"Depilação")</f>
        <v>Depilação</v>
      </c>
    </row>
    <row r="399">
      <c r="A399" s="1" t="s">
        <v>2933</v>
      </c>
      <c r="B399" s="1" t="s">
        <v>2934</v>
      </c>
      <c r="C399" s="1" t="s">
        <v>2935</v>
      </c>
      <c r="D399" s="1" t="s">
        <v>2936</v>
      </c>
      <c r="E399" s="1" t="s">
        <v>2937</v>
      </c>
      <c r="F399" s="1" t="s">
        <v>2938</v>
      </c>
      <c r="G399" s="3" t="str">
        <f>IFERROR(__xludf.DUMMYFUNCTION("AI(""Preencha um valor adequado para esta célula com base no contexto da tabela"")"),"Timon - MA")</f>
        <v>Timon - MA</v>
      </c>
      <c r="H399" s="2" t="s">
        <v>2939</v>
      </c>
      <c r="I399" s="1" t="s">
        <v>2940</v>
      </c>
      <c r="J399" s="3" t="str">
        <f>IFERROR(__xludf.DUMMYFUNCTION("IF(A399="""", """", IFS(REGEXMATCH(LOWER(A399), ""barbearia|barber""), ""Barbearia"", REGEXMATCH(LOWER(A399), ""sobrancelh|c[ií]lio|lash|micropigment|showbrancelhas""), ""Sobrancelhas e Cílios"", REGEXMATCH(LOWER(A399), ""maquia|make""), ""Maquiagem"", RE"&amp;"GEXMATCH(LOWER(A399), ""depil|epil""), ""Depilação"", REGEXMATCH(LOWER(A399), ""esmalteria|unha|nail|manicur|spa dos p[eé]s|kauu_nhas""), ""Manicure - Esmalteria"", REGEXMATCH(LOWER(A399), ""est[eé]tic|bronze|massot|terap|pilates|revitalize|dra""), ""Clín"&amp;"ica de Estética"", TRUE, ""Salão de Beleza""))"),"Salão de Beleza")</f>
        <v>Salão de Beleza</v>
      </c>
    </row>
    <row r="400">
      <c r="A400" s="1" t="s">
        <v>2941</v>
      </c>
      <c r="B400" s="1" t="s">
        <v>2942</v>
      </c>
      <c r="C400" s="1" t="s">
        <v>2943</v>
      </c>
      <c r="D400" s="1" t="s">
        <v>2944</v>
      </c>
      <c r="E400" s="1" t="s">
        <v>2945</v>
      </c>
      <c r="F400" s="1" t="s">
        <v>2946</v>
      </c>
      <c r="G400" s="3" t="str">
        <f>IFERROR(__xludf.DUMMYFUNCTION("AI(""Preencha um valor adequado para esta célula com base no contexto da tabela"")"),"Timon - MA")</f>
        <v>Timon - MA</v>
      </c>
      <c r="H400" s="2" t="s">
        <v>2947</v>
      </c>
      <c r="I400" s="1" t="s">
        <v>2948</v>
      </c>
      <c r="J400" s="3" t="str">
        <f>IFERROR(__xludf.DUMMYFUNCTION("IF(A400="""", """", IFS(REGEXMATCH(LOWER(A400), ""barbearia|barber""), ""Barbearia"", REGEXMATCH(LOWER(A400), ""sobrancelh|c[ií]lio|lash|micropigment|showbrancelhas""), ""Sobrancelhas e Cílios"", REGEXMATCH(LOWER(A400), ""maquia|make""), ""Maquiagem"", RE"&amp;"GEXMATCH(LOWER(A400), ""depil|epil""), ""Depilação"", REGEXMATCH(LOWER(A400), ""esmalteria|unha|nail|manicur|spa dos p[eé]s|kauu_nhas""), ""Manicure - Esmalteria"", REGEXMATCH(LOWER(A400), ""est[eé]tic|bronze|massot|terap|pilates|revitalize|dra""), ""Clín"&amp;"ica de Estética"", TRUE, ""Salão de Beleza""))"),"Salão de Beleza")</f>
        <v>Salão de Beleza</v>
      </c>
    </row>
    <row r="401">
      <c r="A401" s="1" t="s">
        <v>2949</v>
      </c>
      <c r="B401" s="1" t="s">
        <v>2950</v>
      </c>
      <c r="C401" s="1" t="s">
        <v>2951</v>
      </c>
      <c r="D401" s="1" t="s">
        <v>2952</v>
      </c>
      <c r="E401" s="1" t="s">
        <v>2953</v>
      </c>
      <c r="F401" s="1" t="s">
        <v>2954</v>
      </c>
      <c r="G401" s="3" t="str">
        <f>IFERROR(__xludf.DUMMYFUNCTION("AI(""Preencha um valor adequado para esta célula com base no contexto da tabela"")"),"Timon - MA")</f>
        <v>Timon - MA</v>
      </c>
      <c r="H401" s="2" t="s">
        <v>2955</v>
      </c>
      <c r="I401" s="1" t="s">
        <v>2956</v>
      </c>
      <c r="J401" s="3" t="str">
        <f>IFERROR(__xludf.DUMMYFUNCTION("IF(A401="""", """", IFS(REGEXMATCH(LOWER(A401), ""barbearia|barber""), ""Barbearia"", REGEXMATCH(LOWER(A401), ""sobrancelh|c[ií]lio|lash|micropigment|showbrancelhas""), ""Sobrancelhas e Cílios"", REGEXMATCH(LOWER(A401), ""maquia|make""), ""Maquiagem"", RE"&amp;"GEXMATCH(LOWER(A401), ""depil|epil""), ""Depilação"", REGEXMATCH(LOWER(A401), ""esmalteria|unha|nail|manicur|spa dos p[eé]s|kauu_nhas""), ""Manicure - Esmalteria"", REGEXMATCH(LOWER(A401), ""est[eé]tic|bronze|massot|terap|pilates|revitalize|dra""), ""Clín"&amp;"ica de Estética"", TRUE, ""Salão de Beleza""))"),"Salão de Beleza")</f>
        <v>Salão de Beleza</v>
      </c>
    </row>
    <row r="402">
      <c r="A402" s="1" t="s">
        <v>2957</v>
      </c>
      <c r="B402" s="1" t="s">
        <v>2958</v>
      </c>
      <c r="C402" s="1" t="s">
        <v>2959</v>
      </c>
      <c r="D402" s="1" t="s">
        <v>2960</v>
      </c>
      <c r="E402" s="1" t="s">
        <v>2961</v>
      </c>
      <c r="F402" s="1" t="s">
        <v>2962</v>
      </c>
      <c r="G402" s="3" t="str">
        <f>IFERROR(__xludf.DUMMYFUNCTION("AI(""Preencha um valor adequado para esta célula com base no contexto da tabela"")"),"Timon - MA")</f>
        <v>Timon - MA</v>
      </c>
      <c r="H402" s="2" t="s">
        <v>2963</v>
      </c>
      <c r="I402" s="1" t="s">
        <v>2964</v>
      </c>
      <c r="J402" s="3" t="str">
        <f>IFERROR(__xludf.DUMMYFUNCTION("IF(A402="""", """", IFS(REGEXMATCH(LOWER(A402), ""barbearia|barber""), ""Barbearia"", REGEXMATCH(LOWER(A402), ""sobrancelh|c[ií]lio|lash|micropigment|showbrancelhas""), ""Sobrancelhas e Cílios"", REGEXMATCH(LOWER(A402), ""maquia|make""), ""Maquiagem"", RE"&amp;"GEXMATCH(LOWER(A402), ""depil|epil""), ""Depilação"", REGEXMATCH(LOWER(A402), ""esmalteria|unha|nail|manicur|spa dos p[eé]s|kauu_nhas""), ""Manicure - Esmalteria"", REGEXMATCH(LOWER(A402), ""est[eé]tic|bronze|massot|terap|pilates|revitalize|dra""), ""Clín"&amp;"ica de Estética"", TRUE, ""Salão de Beleza""))"),"Sobrancelhas e Cílios")</f>
        <v>Sobrancelhas e Cílios</v>
      </c>
    </row>
    <row r="403">
      <c r="A403" s="1" t="s">
        <v>2965</v>
      </c>
      <c r="B403" s="1" t="s">
        <v>2966</v>
      </c>
      <c r="C403" s="1" t="s">
        <v>2967</v>
      </c>
      <c r="D403" s="1" t="s">
        <v>2968</v>
      </c>
      <c r="E403" s="1" t="s">
        <v>2969</v>
      </c>
      <c r="F403" s="1" t="s">
        <v>2970</v>
      </c>
      <c r="G403" s="3" t="str">
        <f>IFERROR(__xludf.DUMMYFUNCTION("AI(""Preencha um valor adequado para esta célula com base no contexto da tabela"")"),"Timon - MA")</f>
        <v>Timon - MA</v>
      </c>
      <c r="H403" s="2" t="s">
        <v>2971</v>
      </c>
      <c r="I403" s="1" t="s">
        <v>2972</v>
      </c>
      <c r="J403" s="3" t="str">
        <f>IFERROR(__xludf.DUMMYFUNCTION("IF(A403="""", """", IFS(REGEXMATCH(LOWER(A403), ""barbearia|barber""), ""Barbearia"", REGEXMATCH(LOWER(A403), ""sobrancelh|c[ií]lio|lash|micropigment|showbrancelhas""), ""Sobrancelhas e Cílios"", REGEXMATCH(LOWER(A403), ""maquia|make""), ""Maquiagem"", RE"&amp;"GEXMATCH(LOWER(A403), ""depil|epil""), ""Depilação"", REGEXMATCH(LOWER(A403), ""esmalteria|unha|nail|manicur|spa dos p[eé]s|kauu_nhas""), ""Manicure - Esmalteria"", REGEXMATCH(LOWER(A403), ""est[eé]tic|bronze|massot|terap|pilates|revitalize|dra""), ""Clín"&amp;"ica de Estética"", TRUE, ""Salão de Beleza""))"),"Manicure - Esmalteria")</f>
        <v>Manicure - Esmalteria</v>
      </c>
    </row>
    <row r="404">
      <c r="A404" s="1" t="s">
        <v>2973</v>
      </c>
      <c r="D404" s="1" t="s">
        <v>2974</v>
      </c>
      <c r="E404" s="1" t="s">
        <v>2975</v>
      </c>
      <c r="F404" s="1" t="s">
        <v>2976</v>
      </c>
      <c r="G404" s="3" t="str">
        <f>IFERROR(__xludf.DUMMYFUNCTION("AI(""Preencha um valor adequado para esta célula com base no contexto da tabela"")"),"Timon - MA")</f>
        <v>Timon - MA</v>
      </c>
      <c r="H404" s="2" t="s">
        <v>2977</v>
      </c>
      <c r="I404" s="1" t="s">
        <v>2978</v>
      </c>
      <c r="J404" s="3" t="str">
        <f>IFERROR(__xludf.DUMMYFUNCTION("IF(A404="""", """", IFS(REGEXMATCH(LOWER(A404), ""barbearia|barber""), ""Barbearia"", REGEXMATCH(LOWER(A404), ""sobrancelh|c[ií]lio|lash|micropigment|showbrancelhas""), ""Sobrancelhas e Cílios"", REGEXMATCH(LOWER(A404), ""maquia|make""), ""Maquiagem"", RE"&amp;"GEXMATCH(LOWER(A404), ""depil|epil""), ""Depilação"", REGEXMATCH(LOWER(A404), ""esmalteria|unha|nail|manicur|spa dos p[eé]s|kauu_nhas""), ""Manicure - Esmalteria"", REGEXMATCH(LOWER(A404), ""est[eé]tic|bronze|massot|terap|pilates|revitalize|dra""), ""Clín"&amp;"ica de Estética"", TRUE, ""Salão de Beleza""))"),"Salão de Beleza")</f>
        <v>Salão de Beleza</v>
      </c>
    </row>
    <row r="405">
      <c r="A405" s="1" t="s">
        <v>2979</v>
      </c>
      <c r="D405" s="1" t="s">
        <v>2980</v>
      </c>
      <c r="E405" s="1" t="s">
        <v>2981</v>
      </c>
      <c r="F405" s="1" t="s">
        <v>2982</v>
      </c>
      <c r="G405" s="3" t="str">
        <f>IFERROR(__xludf.DUMMYFUNCTION("AI(""Preencha um valor adequado para esta célula com base no contexto da tabela"")"),"Timon - MA")</f>
        <v>Timon - MA</v>
      </c>
      <c r="H405" s="2" t="s">
        <v>2983</v>
      </c>
      <c r="I405" s="1" t="s">
        <v>551</v>
      </c>
      <c r="J405" s="3" t="str">
        <f>IFERROR(__xludf.DUMMYFUNCTION("IF(A405="""", """", IFS(REGEXMATCH(LOWER(A405), ""barbearia|barber""), ""Barbearia"", REGEXMATCH(LOWER(A405), ""sobrancelh|c[ií]lio|lash|micropigment|showbrancelhas""), ""Sobrancelhas e Cílios"", REGEXMATCH(LOWER(A405), ""maquia|make""), ""Maquiagem"", RE"&amp;"GEXMATCH(LOWER(A405), ""depil|epil""), ""Depilação"", REGEXMATCH(LOWER(A405), ""esmalteria|unha|nail|manicur|spa dos p[eé]s|kauu_nhas""), ""Manicure - Esmalteria"", REGEXMATCH(LOWER(A405), ""est[eé]tic|bronze|massot|terap|pilates|revitalize|dra""), ""Clín"&amp;"ica de Estética"", TRUE, ""Salão de Beleza""))"),"Clínica de Estética")</f>
        <v>Clínica de Estética</v>
      </c>
    </row>
    <row r="406">
      <c r="A406" s="1" t="s">
        <v>2984</v>
      </c>
      <c r="D406" s="1" t="s">
        <v>2985</v>
      </c>
      <c r="E406" s="1" t="s">
        <v>2986</v>
      </c>
      <c r="F406" s="1" t="s">
        <v>2987</v>
      </c>
      <c r="G406" s="3" t="str">
        <f>IFERROR(__xludf.DUMMYFUNCTION("AI(""Preencha um valor adequado para esta célula com base no contexto da tabela"")"),"Timon - MA")</f>
        <v>Timon - MA</v>
      </c>
      <c r="H406" s="2" t="s">
        <v>2988</v>
      </c>
      <c r="I406" s="1" t="s">
        <v>2989</v>
      </c>
      <c r="J406" s="3" t="str">
        <f>IFERROR(__xludf.DUMMYFUNCTION("IF(A406="""", """", IFS(REGEXMATCH(LOWER(A406), ""barbearia|barber""), ""Barbearia"", REGEXMATCH(LOWER(A406), ""sobrancelh|c[ií]lio|lash|micropigment|showbrancelhas""), ""Sobrancelhas e Cílios"", REGEXMATCH(LOWER(A406), ""maquia|make""), ""Maquiagem"", RE"&amp;"GEXMATCH(LOWER(A406), ""depil|epil""), ""Depilação"", REGEXMATCH(LOWER(A406), ""esmalteria|unha|nail|manicur|spa dos p[eé]s|kauu_nhas""), ""Manicure - Esmalteria"", REGEXMATCH(LOWER(A406), ""est[eé]tic|bronze|massot|terap|pilates|revitalize|dra""), ""Clín"&amp;"ica de Estética"", TRUE, ""Salão de Beleza""))"),"Salão de Beleza")</f>
        <v>Salão de Beleza</v>
      </c>
    </row>
    <row r="407">
      <c r="A407" s="1" t="s">
        <v>2990</v>
      </c>
      <c r="B407" s="1" t="s">
        <v>2991</v>
      </c>
      <c r="C407" s="1" t="s">
        <v>2992</v>
      </c>
      <c r="D407" s="1" t="s">
        <v>2993</v>
      </c>
      <c r="E407" s="1" t="s">
        <v>2994</v>
      </c>
      <c r="F407" s="1" t="s">
        <v>2995</v>
      </c>
      <c r="G407" s="3" t="str">
        <f>IFERROR(__xludf.DUMMYFUNCTION("AI(""Preencha um valor adequado para esta célula com base no contexto da tabela"")"),"Timon - MA")</f>
        <v>Timon - MA</v>
      </c>
      <c r="H407" s="2" t="s">
        <v>2996</v>
      </c>
      <c r="I407" s="1" t="s">
        <v>1607</v>
      </c>
      <c r="J407" s="3" t="str">
        <f>IFERROR(__xludf.DUMMYFUNCTION("IF(A407="""", """", IFS(REGEXMATCH(LOWER(A407), ""barbearia|barber""), ""Barbearia"", REGEXMATCH(LOWER(A407), ""sobrancelh|c[ií]lio|lash|micropigment|showbrancelhas""), ""Sobrancelhas e Cílios"", REGEXMATCH(LOWER(A407), ""maquia|make""), ""Maquiagem"", RE"&amp;"GEXMATCH(LOWER(A407), ""depil|epil""), ""Depilação"", REGEXMATCH(LOWER(A407), ""esmalteria|unha|nail|manicur|spa dos p[eé]s|kauu_nhas""), ""Manicure - Esmalteria"", REGEXMATCH(LOWER(A407), ""est[eé]tic|bronze|massot|terap|pilates|revitalize|dra""), ""Clín"&amp;"ica de Estética"", TRUE, ""Salão de Beleza""))"),"Salão de Beleza")</f>
        <v>Salão de Beleza</v>
      </c>
    </row>
    <row r="408">
      <c r="A408" s="1" t="s">
        <v>2997</v>
      </c>
      <c r="D408" s="1" t="s">
        <v>2998</v>
      </c>
      <c r="E408" s="1" t="s">
        <v>2999</v>
      </c>
      <c r="F408" s="1" t="s">
        <v>3000</v>
      </c>
      <c r="G408" s="3" t="str">
        <f>IFERROR(__xludf.DUMMYFUNCTION("AI(""Preencha um valor adequado para esta célula com base no contexto da tabela"")"),"Timon - MA")</f>
        <v>Timon - MA</v>
      </c>
      <c r="H408" s="2" t="s">
        <v>3001</v>
      </c>
      <c r="I408" s="1" t="s">
        <v>3002</v>
      </c>
      <c r="J408" s="3" t="str">
        <f>IFERROR(__xludf.DUMMYFUNCTION("IF(A408="""", """", IFS(REGEXMATCH(LOWER(A408), ""barbearia|barber""), ""Barbearia"", REGEXMATCH(LOWER(A408), ""sobrancelh|c[ií]lio|lash|micropigment|showbrancelhas""), ""Sobrancelhas e Cílios"", REGEXMATCH(LOWER(A408), ""maquia|make""), ""Maquiagem"", RE"&amp;"GEXMATCH(LOWER(A408), ""depil|epil""), ""Depilação"", REGEXMATCH(LOWER(A408), ""esmalteria|unha|nail|manicur|spa dos p[eé]s|kauu_nhas""), ""Manicure - Esmalteria"", REGEXMATCH(LOWER(A408), ""est[eé]tic|bronze|massot|terap|pilates|revitalize|dra""), ""Clín"&amp;"ica de Estética"", TRUE, ""Salão de Beleza""))"),"Salão de Beleza")</f>
        <v>Salão de Beleza</v>
      </c>
    </row>
    <row r="409">
      <c r="A409" s="1" t="s">
        <v>3003</v>
      </c>
      <c r="B409" s="1" t="s">
        <v>3004</v>
      </c>
      <c r="C409" s="1" t="s">
        <v>3005</v>
      </c>
      <c r="D409" s="1" t="s">
        <v>3006</v>
      </c>
      <c r="E409" s="1" t="s">
        <v>3007</v>
      </c>
      <c r="F409" s="1" t="s">
        <v>3008</v>
      </c>
      <c r="G409" s="3" t="str">
        <f>IFERROR(__xludf.DUMMYFUNCTION("AI(""Preencha um valor adequado para esta célula com base no contexto da tabela"")"),"Timon - MA")</f>
        <v>Timon - MA</v>
      </c>
      <c r="H409" s="2" t="s">
        <v>3009</v>
      </c>
      <c r="I409" s="1" t="s">
        <v>3010</v>
      </c>
      <c r="J409" s="3" t="str">
        <f>IFERROR(__xludf.DUMMYFUNCTION("IF(A409="""", """", IFS(REGEXMATCH(LOWER(A409), ""barbearia|barber""), ""Barbearia"", REGEXMATCH(LOWER(A409), ""sobrancelh|c[ií]lio|lash|micropigment|showbrancelhas""), ""Sobrancelhas e Cílios"", REGEXMATCH(LOWER(A409), ""maquia|make""), ""Maquiagem"", RE"&amp;"GEXMATCH(LOWER(A409), ""depil|epil""), ""Depilação"", REGEXMATCH(LOWER(A409), ""esmalteria|unha|nail|manicur|spa dos p[eé]s|kauu_nhas""), ""Manicure - Esmalteria"", REGEXMATCH(LOWER(A409), ""est[eé]tic|bronze|massot|terap|pilates|revitalize|dra""), ""Clín"&amp;"ica de Estética"", TRUE, ""Salão de Beleza""))"),"Salão de Beleza")</f>
        <v>Salão de Beleza</v>
      </c>
    </row>
    <row r="410">
      <c r="A410" s="1" t="s">
        <v>3011</v>
      </c>
      <c r="B410" s="1" t="s">
        <v>3012</v>
      </c>
      <c r="C410" s="1" t="s">
        <v>3013</v>
      </c>
      <c r="D410" s="1" t="s">
        <v>3014</v>
      </c>
      <c r="E410" s="1" t="s">
        <v>3015</v>
      </c>
      <c r="F410" s="1" t="s">
        <v>3016</v>
      </c>
      <c r="G410" s="3" t="str">
        <f>IFERROR(__xludf.DUMMYFUNCTION("AI(""Preencha um valor adequado para esta célula com base no contexto da tabela"")"),"Timon - MA")</f>
        <v>Timon - MA</v>
      </c>
      <c r="H410" s="2" t="s">
        <v>3017</v>
      </c>
      <c r="I410" s="1" t="s">
        <v>3018</v>
      </c>
      <c r="J410" s="3" t="str">
        <f>IFERROR(__xludf.DUMMYFUNCTION("IF(A410="""", """", IFS(REGEXMATCH(LOWER(A410), ""barbearia|barber""), ""Barbearia"", REGEXMATCH(LOWER(A410), ""sobrancelh|c[ií]lio|lash|micropigment|showbrancelhas""), ""Sobrancelhas e Cílios"", REGEXMATCH(LOWER(A410), ""maquia|make""), ""Maquiagem"", RE"&amp;"GEXMATCH(LOWER(A410), ""depil|epil""), ""Depilação"", REGEXMATCH(LOWER(A410), ""esmalteria|unha|nail|manicur|spa dos p[eé]s|kauu_nhas""), ""Manicure - Esmalteria"", REGEXMATCH(LOWER(A410), ""est[eé]tic|bronze|massot|terap|pilates|revitalize|dra""), ""Clín"&amp;"ica de Estética"", TRUE, ""Salão de Beleza""))"),"Manicure - Esmalteria")</f>
        <v>Manicure - Esmalteria</v>
      </c>
    </row>
    <row r="411">
      <c r="A411" s="1" t="s">
        <v>3019</v>
      </c>
      <c r="D411" s="1" t="s">
        <v>3020</v>
      </c>
      <c r="E411" s="1" t="s">
        <v>3021</v>
      </c>
      <c r="F411" s="1" t="s">
        <v>3022</v>
      </c>
      <c r="G411" s="3" t="str">
        <f>IFERROR(__xludf.DUMMYFUNCTION("AI(""Preencha um valor adequado para esta célula com base no contexto da tabela"")"),"Timon - MA")</f>
        <v>Timon - MA</v>
      </c>
      <c r="H411" s="2" t="s">
        <v>3023</v>
      </c>
      <c r="I411" s="1" t="s">
        <v>3024</v>
      </c>
      <c r="J411" s="3" t="str">
        <f>IFERROR(__xludf.DUMMYFUNCTION("IF(A411="""", """", IFS(REGEXMATCH(LOWER(A411), ""barbearia|barber""), ""Barbearia"", REGEXMATCH(LOWER(A411), ""sobrancelh|c[ií]lio|lash|micropigment|showbrancelhas""), ""Sobrancelhas e Cílios"", REGEXMATCH(LOWER(A411), ""maquia|make""), ""Maquiagem"", RE"&amp;"GEXMATCH(LOWER(A411), ""depil|epil""), ""Depilação"", REGEXMATCH(LOWER(A411), ""esmalteria|unha|nail|manicur|spa dos p[eé]s|kauu_nhas""), ""Manicure - Esmalteria"", REGEXMATCH(LOWER(A411), ""est[eé]tic|bronze|massot|terap|pilates|revitalize|dra""), ""Clín"&amp;"ica de Estética"", TRUE, ""Salão de Beleza""))"),"Manicure - Esmalteria")</f>
        <v>Manicure - Esmalteria</v>
      </c>
    </row>
    <row r="412">
      <c r="A412" s="1" t="s">
        <v>3025</v>
      </c>
      <c r="B412" s="1" t="s">
        <v>3026</v>
      </c>
      <c r="C412" s="1" t="s">
        <v>3027</v>
      </c>
      <c r="D412" s="1" t="s">
        <v>3028</v>
      </c>
      <c r="E412" s="1" t="s">
        <v>3029</v>
      </c>
      <c r="F412" s="1" t="s">
        <v>3030</v>
      </c>
      <c r="G412" s="3" t="str">
        <f>IFERROR(__xludf.DUMMYFUNCTION("AI(""Preencha um valor adequado para esta célula com base no contexto da tabela"")"),"Timon - MA")</f>
        <v>Timon - MA</v>
      </c>
      <c r="H412" s="2" t="s">
        <v>3031</v>
      </c>
      <c r="I412" s="1" t="s">
        <v>3032</v>
      </c>
      <c r="J412" s="3" t="str">
        <f>IFERROR(__xludf.DUMMYFUNCTION("IF(A412="""", """", IFS(REGEXMATCH(LOWER(A412), ""barbearia|barber""), ""Barbearia"", REGEXMATCH(LOWER(A412), ""sobrancelh|c[ií]lio|lash|micropigment|showbrancelhas""), ""Sobrancelhas e Cílios"", REGEXMATCH(LOWER(A412), ""maquia|make""), ""Maquiagem"", RE"&amp;"GEXMATCH(LOWER(A412), ""depil|epil""), ""Depilação"", REGEXMATCH(LOWER(A412), ""esmalteria|unha|nail|manicur|spa dos p[eé]s|kauu_nhas""), ""Manicure - Esmalteria"", REGEXMATCH(LOWER(A412), ""est[eé]tic|bronze|massot|terap|pilates|revitalize|dra""), ""Clín"&amp;"ica de Estética"", TRUE, ""Salão de Beleza""))"),"Sobrancelhas e Cílios")</f>
        <v>Sobrancelhas e Cílios</v>
      </c>
    </row>
    <row r="413">
      <c r="A413" s="1" t="s">
        <v>3033</v>
      </c>
      <c r="B413" s="1" t="s">
        <v>3034</v>
      </c>
      <c r="C413" s="1" t="s">
        <v>3035</v>
      </c>
      <c r="D413" s="1" t="s">
        <v>3036</v>
      </c>
      <c r="E413" s="1" t="s">
        <v>3037</v>
      </c>
      <c r="F413" s="1" t="s">
        <v>3038</v>
      </c>
      <c r="G413" s="3" t="str">
        <f>IFERROR(__xludf.DUMMYFUNCTION("AI(""Preencha um valor adequado para esta célula com base no contexto da tabela"")"),"Timon - MA")</f>
        <v>Timon - MA</v>
      </c>
      <c r="H413" s="2" t="s">
        <v>3039</v>
      </c>
      <c r="I413" s="1" t="s">
        <v>3040</v>
      </c>
      <c r="J413" s="3" t="str">
        <f>IFERROR(__xludf.DUMMYFUNCTION("IF(A413="""", """", IFS(REGEXMATCH(LOWER(A413), ""barbearia|barber""), ""Barbearia"", REGEXMATCH(LOWER(A413), ""sobrancelh|c[ií]lio|lash|micropigment|showbrancelhas""), ""Sobrancelhas e Cílios"", REGEXMATCH(LOWER(A413), ""maquia|make""), ""Maquiagem"", RE"&amp;"GEXMATCH(LOWER(A413), ""depil|epil""), ""Depilação"", REGEXMATCH(LOWER(A413), ""esmalteria|unha|nail|manicur|spa dos p[eé]s|kauu_nhas""), ""Manicure - Esmalteria"", REGEXMATCH(LOWER(A413), ""est[eé]tic|bronze|massot|terap|pilates|revitalize|dra""), ""Clín"&amp;"ica de Estética"", TRUE, ""Salão de Beleza""))"),"Manicure - Esmalteria")</f>
        <v>Manicure - Esmalteria</v>
      </c>
    </row>
    <row r="414">
      <c r="A414" s="1" t="s">
        <v>3041</v>
      </c>
      <c r="D414" s="1" t="s">
        <v>3042</v>
      </c>
      <c r="E414" s="1" t="s">
        <v>3043</v>
      </c>
      <c r="F414" s="1" t="s">
        <v>3044</v>
      </c>
      <c r="G414" s="3" t="str">
        <f>IFERROR(__xludf.DUMMYFUNCTION("AI(""Preencha um valor adequado para esta célula com base no contexto da tabela"")"),"Timon - MA")</f>
        <v>Timon - MA</v>
      </c>
      <c r="H414" s="2" t="s">
        <v>3045</v>
      </c>
      <c r="I414" s="1" t="s">
        <v>3046</v>
      </c>
      <c r="J414" s="3" t="str">
        <f>IFERROR(__xludf.DUMMYFUNCTION("IF(A414="""", """", IFS(REGEXMATCH(LOWER(A414), ""barbearia|barber""), ""Barbearia"", REGEXMATCH(LOWER(A414), ""sobrancelh|c[ií]lio|lash|micropigment|showbrancelhas""), ""Sobrancelhas e Cílios"", REGEXMATCH(LOWER(A414), ""maquia|make""), ""Maquiagem"", RE"&amp;"GEXMATCH(LOWER(A414), ""depil|epil""), ""Depilação"", REGEXMATCH(LOWER(A414), ""esmalteria|unha|nail|manicur|spa dos p[eé]s|kauu_nhas""), ""Manicure - Esmalteria"", REGEXMATCH(LOWER(A414), ""est[eé]tic|bronze|massot|terap|pilates|revitalize|dra""), ""Clín"&amp;"ica de Estética"", TRUE, ""Salão de Beleza""))"),"Salão de Beleza")</f>
        <v>Salão de Beleza</v>
      </c>
    </row>
    <row r="415">
      <c r="A415" s="1" t="s">
        <v>3047</v>
      </c>
      <c r="B415" s="1" t="s">
        <v>3048</v>
      </c>
      <c r="C415" s="1" t="s">
        <v>3049</v>
      </c>
      <c r="D415" s="1" t="s">
        <v>3050</v>
      </c>
      <c r="E415" s="1" t="s">
        <v>3051</v>
      </c>
      <c r="F415" s="1" t="s">
        <v>3052</v>
      </c>
      <c r="G415" s="3" t="str">
        <f>IFERROR(__xludf.DUMMYFUNCTION("AI(""Preencha um valor adequado para esta célula com base no contexto da tabela"")"),"Timon - MA")</f>
        <v>Timon - MA</v>
      </c>
      <c r="H415" s="2" t="s">
        <v>3053</v>
      </c>
      <c r="I415" s="1" t="s">
        <v>3054</v>
      </c>
      <c r="J415" s="3" t="str">
        <f>IFERROR(__xludf.DUMMYFUNCTION("IF(A415="""", """", IFS(REGEXMATCH(LOWER(A415), ""barbearia|barber""), ""Barbearia"", REGEXMATCH(LOWER(A415), ""sobrancelh|c[ií]lio|lash|micropigment|showbrancelhas""), ""Sobrancelhas e Cílios"", REGEXMATCH(LOWER(A415), ""maquia|make""), ""Maquiagem"", RE"&amp;"GEXMATCH(LOWER(A415), ""depil|epil""), ""Depilação"", REGEXMATCH(LOWER(A415), ""esmalteria|unha|nail|manicur|spa dos p[eé]s|kauu_nhas""), ""Manicure - Esmalteria"", REGEXMATCH(LOWER(A415), ""est[eé]tic|bronze|massot|terap|pilates|revitalize|dra""), ""Clín"&amp;"ica de Estética"", TRUE, ""Salão de Beleza""))"),"Sobrancelhas e Cílios")</f>
        <v>Sobrancelhas e Cílios</v>
      </c>
    </row>
    <row r="416">
      <c r="A416" s="1" t="s">
        <v>3055</v>
      </c>
      <c r="B416" s="1" t="s">
        <v>3056</v>
      </c>
      <c r="C416" s="1" t="s">
        <v>3057</v>
      </c>
      <c r="D416" s="1" t="s">
        <v>3058</v>
      </c>
      <c r="E416" s="1" t="s">
        <v>3059</v>
      </c>
      <c r="F416" s="1" t="s">
        <v>3060</v>
      </c>
      <c r="G416" s="3" t="str">
        <f>IFERROR(__xludf.DUMMYFUNCTION("AI(""Preencha um valor adequado para esta célula com base no contexto da tabela"")"),"Timon - MA")</f>
        <v>Timon - MA</v>
      </c>
      <c r="H416" s="2" t="s">
        <v>3061</v>
      </c>
      <c r="I416" s="1" t="s">
        <v>3062</v>
      </c>
      <c r="J416" s="3" t="str">
        <f>IFERROR(__xludf.DUMMYFUNCTION("IF(A416="""", """", IFS(REGEXMATCH(LOWER(A416), ""barbearia|barber""), ""Barbearia"", REGEXMATCH(LOWER(A416), ""sobrancelh|c[ií]lio|lash|micropigment|showbrancelhas""), ""Sobrancelhas e Cílios"", REGEXMATCH(LOWER(A416), ""maquia|make""), ""Maquiagem"", RE"&amp;"GEXMATCH(LOWER(A416), ""depil|epil""), ""Depilação"", REGEXMATCH(LOWER(A416), ""esmalteria|unha|nail|manicur|spa dos p[eé]s|kauu_nhas""), ""Manicure - Esmalteria"", REGEXMATCH(LOWER(A416), ""est[eé]tic|bronze|massot|terap|pilates|revitalize|dra""), ""Clín"&amp;"ica de Estética"", TRUE, ""Salão de Beleza""))"),"Salão de Beleza")</f>
        <v>Salão de Beleza</v>
      </c>
    </row>
    <row r="417">
      <c r="A417" s="1" t="s">
        <v>3063</v>
      </c>
      <c r="B417" s="1" t="s">
        <v>3064</v>
      </c>
      <c r="C417" s="1" t="s">
        <v>3065</v>
      </c>
      <c r="D417" s="1" t="s">
        <v>3066</v>
      </c>
      <c r="E417" s="1" t="s">
        <v>3067</v>
      </c>
      <c r="F417" s="1" t="s">
        <v>3068</v>
      </c>
      <c r="G417" s="3" t="str">
        <f>IFERROR(__xludf.DUMMYFUNCTION("AI(""Preencha um valor adequado para esta célula com base no contexto da tabela"")"),"Timon - MA")</f>
        <v>Timon - MA</v>
      </c>
      <c r="H417" s="2" t="s">
        <v>3069</v>
      </c>
      <c r="I417" s="1" t="s">
        <v>3070</v>
      </c>
      <c r="J417" s="3" t="str">
        <f>IFERROR(__xludf.DUMMYFUNCTION("IF(A417="""", """", IFS(REGEXMATCH(LOWER(A417), ""barbearia|barber""), ""Barbearia"", REGEXMATCH(LOWER(A417), ""sobrancelh|c[ií]lio|lash|micropigment|showbrancelhas""), ""Sobrancelhas e Cílios"", REGEXMATCH(LOWER(A417), ""maquia|make""), ""Maquiagem"", RE"&amp;"GEXMATCH(LOWER(A417), ""depil|epil""), ""Depilação"", REGEXMATCH(LOWER(A417), ""esmalteria|unha|nail|manicur|spa dos p[eé]s|kauu_nhas""), ""Manicure - Esmalteria"", REGEXMATCH(LOWER(A417), ""est[eé]tic|bronze|massot|terap|pilates|revitalize|dra""), ""Clín"&amp;"ica de Estética"", TRUE, ""Salão de Beleza""))"),"Salão de Beleza")</f>
        <v>Salão de Beleza</v>
      </c>
    </row>
    <row r="418">
      <c r="A418" s="1" t="s">
        <v>3071</v>
      </c>
      <c r="B418" s="1" t="s">
        <v>3072</v>
      </c>
      <c r="C418" s="1" t="s">
        <v>3073</v>
      </c>
      <c r="D418" s="1" t="s">
        <v>3074</v>
      </c>
      <c r="E418" s="1" t="s">
        <v>3075</v>
      </c>
      <c r="F418" s="1" t="s">
        <v>3076</v>
      </c>
      <c r="G418" s="3" t="str">
        <f>IFERROR(__xludf.DUMMYFUNCTION("AI(""Preencha um valor adequado para esta célula com base no contexto da tabela"")"),"Timon - MA")</f>
        <v>Timon - MA</v>
      </c>
      <c r="H418" s="2" t="s">
        <v>3077</v>
      </c>
      <c r="I418" s="1" t="s">
        <v>3078</v>
      </c>
      <c r="J418" s="3" t="str">
        <f>IFERROR(__xludf.DUMMYFUNCTION("IF(A418="""", """", IFS(REGEXMATCH(LOWER(A418), ""barbearia|barber""), ""Barbearia"", REGEXMATCH(LOWER(A418), ""sobrancelh|c[ií]lio|lash|micropigment|showbrancelhas""), ""Sobrancelhas e Cílios"", REGEXMATCH(LOWER(A418), ""maquia|make""), ""Maquiagem"", RE"&amp;"GEXMATCH(LOWER(A418), ""depil|epil""), ""Depilação"", REGEXMATCH(LOWER(A418), ""esmalteria|unha|nail|manicur|spa dos p[eé]s|kauu_nhas""), ""Manicure - Esmalteria"", REGEXMATCH(LOWER(A418), ""est[eé]tic|bronze|massot|terap|pilates|revitalize|dra""), ""Clín"&amp;"ica de Estética"", TRUE, ""Salão de Beleza""))"),"Manicure - Esmalteria")</f>
        <v>Manicure - Esmalteria</v>
      </c>
    </row>
    <row r="419">
      <c r="A419" s="1" t="s">
        <v>3079</v>
      </c>
      <c r="B419" s="1" t="s">
        <v>963</v>
      </c>
      <c r="C419" s="1" t="s">
        <v>964</v>
      </c>
      <c r="D419" s="1" t="s">
        <v>965</v>
      </c>
      <c r="E419" s="1" t="s">
        <v>3080</v>
      </c>
      <c r="F419" s="1" t="s">
        <v>3081</v>
      </c>
      <c r="G419" s="3" t="str">
        <f>IFERROR(__xludf.DUMMYFUNCTION("AI(""Preencha um valor adequado para esta célula com base no contexto da tabela"")"),"Teresina - PI")</f>
        <v>Teresina - PI</v>
      </c>
      <c r="H419" s="2" t="s">
        <v>3082</v>
      </c>
      <c r="I419" s="1" t="s">
        <v>969</v>
      </c>
      <c r="J419" s="3" t="str">
        <f>IFERROR(__xludf.DUMMYFUNCTION("IF(A419="""", """", IFS(REGEXMATCH(LOWER(A419), ""barbearia|barber""), ""Barbearia"", REGEXMATCH(LOWER(A419), ""sobrancelh|c[ií]lio|lash|micropigment|showbrancelhas""), ""Sobrancelhas e Cílios"", REGEXMATCH(LOWER(A419), ""maquia|make""), ""Maquiagem"", RE"&amp;"GEXMATCH(LOWER(A419), ""depil|epil""), ""Depilação"", REGEXMATCH(LOWER(A419), ""esmalteria|unha|nail|manicur|spa dos p[eé]s|kauu_nhas""), ""Manicure - Esmalteria"", REGEXMATCH(LOWER(A419), ""est[eé]tic|bronze|massot|terap|pilates|revitalize|dra""), ""Clín"&amp;"ica de Estética"", TRUE, ""Salão de Beleza""))"),"Salão de Beleza")</f>
        <v>Salão de Beleza</v>
      </c>
    </row>
    <row r="420">
      <c r="A420" s="1" t="s">
        <v>3083</v>
      </c>
      <c r="B420" s="1" t="s">
        <v>3084</v>
      </c>
      <c r="C420" s="1" t="s">
        <v>3085</v>
      </c>
      <c r="D420" s="1" t="s">
        <v>3086</v>
      </c>
      <c r="E420" s="1" t="s">
        <v>3087</v>
      </c>
      <c r="F420" s="1" t="s">
        <v>3088</v>
      </c>
      <c r="G420" s="3" t="str">
        <f>IFERROR(__xludf.DUMMYFUNCTION("AI(""Preencha um valor adequado para esta célula com base no contexto da tabela"")"),"Timon - MA")</f>
        <v>Timon - MA</v>
      </c>
      <c r="H420" s="2" t="s">
        <v>3089</v>
      </c>
      <c r="J420" s="3" t="str">
        <f>IFERROR(__xludf.DUMMYFUNCTION("IF(A420="""", """", IFS(REGEXMATCH(LOWER(A420), ""barbearia|barber""), ""Barbearia"", REGEXMATCH(LOWER(A420), ""sobrancelh|c[ií]lio|lash|micropigment|showbrancelhas""), ""Sobrancelhas e Cílios"", REGEXMATCH(LOWER(A420), ""maquia|make""), ""Maquiagem"", RE"&amp;"GEXMATCH(LOWER(A420), ""depil|epil""), ""Depilação"", REGEXMATCH(LOWER(A420), ""esmalteria|unha|nail|manicur|spa dos p[eé]s|kauu_nhas""), ""Manicure - Esmalteria"", REGEXMATCH(LOWER(A420), ""est[eé]tic|bronze|massot|terap|pilates|revitalize|dra""), ""Clín"&amp;"ica de Estética"", TRUE, ""Salão de Beleza""))"),"Salão de Beleza")</f>
        <v>Salão de Beleza</v>
      </c>
    </row>
    <row r="421">
      <c r="A421" s="1" t="s">
        <v>3090</v>
      </c>
      <c r="D421" s="1" t="s">
        <v>3091</v>
      </c>
      <c r="E421" s="1" t="s">
        <v>3092</v>
      </c>
      <c r="F421" s="1" t="s">
        <v>3093</v>
      </c>
      <c r="G421" s="3" t="str">
        <f>IFERROR(__xludf.DUMMYFUNCTION("AI(""Preencha um valor adequado para esta célula com base no contexto da tabela"")"),"Timon - MA")</f>
        <v>Timon - MA</v>
      </c>
      <c r="H421" s="2" t="s">
        <v>3094</v>
      </c>
      <c r="I421" s="1" t="s">
        <v>3095</v>
      </c>
      <c r="J421" s="3" t="str">
        <f>IFERROR(__xludf.DUMMYFUNCTION("IF(A421="""", """", IFS(REGEXMATCH(LOWER(A421), ""barbearia|barber""), ""Barbearia"", REGEXMATCH(LOWER(A421), ""sobrancelh|c[ií]lio|lash|micropigment|showbrancelhas""), ""Sobrancelhas e Cílios"", REGEXMATCH(LOWER(A421), ""maquia|make""), ""Maquiagem"", RE"&amp;"GEXMATCH(LOWER(A421), ""depil|epil""), ""Depilação"", REGEXMATCH(LOWER(A421), ""esmalteria|unha|nail|manicur|spa dos p[eé]s|kauu_nhas""), ""Manicure - Esmalteria"", REGEXMATCH(LOWER(A421), ""est[eé]tic|bronze|massot|terap|pilates|revitalize|dra""), ""Clín"&amp;"ica de Estética"", TRUE, ""Salão de Beleza""))"),"Manicure - Esmalteria")</f>
        <v>Manicure - Esmalteria</v>
      </c>
    </row>
    <row r="422">
      <c r="A422" s="1" t="s">
        <v>3096</v>
      </c>
      <c r="B422" s="1" t="s">
        <v>3097</v>
      </c>
      <c r="C422" s="1" t="s">
        <v>3098</v>
      </c>
      <c r="D422" s="1" t="s">
        <v>3099</v>
      </c>
      <c r="E422" s="1" t="s">
        <v>3100</v>
      </c>
      <c r="F422" s="1" t="s">
        <v>3101</v>
      </c>
      <c r="G422" s="3" t="str">
        <f>IFERROR(__xludf.DUMMYFUNCTION("AI(""Preencha um valor adequado para esta célula com base no contexto da tabela"")"),"Timon - MA")</f>
        <v>Timon - MA</v>
      </c>
      <c r="H422" s="2" t="s">
        <v>3102</v>
      </c>
      <c r="I422" s="1" t="s">
        <v>3103</v>
      </c>
      <c r="J422" s="3" t="str">
        <f>IFERROR(__xludf.DUMMYFUNCTION("IF(A422="""", """", IFS(REGEXMATCH(LOWER(A422), ""barbearia|barber""), ""Barbearia"", REGEXMATCH(LOWER(A422), ""sobrancelh|c[ií]lio|lash|micropigment|showbrancelhas""), ""Sobrancelhas e Cílios"", REGEXMATCH(LOWER(A422), ""maquia|make""), ""Maquiagem"", RE"&amp;"GEXMATCH(LOWER(A422), ""depil|epil""), ""Depilação"", REGEXMATCH(LOWER(A422), ""esmalteria|unha|nail|manicur|spa dos p[eé]s|kauu_nhas""), ""Manicure - Esmalteria"", REGEXMATCH(LOWER(A422), ""est[eé]tic|bronze|massot|terap|pilates|revitalize|dra""), ""Clín"&amp;"ica de Estética"", TRUE, ""Salão de Beleza""))"),"Manicure - Esmalteria")</f>
        <v>Manicure - Esmalteria</v>
      </c>
    </row>
    <row r="423">
      <c r="A423" s="1" t="s">
        <v>3104</v>
      </c>
      <c r="B423" s="1" t="s">
        <v>1039</v>
      </c>
      <c r="C423" s="1" t="s">
        <v>1040</v>
      </c>
      <c r="D423" s="1" t="s">
        <v>3105</v>
      </c>
      <c r="E423" s="1" t="s">
        <v>3106</v>
      </c>
      <c r="F423" s="1" t="s">
        <v>3107</v>
      </c>
      <c r="G423" s="3" t="str">
        <f>IFERROR(__xludf.DUMMYFUNCTION("AI(""Preencha um valor adequado para esta célula com base no contexto da tabela"")"),"Timon - MA")</f>
        <v>Timon - MA</v>
      </c>
      <c r="H423" s="2" t="s">
        <v>3108</v>
      </c>
      <c r="I423" s="1" t="s">
        <v>3109</v>
      </c>
      <c r="J423" s="3" t="str">
        <f>IFERROR(__xludf.DUMMYFUNCTION("IF(A423="""", """", IFS(REGEXMATCH(LOWER(A423), ""barbearia|barber""), ""Barbearia"", REGEXMATCH(LOWER(A423), ""sobrancelh|c[ií]lio|lash|micropigment|showbrancelhas""), ""Sobrancelhas e Cílios"", REGEXMATCH(LOWER(A423), ""maquia|make""), ""Maquiagem"", RE"&amp;"GEXMATCH(LOWER(A423), ""depil|epil""), ""Depilação"", REGEXMATCH(LOWER(A423), ""esmalteria|unha|nail|manicur|spa dos p[eé]s|kauu_nhas""), ""Manicure - Esmalteria"", REGEXMATCH(LOWER(A423), ""est[eé]tic|bronze|massot|terap|pilates|revitalize|dra""), ""Clín"&amp;"ica de Estética"", TRUE, ""Salão de Beleza""))"),"Salão de Beleza")</f>
        <v>Salão de Beleza</v>
      </c>
    </row>
    <row r="424">
      <c r="A424" s="1" t="s">
        <v>3110</v>
      </c>
      <c r="B424" s="1" t="s">
        <v>3111</v>
      </c>
      <c r="C424" s="1" t="s">
        <v>3112</v>
      </c>
      <c r="D424" s="1" t="s">
        <v>1033</v>
      </c>
      <c r="E424" s="1" t="s">
        <v>3113</v>
      </c>
      <c r="F424" s="1" t="s">
        <v>3114</v>
      </c>
      <c r="G424" s="3" t="str">
        <f>IFERROR(__xludf.DUMMYFUNCTION("AI(""Preencha um valor adequado para esta célula com base no contexto da tabela"")"),"Timon - MA")</f>
        <v>Timon - MA</v>
      </c>
      <c r="H424" s="2" t="s">
        <v>3115</v>
      </c>
      <c r="I424" s="1" t="s">
        <v>1037</v>
      </c>
      <c r="J424" s="3" t="str">
        <f>IFERROR(__xludf.DUMMYFUNCTION("IF(A424="""", """", IFS(REGEXMATCH(LOWER(A424), ""barbearia|barber""), ""Barbearia"", REGEXMATCH(LOWER(A424), ""sobrancelh|c[ií]lio|lash|micropigment|showbrancelhas""), ""Sobrancelhas e Cílios"", REGEXMATCH(LOWER(A424), ""maquia|make""), ""Maquiagem"", RE"&amp;"GEXMATCH(LOWER(A424), ""depil|epil""), ""Depilação"", REGEXMATCH(LOWER(A424), ""esmalteria|unha|nail|manicur|spa dos p[eé]s|kauu_nhas""), ""Manicure - Esmalteria"", REGEXMATCH(LOWER(A424), ""est[eé]tic|bronze|massot|terap|pilates|revitalize|dra""), ""Clín"&amp;"ica de Estética"", TRUE, ""Salão de Beleza""))"),"Salão de Beleza")</f>
        <v>Salão de Beleza</v>
      </c>
    </row>
    <row r="425">
      <c r="A425" s="1" t="s">
        <v>3116</v>
      </c>
      <c r="B425" s="1" t="s">
        <v>3117</v>
      </c>
      <c r="C425" s="1" t="s">
        <v>3118</v>
      </c>
      <c r="D425" s="1" t="s">
        <v>3119</v>
      </c>
      <c r="E425" s="1" t="s">
        <v>3120</v>
      </c>
      <c r="F425" s="1" t="s">
        <v>3121</v>
      </c>
      <c r="G425" s="3" t="str">
        <f>IFERROR(__xludf.DUMMYFUNCTION("AI(""Preencha um valor adequado para esta célula com base no contexto da tabela"")"),"Teresina - PI")</f>
        <v>Teresina - PI</v>
      </c>
      <c r="H425" s="2" t="s">
        <v>3122</v>
      </c>
      <c r="I425" s="1" t="s">
        <v>3123</v>
      </c>
      <c r="J425" s="3" t="str">
        <f>IFERROR(__xludf.DUMMYFUNCTION("IF(A425="""", """", IFS(REGEXMATCH(LOWER(A425), ""barbearia|barber""), ""Barbearia"", REGEXMATCH(LOWER(A425), ""sobrancelh|c[ií]lio|lash|micropigment|showbrancelhas""), ""Sobrancelhas e Cílios"", REGEXMATCH(LOWER(A425), ""maquia|make""), ""Maquiagem"", RE"&amp;"GEXMATCH(LOWER(A425), ""depil|epil""), ""Depilação"", REGEXMATCH(LOWER(A425), ""esmalteria|unha|nail|manicur|spa dos p[eé]s|kauu_nhas""), ""Manicure - Esmalteria"", REGEXMATCH(LOWER(A425), ""est[eé]tic|bronze|massot|terap|pilates|revitalize|dra""), ""Clín"&amp;"ica de Estética"", TRUE, ""Salão de Beleza""))"),"Manicure - Esmalteria")</f>
        <v>Manicure - Esmalteria</v>
      </c>
    </row>
    <row r="426">
      <c r="A426" s="1" t="s">
        <v>3124</v>
      </c>
      <c r="D426" s="1" t="s">
        <v>3125</v>
      </c>
      <c r="E426" s="1" t="s">
        <v>3126</v>
      </c>
      <c r="F426" s="1" t="s">
        <v>3127</v>
      </c>
      <c r="G426" s="3" t="str">
        <f>IFERROR(__xludf.DUMMYFUNCTION("AI(""Preencha um valor adequado para esta célula com base no contexto da tabela"")"),"Timon - MA")</f>
        <v>Timon - MA</v>
      </c>
      <c r="H426" s="2" t="s">
        <v>3128</v>
      </c>
      <c r="I426" s="1" t="s">
        <v>3129</v>
      </c>
      <c r="J426" s="3" t="str">
        <f>IFERROR(__xludf.DUMMYFUNCTION("IF(A426="""", """", IFS(REGEXMATCH(LOWER(A426), ""barbearia|barber""), ""Barbearia"", REGEXMATCH(LOWER(A426), ""sobrancelh|c[ií]lio|lash|micropigment|showbrancelhas""), ""Sobrancelhas e Cílios"", REGEXMATCH(LOWER(A426), ""maquia|make""), ""Maquiagem"", RE"&amp;"GEXMATCH(LOWER(A426), ""depil|epil""), ""Depilação"", REGEXMATCH(LOWER(A426), ""esmalteria|unha|nail|manicur|spa dos p[eé]s|kauu_nhas""), ""Manicure - Esmalteria"", REGEXMATCH(LOWER(A426), ""est[eé]tic|bronze|massot|terap|pilates|revitalize|dra""), ""Clín"&amp;"ica de Estética"", TRUE, ""Salão de Beleza""))"),"Sobrancelhas e Cílios")</f>
        <v>Sobrancelhas e Cílios</v>
      </c>
    </row>
    <row r="427">
      <c r="A427" s="1" t="s">
        <v>3130</v>
      </c>
      <c r="B427" s="1" t="s">
        <v>3131</v>
      </c>
      <c r="C427" s="1" t="s">
        <v>3132</v>
      </c>
      <c r="D427" s="1" t="s">
        <v>3133</v>
      </c>
      <c r="E427" s="1" t="s">
        <v>3134</v>
      </c>
      <c r="F427" s="1" t="s">
        <v>3135</v>
      </c>
      <c r="G427" s="3" t="str">
        <f>IFERROR(__xludf.DUMMYFUNCTION("AI(""Preencha um valor adequado para esta célula com base no contexto da tabela"")"),"Timon - MA")</f>
        <v>Timon - MA</v>
      </c>
      <c r="H427" s="2" t="s">
        <v>3136</v>
      </c>
      <c r="I427" s="1" t="s">
        <v>3137</v>
      </c>
      <c r="J427" s="3" t="str">
        <f>IFERROR(__xludf.DUMMYFUNCTION("IF(A427="""", """", IFS(REGEXMATCH(LOWER(A427), ""barbearia|barber""), ""Barbearia"", REGEXMATCH(LOWER(A427), ""sobrancelh|c[ií]lio|lash|micropigment|showbrancelhas""), ""Sobrancelhas e Cílios"", REGEXMATCH(LOWER(A427), ""maquia|make""), ""Maquiagem"", RE"&amp;"GEXMATCH(LOWER(A427), ""depil|epil""), ""Depilação"", REGEXMATCH(LOWER(A427), ""esmalteria|unha|nail|manicur|spa dos p[eé]s|kauu_nhas""), ""Manicure - Esmalteria"", REGEXMATCH(LOWER(A427), ""est[eé]tic|bronze|massot|terap|pilates|revitalize|dra""), ""Clín"&amp;"ica de Estética"", TRUE, ""Salão de Beleza""))"),"Salão de Beleza")</f>
        <v>Salão de Beleza</v>
      </c>
    </row>
    <row r="428">
      <c r="A428" s="1" t="s">
        <v>3138</v>
      </c>
      <c r="D428" s="1" t="s">
        <v>3139</v>
      </c>
      <c r="E428" s="1" t="s">
        <v>3140</v>
      </c>
      <c r="F428" s="1" t="s">
        <v>3141</v>
      </c>
      <c r="G428" s="3" t="str">
        <f>IFERROR(__xludf.DUMMYFUNCTION("AI(""Preencha um valor adequado para esta célula com base no contexto da tabela"")"),"Timon - MA")</f>
        <v>Timon - MA</v>
      </c>
      <c r="H428" s="2" t="s">
        <v>3142</v>
      </c>
      <c r="I428" s="1" t="s">
        <v>3143</v>
      </c>
      <c r="J428" s="3" t="str">
        <f>IFERROR(__xludf.DUMMYFUNCTION("IF(A428="""", """", IFS(REGEXMATCH(LOWER(A428), ""barbearia|barber""), ""Barbearia"", REGEXMATCH(LOWER(A428), ""sobrancelh|c[ií]lio|lash|micropigment|showbrancelhas""), ""Sobrancelhas e Cílios"", REGEXMATCH(LOWER(A428), ""maquia|make""), ""Maquiagem"", RE"&amp;"GEXMATCH(LOWER(A428), ""depil|epil""), ""Depilação"", REGEXMATCH(LOWER(A428), ""esmalteria|unha|nail|manicur|spa dos p[eé]s|kauu_nhas""), ""Manicure - Esmalteria"", REGEXMATCH(LOWER(A428), ""est[eé]tic|bronze|massot|terap|pilates|revitalize|dra""), ""Clín"&amp;"ica de Estética"", TRUE, ""Salão de Beleza""))"),"Salão de Beleza")</f>
        <v>Salão de Beleza</v>
      </c>
    </row>
    <row r="429">
      <c r="A429" s="1" t="s">
        <v>3144</v>
      </c>
      <c r="B429" s="1" t="s">
        <v>3145</v>
      </c>
      <c r="C429" s="1" t="s">
        <v>3146</v>
      </c>
      <c r="D429" s="1" t="s">
        <v>3147</v>
      </c>
      <c r="E429" s="1" t="s">
        <v>3148</v>
      </c>
      <c r="F429" s="1" t="s">
        <v>3149</v>
      </c>
      <c r="G429" s="3" t="str">
        <f>IFERROR(__xludf.DUMMYFUNCTION("AI(""Preencha um valor adequado para esta célula com base no contexto da tabela"")"),"Timon - MA")</f>
        <v>Timon - MA</v>
      </c>
      <c r="H429" s="2" t="s">
        <v>3150</v>
      </c>
      <c r="I429" s="1" t="s">
        <v>3151</v>
      </c>
      <c r="J429" s="3" t="str">
        <f>IFERROR(__xludf.DUMMYFUNCTION("IF(A429="""", """", IFS(REGEXMATCH(LOWER(A429), ""barbearia|barber""), ""Barbearia"", REGEXMATCH(LOWER(A429), ""sobrancelh|c[ií]lio|lash|micropigment|showbrancelhas""), ""Sobrancelhas e Cílios"", REGEXMATCH(LOWER(A429), ""maquia|make""), ""Maquiagem"", RE"&amp;"GEXMATCH(LOWER(A429), ""depil|epil""), ""Depilação"", REGEXMATCH(LOWER(A429), ""esmalteria|unha|nail|manicur|spa dos p[eé]s|kauu_nhas""), ""Manicure - Esmalteria"", REGEXMATCH(LOWER(A429), ""est[eé]tic|bronze|massot|terap|pilates|revitalize|dra""), ""Clín"&amp;"ica de Estética"", TRUE, ""Salão de Beleza""))"),"Salão de Beleza")</f>
        <v>Salão de Beleza</v>
      </c>
    </row>
    <row r="430">
      <c r="A430" s="1" t="s">
        <v>3152</v>
      </c>
      <c r="B430" s="1" t="s">
        <v>3153</v>
      </c>
      <c r="C430" s="1" t="s">
        <v>3154</v>
      </c>
      <c r="D430" s="1" t="s">
        <v>3155</v>
      </c>
      <c r="E430" s="1" t="s">
        <v>3156</v>
      </c>
      <c r="F430" s="1" t="s">
        <v>3157</v>
      </c>
      <c r="G430" s="3" t="str">
        <f>IFERROR(__xludf.DUMMYFUNCTION("AI(""Preencha um valor adequado para esta célula com base no contexto da tabela"")"),"Timon - MA")</f>
        <v>Timon - MA</v>
      </c>
      <c r="H430" s="2" t="s">
        <v>3158</v>
      </c>
      <c r="I430" s="1" t="s">
        <v>3159</v>
      </c>
      <c r="J430" s="3" t="str">
        <f>IFERROR(__xludf.DUMMYFUNCTION("IF(A430="""", """", IFS(REGEXMATCH(LOWER(A430), ""barbearia|barber""), ""Barbearia"", REGEXMATCH(LOWER(A430), ""sobrancelh|c[ií]lio|lash|micropigment|showbrancelhas""), ""Sobrancelhas e Cílios"", REGEXMATCH(LOWER(A430), ""maquia|make""), ""Maquiagem"", RE"&amp;"GEXMATCH(LOWER(A430), ""depil|epil""), ""Depilação"", REGEXMATCH(LOWER(A430), ""esmalteria|unha|nail|manicur|spa dos p[eé]s|kauu_nhas""), ""Manicure - Esmalteria"", REGEXMATCH(LOWER(A430), ""est[eé]tic|bronze|massot|terap|pilates|revitalize|dra""), ""Clín"&amp;"ica de Estética"", TRUE, ""Salão de Beleza""))"),"Manicure - Esmalteria")</f>
        <v>Manicure - Esmalteria</v>
      </c>
    </row>
    <row r="431">
      <c r="A431" s="1" t="s">
        <v>3160</v>
      </c>
      <c r="D431" s="1" t="s">
        <v>3161</v>
      </c>
      <c r="E431" s="1" t="s">
        <v>3162</v>
      </c>
      <c r="F431" s="1" t="s">
        <v>3163</v>
      </c>
      <c r="G431" s="3" t="str">
        <f>IFERROR(__xludf.DUMMYFUNCTION("AI(""Preencha um valor adequado para esta célula com base no contexto da tabela"")"),"Timon - MA")</f>
        <v>Timon - MA</v>
      </c>
      <c r="H431" s="2" t="s">
        <v>3164</v>
      </c>
      <c r="J431" s="3" t="str">
        <f>IFERROR(__xludf.DUMMYFUNCTION("IF(A431="""", """", IFS(REGEXMATCH(LOWER(A431), ""barbearia|barber""), ""Barbearia"", REGEXMATCH(LOWER(A431), ""sobrancelh|c[ií]lio|lash|micropigment|showbrancelhas""), ""Sobrancelhas e Cílios"", REGEXMATCH(LOWER(A431), ""maquia|make""), ""Maquiagem"", RE"&amp;"GEXMATCH(LOWER(A431), ""depil|epil""), ""Depilação"", REGEXMATCH(LOWER(A431), ""esmalteria|unha|nail|manicur|spa dos p[eé]s|kauu_nhas""), ""Manicure - Esmalteria"", REGEXMATCH(LOWER(A431), ""est[eé]tic|bronze|massot|terap|pilates|revitalize|dra""), ""Clín"&amp;"ica de Estética"", TRUE, ""Salão de Beleza""))"),"Salão de Beleza")</f>
        <v>Salão de Beleza</v>
      </c>
    </row>
    <row r="432">
      <c r="A432" s="1" t="s">
        <v>3165</v>
      </c>
      <c r="B432" s="1" t="s">
        <v>3166</v>
      </c>
      <c r="C432" s="1" t="s">
        <v>3167</v>
      </c>
      <c r="D432" s="1" t="s">
        <v>3168</v>
      </c>
      <c r="E432" s="1" t="s">
        <v>3169</v>
      </c>
      <c r="F432" s="1" t="s">
        <v>3170</v>
      </c>
      <c r="G432" s="3" t="str">
        <f>IFERROR(__xludf.DUMMYFUNCTION("AI(""Preencha um valor adequado para esta célula com base no contexto da tabela"")"),"Timon - MA")</f>
        <v>Timon - MA</v>
      </c>
      <c r="H432" s="2" t="s">
        <v>3171</v>
      </c>
      <c r="I432" s="1" t="s">
        <v>3172</v>
      </c>
      <c r="J432" s="3" t="str">
        <f>IFERROR(__xludf.DUMMYFUNCTION("IF(A432="""", """", IFS(REGEXMATCH(LOWER(A432), ""barbearia|barber""), ""Barbearia"", REGEXMATCH(LOWER(A432), ""sobrancelh|c[ií]lio|lash|micropigment|showbrancelhas""), ""Sobrancelhas e Cílios"", REGEXMATCH(LOWER(A432), ""maquia|make""), ""Maquiagem"", RE"&amp;"GEXMATCH(LOWER(A432), ""depil|epil""), ""Depilação"", REGEXMATCH(LOWER(A432), ""esmalteria|unha|nail|manicur|spa dos p[eé]s|kauu_nhas""), ""Manicure - Esmalteria"", REGEXMATCH(LOWER(A432), ""est[eé]tic|bronze|massot|terap|pilates|revitalize|dra""), ""Clín"&amp;"ica de Estética"", TRUE, ""Salão de Beleza""))"),"Depilação")</f>
        <v>Depilação</v>
      </c>
    </row>
    <row r="433">
      <c r="A433" s="1" t="s">
        <v>3173</v>
      </c>
      <c r="B433" s="1" t="s">
        <v>3174</v>
      </c>
      <c r="C433" s="1" t="s">
        <v>3175</v>
      </c>
      <c r="D433" s="1" t="s">
        <v>3176</v>
      </c>
      <c r="E433" s="1" t="s">
        <v>3177</v>
      </c>
      <c r="F433" s="1" t="s">
        <v>3178</v>
      </c>
      <c r="G433" s="3" t="str">
        <f>IFERROR(__xludf.DUMMYFUNCTION("AI(""Preencha um valor adequado para esta célula com base no contexto da tabela"")"),"Timon - MA")</f>
        <v>Timon - MA</v>
      </c>
      <c r="H433" s="2" t="s">
        <v>3179</v>
      </c>
      <c r="I433" s="1" t="s">
        <v>3180</v>
      </c>
      <c r="J433" s="3" t="str">
        <f>IFERROR(__xludf.DUMMYFUNCTION("IF(A433="""", """", IFS(REGEXMATCH(LOWER(A433), ""barbearia|barber""), ""Barbearia"", REGEXMATCH(LOWER(A433), ""sobrancelh|c[ií]lio|lash|micropigment|showbrancelhas""), ""Sobrancelhas e Cílios"", REGEXMATCH(LOWER(A433), ""maquia|make""), ""Maquiagem"", RE"&amp;"GEXMATCH(LOWER(A433), ""depil|epil""), ""Depilação"", REGEXMATCH(LOWER(A433), ""esmalteria|unha|nail|manicur|spa dos p[eé]s|kauu_nhas""), ""Manicure - Esmalteria"", REGEXMATCH(LOWER(A433), ""est[eé]tic|bronze|massot|terap|pilates|revitalize|dra""), ""Clín"&amp;"ica de Estética"", TRUE, ""Salão de Beleza""))"),"Manicure - Esmalteria")</f>
        <v>Manicure - Esmalteria</v>
      </c>
    </row>
    <row r="434">
      <c r="A434" s="1" t="s">
        <v>3181</v>
      </c>
      <c r="D434" s="1" t="s">
        <v>3182</v>
      </c>
      <c r="E434" s="1" t="s">
        <v>3183</v>
      </c>
      <c r="F434" s="1" t="s">
        <v>3184</v>
      </c>
      <c r="G434" s="3" t="str">
        <f>IFERROR(__xludf.DUMMYFUNCTION("AI(""Preencha um valor adequado para esta célula com base no contexto da tabela"")"),"Timon - MA")</f>
        <v>Timon - MA</v>
      </c>
      <c r="H434" s="2" t="s">
        <v>3185</v>
      </c>
      <c r="I434" s="1" t="s">
        <v>3186</v>
      </c>
      <c r="J434" s="3" t="str">
        <f>IFERROR(__xludf.DUMMYFUNCTION("IF(A434="""", """", IFS(REGEXMATCH(LOWER(A434), ""barbearia|barber""), ""Barbearia"", REGEXMATCH(LOWER(A434), ""sobrancelh|c[ií]lio|lash|micropigment|showbrancelhas""), ""Sobrancelhas e Cílios"", REGEXMATCH(LOWER(A434), ""maquia|make""), ""Maquiagem"", RE"&amp;"GEXMATCH(LOWER(A434), ""depil|epil""), ""Depilação"", REGEXMATCH(LOWER(A434), ""esmalteria|unha|nail|manicur|spa dos p[eé]s|kauu_nhas""), ""Manicure - Esmalteria"", REGEXMATCH(LOWER(A434), ""est[eé]tic|bronze|massot|terap|pilates|revitalize|dra""), ""Clín"&amp;"ica de Estética"", TRUE, ""Salão de Beleza""))"),"Salão de Beleza")</f>
        <v>Salão de Beleza</v>
      </c>
    </row>
    <row r="435">
      <c r="A435" s="1" t="s">
        <v>3187</v>
      </c>
      <c r="B435" s="1" t="s">
        <v>3188</v>
      </c>
      <c r="C435" s="1" t="s">
        <v>3189</v>
      </c>
      <c r="E435" s="1" t="s">
        <v>1849</v>
      </c>
      <c r="F435" s="1" t="s">
        <v>1850</v>
      </c>
      <c r="G435" s="3" t="str">
        <f>IFERROR(__xludf.DUMMYFUNCTION("AI(""Preencha um valor adequado para esta célula com base no contexto da tabela"")"),"Timon - MA")</f>
        <v>Timon - MA</v>
      </c>
      <c r="H435" s="2" t="s">
        <v>3190</v>
      </c>
      <c r="J435" s="3" t="str">
        <f>IFERROR(__xludf.DUMMYFUNCTION("IF(A435="""", """", IFS(REGEXMATCH(LOWER(A435), ""barbearia|barber""), ""Barbearia"", REGEXMATCH(LOWER(A435), ""sobrancelh|c[ií]lio|lash|micropigment|showbrancelhas""), ""Sobrancelhas e Cílios"", REGEXMATCH(LOWER(A435), ""maquia|make""), ""Maquiagem"", RE"&amp;"GEXMATCH(LOWER(A435), ""depil|epil""), ""Depilação"", REGEXMATCH(LOWER(A435), ""esmalteria|unha|nail|manicur|spa dos p[eé]s|kauu_nhas""), ""Manicure - Esmalteria"", REGEXMATCH(LOWER(A435), ""est[eé]tic|bronze|massot|terap|pilates|revitalize|dra""), ""Clín"&amp;"ica de Estética"", TRUE, ""Salão de Beleza""))"),"Manicure - Esmalteria")</f>
        <v>Manicure - Esmalteria</v>
      </c>
    </row>
    <row r="436">
      <c r="A436" s="1" t="s">
        <v>3191</v>
      </c>
      <c r="B436" s="1" t="s">
        <v>3192</v>
      </c>
      <c r="C436" s="1" t="s">
        <v>3193</v>
      </c>
      <c r="D436" s="1" t="s">
        <v>3194</v>
      </c>
      <c r="E436" s="1" t="s">
        <v>2703</v>
      </c>
      <c r="F436" s="1" t="s">
        <v>2704</v>
      </c>
      <c r="G436" s="3" t="str">
        <f>IFERROR(__xludf.DUMMYFUNCTION("AI(""Preencha um valor adequado para esta célula com base no contexto da tabela"")"),"Timon - MA")</f>
        <v>Timon - MA</v>
      </c>
      <c r="H436" s="2" t="s">
        <v>3195</v>
      </c>
      <c r="I436" s="1" t="s">
        <v>2706</v>
      </c>
      <c r="J436" s="3" t="str">
        <f>IFERROR(__xludf.DUMMYFUNCTION("IF(A436="""", """", IFS(REGEXMATCH(LOWER(A436), ""barbearia|barber""), ""Barbearia"", REGEXMATCH(LOWER(A436), ""sobrancelh|c[ií]lio|lash|micropigment|showbrancelhas""), ""Sobrancelhas e Cílios"", REGEXMATCH(LOWER(A436), ""maquia|make""), ""Maquiagem"", RE"&amp;"GEXMATCH(LOWER(A436), ""depil|epil""), ""Depilação"", REGEXMATCH(LOWER(A436), ""esmalteria|unha|nail|manicur|spa dos p[eé]s|kauu_nhas""), ""Manicure - Esmalteria"", REGEXMATCH(LOWER(A436), ""est[eé]tic|bronze|massot|terap|pilates|revitalize|dra""), ""Clín"&amp;"ica de Estética"", TRUE, ""Salão de Beleza""))"),"Clínica de Estética")</f>
        <v>Clínica de Estética</v>
      </c>
    </row>
    <row r="437">
      <c r="A437" s="1" t="s">
        <v>3196</v>
      </c>
      <c r="B437" s="1" t="s">
        <v>3197</v>
      </c>
      <c r="C437" s="1" t="s">
        <v>3198</v>
      </c>
      <c r="D437" s="1" t="s">
        <v>3199</v>
      </c>
      <c r="E437" s="1" t="s">
        <v>3200</v>
      </c>
      <c r="F437" s="1" t="s">
        <v>3201</v>
      </c>
      <c r="G437" s="3" t="str">
        <f>IFERROR(__xludf.DUMMYFUNCTION("AI(""Preencha um valor adequado para esta célula com base no contexto da tabela"")"),"Timon - MA")</f>
        <v>Timon - MA</v>
      </c>
      <c r="H437" s="2" t="s">
        <v>3202</v>
      </c>
      <c r="I437" s="1" t="s">
        <v>3203</v>
      </c>
      <c r="J437" s="3" t="str">
        <f>IFERROR(__xludf.DUMMYFUNCTION("IF(A437="""", """", IFS(REGEXMATCH(LOWER(A437), ""barbearia|barber""), ""Barbearia"", REGEXMATCH(LOWER(A437), ""sobrancelh|c[ií]lio|lash|micropigment|showbrancelhas""), ""Sobrancelhas e Cílios"", REGEXMATCH(LOWER(A437), ""maquia|make""), ""Maquiagem"", RE"&amp;"GEXMATCH(LOWER(A437), ""depil|epil""), ""Depilação"", REGEXMATCH(LOWER(A437), ""esmalteria|unha|nail|manicur|spa dos p[eé]s|kauu_nhas""), ""Manicure - Esmalteria"", REGEXMATCH(LOWER(A437), ""est[eé]tic|bronze|massot|terap|pilates|revitalize|dra""), ""Clín"&amp;"ica de Estética"", TRUE, ""Salão de Beleza""))"),"Salão de Beleza")</f>
        <v>Salão de Beleza</v>
      </c>
    </row>
    <row r="438">
      <c r="A438" s="1" t="s">
        <v>3204</v>
      </c>
      <c r="B438" s="1" t="s">
        <v>3205</v>
      </c>
      <c r="C438" s="1" t="s">
        <v>3206</v>
      </c>
      <c r="D438" s="1" t="s">
        <v>3207</v>
      </c>
      <c r="E438" s="1" t="s">
        <v>3208</v>
      </c>
      <c r="F438" s="1" t="s">
        <v>3209</v>
      </c>
      <c r="G438" s="3" t="str">
        <f>IFERROR(__xludf.DUMMYFUNCTION("AI(""Preencha um valor adequado para esta célula com base no contexto da tabela"")"),"Timon - MA")</f>
        <v>Timon - MA</v>
      </c>
      <c r="H438" s="2" t="s">
        <v>3210</v>
      </c>
      <c r="I438" s="1" t="s">
        <v>3211</v>
      </c>
      <c r="J438" s="3" t="str">
        <f>IFERROR(__xludf.DUMMYFUNCTION("IF(A438="""", """", IFS(REGEXMATCH(LOWER(A438), ""barbearia|barber""), ""Barbearia"", REGEXMATCH(LOWER(A438), ""sobrancelh|c[ií]lio|lash|micropigment|showbrancelhas""), ""Sobrancelhas e Cílios"", REGEXMATCH(LOWER(A438), ""maquia|make""), ""Maquiagem"", RE"&amp;"GEXMATCH(LOWER(A438), ""depil|epil""), ""Depilação"", REGEXMATCH(LOWER(A438), ""esmalteria|unha|nail|manicur|spa dos p[eé]s|kauu_nhas""), ""Manicure - Esmalteria"", REGEXMATCH(LOWER(A438), ""est[eé]tic|bronze|massot|terap|pilates|revitalize|dra""), ""Clín"&amp;"ica de Estética"", TRUE, ""Salão de Beleza""))"),"Salão de Beleza")</f>
        <v>Salão de Beleza</v>
      </c>
    </row>
    <row r="439">
      <c r="A439" s="1" t="s">
        <v>3212</v>
      </c>
      <c r="B439" s="1" t="s">
        <v>3213</v>
      </c>
      <c r="C439" s="1" t="s">
        <v>3214</v>
      </c>
      <c r="D439" s="1" t="s">
        <v>3215</v>
      </c>
      <c r="E439" s="1" t="s">
        <v>3216</v>
      </c>
      <c r="F439" s="1" t="s">
        <v>3217</v>
      </c>
      <c r="G439" s="3" t="str">
        <f>IFERROR(__xludf.DUMMYFUNCTION("AI(""Preencha um valor adequado para esta célula com base no contexto da tabela"")"),"Timon - MA")</f>
        <v>Timon - MA</v>
      </c>
      <c r="H439" s="2" t="s">
        <v>3218</v>
      </c>
      <c r="I439" s="1" t="s">
        <v>3219</v>
      </c>
      <c r="J439" s="3" t="str">
        <f>IFERROR(__xludf.DUMMYFUNCTION("IF(A439="""", """", IFS(REGEXMATCH(LOWER(A439), ""barbearia|barber""), ""Barbearia"", REGEXMATCH(LOWER(A439), ""sobrancelh|c[ií]lio|lash|micropigment|showbrancelhas""), ""Sobrancelhas e Cílios"", REGEXMATCH(LOWER(A439), ""maquia|make""), ""Maquiagem"", RE"&amp;"GEXMATCH(LOWER(A439), ""depil|epil""), ""Depilação"", REGEXMATCH(LOWER(A439), ""esmalteria|unha|nail|manicur|spa dos p[eé]s|kauu_nhas""), ""Manicure - Esmalteria"", REGEXMATCH(LOWER(A439), ""est[eé]tic|bronze|massot|terap|pilates|revitalize|dra""), ""Clín"&amp;"ica de Estética"", TRUE, ""Salão de Beleza""))"),"Salão de Beleza")</f>
        <v>Salão de Beleza</v>
      </c>
    </row>
    <row r="440">
      <c r="A440" s="1" t="s">
        <v>3220</v>
      </c>
      <c r="B440" s="1" t="s">
        <v>3221</v>
      </c>
      <c r="C440" s="1" t="s">
        <v>3222</v>
      </c>
      <c r="D440" s="1" t="s">
        <v>3223</v>
      </c>
      <c r="E440" s="1" t="s">
        <v>3224</v>
      </c>
      <c r="F440" s="1" t="s">
        <v>3225</v>
      </c>
      <c r="G440" s="3" t="str">
        <f>IFERROR(__xludf.DUMMYFUNCTION("AI(""Preencha um valor adequado para esta célula com base no contexto da tabela"")"),"Timon - MA")</f>
        <v>Timon - MA</v>
      </c>
      <c r="H440" s="2" t="s">
        <v>3226</v>
      </c>
      <c r="I440" s="1" t="s">
        <v>3227</v>
      </c>
      <c r="J440" s="3" t="str">
        <f>IFERROR(__xludf.DUMMYFUNCTION("IF(A440="""", """", IFS(REGEXMATCH(LOWER(A440), ""barbearia|barber""), ""Barbearia"", REGEXMATCH(LOWER(A440), ""sobrancelh|c[ií]lio|lash|micropigment|showbrancelhas""), ""Sobrancelhas e Cílios"", REGEXMATCH(LOWER(A440), ""maquia|make""), ""Maquiagem"", RE"&amp;"GEXMATCH(LOWER(A440), ""depil|epil""), ""Depilação"", REGEXMATCH(LOWER(A440), ""esmalteria|unha|nail|manicur|spa dos p[eé]s|kauu_nhas""), ""Manicure - Esmalteria"", REGEXMATCH(LOWER(A440), ""est[eé]tic|bronze|massot|terap|pilates|revitalize|dra""), ""Clín"&amp;"ica de Estética"", TRUE, ""Salão de Beleza""))"),"Salão de Beleza")</f>
        <v>Salão de Beleza</v>
      </c>
    </row>
    <row r="441">
      <c r="A441" s="1" t="s">
        <v>3228</v>
      </c>
      <c r="D441" s="1" t="s">
        <v>3229</v>
      </c>
      <c r="E441" s="1" t="s">
        <v>3230</v>
      </c>
      <c r="F441" s="1" t="s">
        <v>3231</v>
      </c>
      <c r="G441" s="3" t="str">
        <f>IFERROR(__xludf.DUMMYFUNCTION("AI(""Preencha um valor adequado para esta célula com base no contexto da tabela"")"),"Timon - MA")</f>
        <v>Timon - MA</v>
      </c>
      <c r="H441" s="2" t="s">
        <v>3232</v>
      </c>
      <c r="I441" s="1" t="s">
        <v>3233</v>
      </c>
      <c r="J441" s="3" t="str">
        <f>IFERROR(__xludf.DUMMYFUNCTION("IF(A441="""", """", IFS(REGEXMATCH(LOWER(A441), ""barbearia|barber""), ""Barbearia"", REGEXMATCH(LOWER(A441), ""sobrancelh|c[ií]lio|lash|micropigment|showbrancelhas""), ""Sobrancelhas e Cílios"", REGEXMATCH(LOWER(A441), ""maquia|make""), ""Maquiagem"", RE"&amp;"GEXMATCH(LOWER(A441), ""depil|epil""), ""Depilação"", REGEXMATCH(LOWER(A441), ""esmalteria|unha|nail|manicur|spa dos p[eé]s|kauu_nhas""), ""Manicure - Esmalteria"", REGEXMATCH(LOWER(A441), ""est[eé]tic|bronze|massot|terap|pilates|revitalize|dra""), ""Clín"&amp;"ica de Estética"", TRUE, ""Salão de Beleza""))"),"Salão de Beleza")</f>
        <v>Salão de Beleza</v>
      </c>
    </row>
    <row r="442">
      <c r="A442" s="1" t="s">
        <v>3234</v>
      </c>
      <c r="D442" s="1" t="s">
        <v>3235</v>
      </c>
      <c r="E442" s="1" t="s">
        <v>3236</v>
      </c>
      <c r="F442" s="1" t="s">
        <v>3237</v>
      </c>
      <c r="G442" s="3" t="str">
        <f>IFERROR(__xludf.DUMMYFUNCTION("AI(""Preencha um valor adequado para esta célula com base no contexto da tabela"")"),"Timon - MA")</f>
        <v>Timon - MA</v>
      </c>
      <c r="H442" s="2" t="s">
        <v>3238</v>
      </c>
      <c r="I442" s="1" t="s">
        <v>3239</v>
      </c>
      <c r="J442" s="3" t="str">
        <f>IFERROR(__xludf.DUMMYFUNCTION("IF(A442="""", """", IFS(REGEXMATCH(LOWER(A442), ""barbearia|barber""), ""Barbearia"", REGEXMATCH(LOWER(A442), ""sobrancelh|c[ií]lio|lash|micropigment|showbrancelhas""), ""Sobrancelhas e Cílios"", REGEXMATCH(LOWER(A442), ""maquia|make""), ""Maquiagem"", RE"&amp;"GEXMATCH(LOWER(A442), ""depil|epil""), ""Depilação"", REGEXMATCH(LOWER(A442), ""esmalteria|unha|nail|manicur|spa dos p[eé]s|kauu_nhas""), ""Manicure - Esmalteria"", REGEXMATCH(LOWER(A442), ""est[eé]tic|bronze|massot|terap|pilates|revitalize|dra""), ""Clín"&amp;"ica de Estética"", TRUE, ""Salão de Beleza""))"),"Salão de Beleza")</f>
        <v>Salão de Beleza</v>
      </c>
    </row>
    <row r="443">
      <c r="A443" s="1" t="s">
        <v>3240</v>
      </c>
      <c r="B443" s="1" t="s">
        <v>3241</v>
      </c>
      <c r="C443" s="1" t="s">
        <v>3242</v>
      </c>
      <c r="D443" s="1" t="s">
        <v>3243</v>
      </c>
      <c r="E443" s="1" t="s">
        <v>3244</v>
      </c>
      <c r="F443" s="1" t="s">
        <v>3245</v>
      </c>
      <c r="G443" s="3" t="str">
        <f>IFERROR(__xludf.DUMMYFUNCTION("AI(""Preencha um valor adequado para esta célula com base no contexto da tabela"")"),"Timon - MA")</f>
        <v>Timon - MA</v>
      </c>
      <c r="H443" s="2" t="s">
        <v>3246</v>
      </c>
      <c r="I443" s="1" t="s">
        <v>3247</v>
      </c>
      <c r="J443" s="3" t="str">
        <f>IFERROR(__xludf.DUMMYFUNCTION("IF(A443="""", """", IFS(REGEXMATCH(LOWER(A443), ""barbearia|barber""), ""Barbearia"", REGEXMATCH(LOWER(A443), ""sobrancelh|c[ií]lio|lash|micropigment|showbrancelhas""), ""Sobrancelhas e Cílios"", REGEXMATCH(LOWER(A443), ""maquia|make""), ""Maquiagem"", RE"&amp;"GEXMATCH(LOWER(A443), ""depil|epil""), ""Depilação"", REGEXMATCH(LOWER(A443), ""esmalteria|unha|nail|manicur|spa dos p[eé]s|kauu_nhas""), ""Manicure - Esmalteria"", REGEXMATCH(LOWER(A443), ""est[eé]tic|bronze|massot|terap|pilates|revitalize|dra""), ""Clín"&amp;"ica de Estética"", TRUE, ""Salão de Beleza""))"),"Salão de Beleza")</f>
        <v>Salão de Beleza</v>
      </c>
    </row>
    <row r="444">
      <c r="A444" s="1" t="s">
        <v>3248</v>
      </c>
      <c r="B444" s="1" t="s">
        <v>3249</v>
      </c>
      <c r="C444" s="1" t="s">
        <v>3250</v>
      </c>
      <c r="D444" s="1" t="s">
        <v>3251</v>
      </c>
      <c r="E444" s="1" t="s">
        <v>3252</v>
      </c>
      <c r="F444" s="1" t="s">
        <v>3253</v>
      </c>
      <c r="G444" s="3" t="str">
        <f>IFERROR(__xludf.DUMMYFUNCTION("AI(""Preencha um valor adequado para esta célula com base no contexto da tabela"")"),"Timon - MA")</f>
        <v>Timon - MA</v>
      </c>
      <c r="H444" s="2" t="s">
        <v>3254</v>
      </c>
      <c r="I444" s="1" t="s">
        <v>3255</v>
      </c>
      <c r="J444" s="3" t="str">
        <f>IFERROR(__xludf.DUMMYFUNCTION("IF(A444="""", """", IFS(REGEXMATCH(LOWER(A444), ""barbearia|barber""), ""Barbearia"", REGEXMATCH(LOWER(A444), ""sobrancelh|c[ií]lio|lash|micropigment|showbrancelhas""), ""Sobrancelhas e Cílios"", REGEXMATCH(LOWER(A444), ""maquia|make""), ""Maquiagem"", RE"&amp;"GEXMATCH(LOWER(A444), ""depil|epil""), ""Depilação"", REGEXMATCH(LOWER(A444), ""esmalteria|unha|nail|manicur|spa dos p[eé]s|kauu_nhas""), ""Manicure - Esmalteria"", REGEXMATCH(LOWER(A444), ""est[eé]tic|bronze|massot|terap|pilates|revitalize|dra""), ""Clín"&amp;"ica de Estética"", TRUE, ""Salão de Beleza""))"),"Clínica de Estética")</f>
        <v>Clínica de Estética</v>
      </c>
    </row>
    <row r="445">
      <c r="A445" s="1" t="s">
        <v>3256</v>
      </c>
      <c r="B445" s="1" t="s">
        <v>725</v>
      </c>
      <c r="C445" s="1" t="s">
        <v>726</v>
      </c>
      <c r="D445" s="1" t="s">
        <v>3257</v>
      </c>
      <c r="E445" s="1" t="s">
        <v>3258</v>
      </c>
      <c r="F445" s="1" t="s">
        <v>3259</v>
      </c>
      <c r="G445" s="3" t="str">
        <f>IFERROR(__xludf.DUMMYFUNCTION("AI(""Preencha um valor adequado para esta célula com base no contexto da tabela"")"),"Timon - MA")</f>
        <v>Timon - MA</v>
      </c>
      <c r="H445" s="2" t="s">
        <v>3260</v>
      </c>
      <c r="I445" s="1" t="s">
        <v>3261</v>
      </c>
      <c r="J445" s="3" t="str">
        <f>IFERROR(__xludf.DUMMYFUNCTION("IF(A445="""", """", IFS(REGEXMATCH(LOWER(A445), ""barbearia|barber""), ""Barbearia"", REGEXMATCH(LOWER(A445), ""sobrancelh|c[ií]lio|lash|micropigment|showbrancelhas""), ""Sobrancelhas e Cílios"", REGEXMATCH(LOWER(A445), ""maquia|make""), ""Maquiagem"", RE"&amp;"GEXMATCH(LOWER(A445), ""depil|epil""), ""Depilação"", REGEXMATCH(LOWER(A445), ""esmalteria|unha|nail|manicur|spa dos p[eé]s|kauu_nhas""), ""Manicure - Esmalteria"", REGEXMATCH(LOWER(A445), ""est[eé]tic|bronze|massot|terap|pilates|revitalize|dra""), ""Clín"&amp;"ica de Estética"", TRUE, ""Salão de Beleza""))"),"Salão de Beleza")</f>
        <v>Salão de Beleza</v>
      </c>
    </row>
    <row r="446">
      <c r="A446" s="1" t="s">
        <v>3262</v>
      </c>
      <c r="B446" s="1" t="s">
        <v>3263</v>
      </c>
      <c r="C446" s="1" t="s">
        <v>3264</v>
      </c>
      <c r="D446" s="1" t="s">
        <v>3265</v>
      </c>
      <c r="E446" s="1" t="s">
        <v>3266</v>
      </c>
      <c r="F446" s="1" t="s">
        <v>3267</v>
      </c>
      <c r="G446" s="3" t="str">
        <f>IFERROR(__xludf.DUMMYFUNCTION("AI(""Preencha um valor adequado para esta célula com base no contexto da tabela"")"),"Timon - MA")</f>
        <v>Timon - MA</v>
      </c>
      <c r="H446" s="2" t="s">
        <v>3268</v>
      </c>
      <c r="I446" s="1" t="s">
        <v>3269</v>
      </c>
      <c r="J446" s="3" t="str">
        <f>IFERROR(__xludf.DUMMYFUNCTION("IF(A446="""", """", IFS(REGEXMATCH(LOWER(A446), ""barbearia|barber""), ""Barbearia"", REGEXMATCH(LOWER(A446), ""sobrancelh|c[ií]lio|lash|micropigment|showbrancelhas""), ""Sobrancelhas e Cílios"", REGEXMATCH(LOWER(A446), ""maquia|make""), ""Maquiagem"", RE"&amp;"GEXMATCH(LOWER(A446), ""depil|epil""), ""Depilação"", REGEXMATCH(LOWER(A446), ""esmalteria|unha|nail|manicur|spa dos p[eé]s|kauu_nhas""), ""Manicure - Esmalteria"", REGEXMATCH(LOWER(A446), ""est[eé]tic|bronze|massot|terap|pilates|revitalize|dra""), ""Clín"&amp;"ica de Estética"", TRUE, ""Salão de Beleza""))"),"Salão de Beleza")</f>
        <v>Salão de Beleza</v>
      </c>
    </row>
    <row r="447">
      <c r="A447" s="1" t="s">
        <v>3270</v>
      </c>
      <c r="B447" s="1" t="s">
        <v>3271</v>
      </c>
      <c r="C447" s="1" t="s">
        <v>3272</v>
      </c>
      <c r="D447" s="1" t="s">
        <v>3273</v>
      </c>
      <c r="E447" s="1" t="s">
        <v>3274</v>
      </c>
      <c r="F447" s="1" t="s">
        <v>3275</v>
      </c>
      <c r="G447" s="3" t="str">
        <f>IFERROR(__xludf.DUMMYFUNCTION("AI(""Preencha um valor adequado para esta célula com base no contexto da tabela"")"),"Timon - MA")</f>
        <v>Timon - MA</v>
      </c>
      <c r="H447" s="2" t="s">
        <v>3276</v>
      </c>
      <c r="I447" s="1" t="s">
        <v>3277</v>
      </c>
      <c r="J447" s="3" t="str">
        <f>IFERROR(__xludf.DUMMYFUNCTION("IF(A447="""", """", IFS(REGEXMATCH(LOWER(A447), ""barbearia|barber""), ""Barbearia"", REGEXMATCH(LOWER(A447), ""sobrancelh|c[ií]lio|lash|micropigment|showbrancelhas""), ""Sobrancelhas e Cílios"", REGEXMATCH(LOWER(A447), ""maquia|make""), ""Maquiagem"", RE"&amp;"GEXMATCH(LOWER(A447), ""depil|epil""), ""Depilação"", REGEXMATCH(LOWER(A447), ""esmalteria|unha|nail|manicur|spa dos p[eé]s|kauu_nhas""), ""Manicure - Esmalteria"", REGEXMATCH(LOWER(A447), ""est[eé]tic|bronze|massot|terap|pilates|revitalize|dra""), ""Clín"&amp;"ica de Estética"", TRUE, ""Salão de Beleza""))"),"Clínica de Estética")</f>
        <v>Clínica de Estética</v>
      </c>
    </row>
    <row r="448">
      <c r="A448" s="1" t="s">
        <v>3278</v>
      </c>
      <c r="B448" s="1" t="s">
        <v>3279</v>
      </c>
      <c r="C448" s="1" t="s">
        <v>3280</v>
      </c>
      <c r="D448" s="1" t="s">
        <v>3281</v>
      </c>
      <c r="E448" s="1" t="s">
        <v>3282</v>
      </c>
      <c r="F448" s="1" t="s">
        <v>3283</v>
      </c>
      <c r="G448" s="3" t="str">
        <f>IFERROR(__xludf.DUMMYFUNCTION("AI(""Preencha um valor adequado para esta célula com base no contexto da tabela"")"),"Timon - MA")</f>
        <v>Timon - MA</v>
      </c>
      <c r="H448" s="2" t="s">
        <v>3284</v>
      </c>
      <c r="I448" s="1" t="s">
        <v>3285</v>
      </c>
      <c r="J448" s="3" t="str">
        <f>IFERROR(__xludf.DUMMYFUNCTION("IF(A448="""", """", IFS(REGEXMATCH(LOWER(A448), ""barbearia|barber""), ""Barbearia"", REGEXMATCH(LOWER(A448), ""sobrancelh|c[ií]lio|lash|micropigment|showbrancelhas""), ""Sobrancelhas e Cílios"", REGEXMATCH(LOWER(A448), ""maquia|make""), ""Maquiagem"", RE"&amp;"GEXMATCH(LOWER(A448), ""depil|epil""), ""Depilação"", REGEXMATCH(LOWER(A448), ""esmalteria|unha|nail|manicur|spa dos p[eé]s|kauu_nhas""), ""Manicure - Esmalteria"", REGEXMATCH(LOWER(A448), ""est[eé]tic|bronze|massot|terap|pilates|revitalize|dra""), ""Clín"&amp;"ica de Estética"", TRUE, ""Salão de Beleza""))"),"Salão de Beleza")</f>
        <v>Salão de Beleza</v>
      </c>
    </row>
    <row r="449">
      <c r="A449" s="1" t="s">
        <v>3286</v>
      </c>
      <c r="D449" s="1" t="s">
        <v>3287</v>
      </c>
      <c r="E449" s="1" t="s">
        <v>3288</v>
      </c>
      <c r="F449" s="1" t="s">
        <v>3289</v>
      </c>
      <c r="G449" s="3" t="str">
        <f>IFERROR(__xludf.DUMMYFUNCTION("AI(""Preencha um valor adequado para esta célula com base no contexto da tabela"")"),"Timon - MA")</f>
        <v>Timon - MA</v>
      </c>
      <c r="H449" s="2" t="s">
        <v>3290</v>
      </c>
      <c r="I449" s="1" t="s">
        <v>3291</v>
      </c>
      <c r="J449" s="3" t="str">
        <f>IFERROR(__xludf.DUMMYFUNCTION("IF(A449="""", """", IFS(REGEXMATCH(LOWER(A449), ""barbearia|barber""), ""Barbearia"", REGEXMATCH(LOWER(A449), ""sobrancelh|c[ií]lio|lash|micropigment|showbrancelhas""), ""Sobrancelhas e Cílios"", REGEXMATCH(LOWER(A449), ""maquia|make""), ""Maquiagem"", RE"&amp;"GEXMATCH(LOWER(A449), ""depil|epil""), ""Depilação"", REGEXMATCH(LOWER(A449), ""esmalteria|unha|nail|manicur|spa dos p[eé]s|kauu_nhas""), ""Manicure - Esmalteria"", REGEXMATCH(LOWER(A449), ""est[eé]tic|bronze|massot|terap|pilates|revitalize|dra""), ""Clín"&amp;"ica de Estética"", TRUE, ""Salão de Beleza""))"),"Salão de Beleza")</f>
        <v>Salão de Beleza</v>
      </c>
    </row>
    <row r="450">
      <c r="A450" s="1" t="s">
        <v>3292</v>
      </c>
      <c r="B450" s="1" t="s">
        <v>3293</v>
      </c>
      <c r="C450" s="1" t="s">
        <v>3294</v>
      </c>
      <c r="D450" s="1" t="s">
        <v>3295</v>
      </c>
      <c r="E450" s="1" t="s">
        <v>310</v>
      </c>
      <c r="F450" s="1" t="s">
        <v>311</v>
      </c>
      <c r="G450" s="3" t="str">
        <f>IFERROR(__xludf.DUMMYFUNCTION("AI(""Preencha um valor adequado para esta célula com base no contexto da tabela"")"),"Timon - MA")</f>
        <v>Timon - MA</v>
      </c>
      <c r="H450" s="2" t="s">
        <v>3296</v>
      </c>
      <c r="I450" s="1" t="s">
        <v>3297</v>
      </c>
      <c r="J450" s="3" t="str">
        <f>IFERROR(__xludf.DUMMYFUNCTION("IF(A450="""", """", IFS(REGEXMATCH(LOWER(A450), ""barbearia|barber""), ""Barbearia"", REGEXMATCH(LOWER(A450), ""sobrancelh|c[ií]lio|lash|micropigment|showbrancelhas""), ""Sobrancelhas e Cílios"", REGEXMATCH(LOWER(A450), ""maquia|make""), ""Maquiagem"", RE"&amp;"GEXMATCH(LOWER(A450), ""depil|epil""), ""Depilação"", REGEXMATCH(LOWER(A450), ""esmalteria|unha|nail|manicur|spa dos p[eé]s|kauu_nhas""), ""Manicure - Esmalteria"", REGEXMATCH(LOWER(A450), ""est[eé]tic|bronze|massot|terap|pilates|revitalize|dra""), ""Clín"&amp;"ica de Estética"", TRUE, ""Salão de Beleza""))"),"Salão de Beleza")</f>
        <v>Salão de Beleza</v>
      </c>
    </row>
    <row r="451">
      <c r="A451" s="1" t="s">
        <v>3298</v>
      </c>
      <c r="B451" s="1" t="s">
        <v>3299</v>
      </c>
      <c r="C451" s="1" t="s">
        <v>3300</v>
      </c>
      <c r="D451" s="1" t="s">
        <v>3301</v>
      </c>
      <c r="E451" s="1" t="s">
        <v>3302</v>
      </c>
      <c r="F451" s="1" t="s">
        <v>3303</v>
      </c>
      <c r="G451" s="3" t="str">
        <f>IFERROR(__xludf.DUMMYFUNCTION("AI(""Preencha um valor adequado para esta célula com base no contexto da tabela"")"),"Timon - MA")</f>
        <v>Timon - MA</v>
      </c>
      <c r="H451" s="2" t="s">
        <v>3304</v>
      </c>
      <c r="I451" s="1" t="s">
        <v>3305</v>
      </c>
      <c r="J451" s="3" t="str">
        <f>IFERROR(__xludf.DUMMYFUNCTION("IF(A451="""", """", IFS(REGEXMATCH(LOWER(A451), ""barbearia|barber""), ""Barbearia"", REGEXMATCH(LOWER(A451), ""sobrancelh|c[ií]lio|lash|micropigment|showbrancelhas""), ""Sobrancelhas e Cílios"", REGEXMATCH(LOWER(A451), ""maquia|make""), ""Maquiagem"", RE"&amp;"GEXMATCH(LOWER(A451), ""depil|epil""), ""Depilação"", REGEXMATCH(LOWER(A451), ""esmalteria|unha|nail|manicur|spa dos p[eé]s|kauu_nhas""), ""Manicure - Esmalteria"", REGEXMATCH(LOWER(A451), ""est[eé]tic|bronze|massot|terap|pilates|revitalize|dra""), ""Clín"&amp;"ica de Estética"", TRUE, ""Salão de Beleza""))"),"Salão de Beleza")</f>
        <v>Salão de Beleza</v>
      </c>
    </row>
    <row r="452">
      <c r="A452" s="1" t="s">
        <v>3306</v>
      </c>
      <c r="B452" s="1" t="s">
        <v>3307</v>
      </c>
      <c r="C452" s="1" t="s">
        <v>3308</v>
      </c>
      <c r="D452" s="1" t="s">
        <v>309</v>
      </c>
      <c r="E452" s="1" t="s">
        <v>3309</v>
      </c>
      <c r="F452" s="1" t="s">
        <v>3310</v>
      </c>
      <c r="G452" s="3" t="str">
        <f>IFERROR(__xludf.DUMMYFUNCTION("AI(""Preencha um valor adequado para esta célula com base no contexto da tabela"")"),"Timon - MA")</f>
        <v>Timon - MA</v>
      </c>
      <c r="H452" s="2" t="s">
        <v>3311</v>
      </c>
      <c r="I452" s="1" t="s">
        <v>313</v>
      </c>
      <c r="J452" s="3" t="str">
        <f>IFERROR(__xludf.DUMMYFUNCTION("IF(A452="""", """", IFS(REGEXMATCH(LOWER(A452), ""barbearia|barber""), ""Barbearia"", REGEXMATCH(LOWER(A452), ""sobrancelh|c[ií]lio|lash|micropigment|showbrancelhas""), ""Sobrancelhas e Cílios"", REGEXMATCH(LOWER(A452), ""maquia|make""), ""Maquiagem"", RE"&amp;"GEXMATCH(LOWER(A452), ""depil|epil""), ""Depilação"", REGEXMATCH(LOWER(A452), ""esmalteria|unha|nail|manicur|spa dos p[eé]s|kauu_nhas""), ""Manicure - Esmalteria"", REGEXMATCH(LOWER(A452), ""est[eé]tic|bronze|massot|terap|pilates|revitalize|dra""), ""Clín"&amp;"ica de Estética"", TRUE, ""Salão de Beleza""))"),"Salão de Beleza")</f>
        <v>Salão de Beleza</v>
      </c>
    </row>
    <row r="453">
      <c r="A453" s="1" t="s">
        <v>3312</v>
      </c>
      <c r="B453" s="1" t="s">
        <v>3313</v>
      </c>
      <c r="C453" s="1" t="s">
        <v>3314</v>
      </c>
      <c r="D453" s="1" t="s">
        <v>3315</v>
      </c>
      <c r="E453" s="1" t="s">
        <v>3316</v>
      </c>
      <c r="F453" s="1" t="s">
        <v>3317</v>
      </c>
      <c r="G453" s="3" t="str">
        <f>IFERROR(__xludf.DUMMYFUNCTION("AI(""Preencha um valor adequado para esta célula com base no contexto da tabela"")"),"Timon - MA")</f>
        <v>Timon - MA</v>
      </c>
      <c r="H453" s="2" t="s">
        <v>3318</v>
      </c>
      <c r="I453" s="1" t="s">
        <v>3319</v>
      </c>
      <c r="J453" s="3" t="str">
        <f>IFERROR(__xludf.DUMMYFUNCTION("IF(A453="""", """", IFS(REGEXMATCH(LOWER(A453), ""barbearia|barber""), ""Barbearia"", REGEXMATCH(LOWER(A453), ""sobrancelh|c[ií]lio|lash|micropigment|showbrancelhas""), ""Sobrancelhas e Cílios"", REGEXMATCH(LOWER(A453), ""maquia|make""), ""Maquiagem"", RE"&amp;"GEXMATCH(LOWER(A453), ""depil|epil""), ""Depilação"", REGEXMATCH(LOWER(A453), ""esmalteria|unha|nail|manicur|spa dos p[eé]s|kauu_nhas""), ""Manicure - Esmalteria"", REGEXMATCH(LOWER(A453), ""est[eé]tic|bronze|massot|terap|pilates|revitalize|dra""), ""Clín"&amp;"ica de Estética"", TRUE, ""Salão de Beleza""))"),"Salão de Beleza")</f>
        <v>Salão de Beleza</v>
      </c>
    </row>
    <row r="454">
      <c r="A454" s="1" t="s">
        <v>3320</v>
      </c>
      <c r="B454" s="1" t="s">
        <v>3321</v>
      </c>
      <c r="C454" s="1" t="s">
        <v>3322</v>
      </c>
      <c r="D454" s="1" t="s">
        <v>3323</v>
      </c>
      <c r="E454" s="1" t="s">
        <v>310</v>
      </c>
      <c r="F454" s="1" t="s">
        <v>311</v>
      </c>
      <c r="G454" s="3" t="str">
        <f>IFERROR(__xludf.DUMMYFUNCTION("AI(""Preencha um valor adequado para esta célula com base no contexto da tabela"")"),"Timon - MA")</f>
        <v>Timon - MA</v>
      </c>
      <c r="H454" s="2" t="s">
        <v>3324</v>
      </c>
      <c r="I454" s="1" t="s">
        <v>3325</v>
      </c>
      <c r="J454" s="3" t="str">
        <f>IFERROR(__xludf.DUMMYFUNCTION("IF(A454="""", """", IFS(REGEXMATCH(LOWER(A454), ""barbearia|barber""), ""Barbearia"", REGEXMATCH(LOWER(A454), ""sobrancelh|c[ií]lio|lash|micropigment|showbrancelhas""), ""Sobrancelhas e Cílios"", REGEXMATCH(LOWER(A454), ""maquia|make""), ""Maquiagem"", RE"&amp;"GEXMATCH(LOWER(A454), ""depil|epil""), ""Depilação"", REGEXMATCH(LOWER(A454), ""esmalteria|unha|nail|manicur|spa dos p[eé]s|kauu_nhas""), ""Manicure - Esmalteria"", REGEXMATCH(LOWER(A454), ""est[eé]tic|bronze|massot|terap|pilates|revitalize|dra""), ""Clín"&amp;"ica de Estética"", TRUE, ""Salão de Beleza""))"),"Salão de Beleza")</f>
        <v>Salão de Beleza</v>
      </c>
    </row>
    <row r="455">
      <c r="A455" s="1" t="s">
        <v>3326</v>
      </c>
      <c r="B455" s="1" t="s">
        <v>3327</v>
      </c>
      <c r="C455" s="1" t="s">
        <v>3328</v>
      </c>
      <c r="D455" s="1" t="s">
        <v>3329</v>
      </c>
      <c r="E455" s="1" t="s">
        <v>3330</v>
      </c>
      <c r="F455" s="1" t="s">
        <v>3331</v>
      </c>
      <c r="G455" s="3" t="str">
        <f>IFERROR(__xludf.DUMMYFUNCTION("AI(""Preencha um valor adequado para esta célula com base no contexto da tabela"")"),"Timon - MA")</f>
        <v>Timon - MA</v>
      </c>
      <c r="H455" s="2" t="s">
        <v>3332</v>
      </c>
      <c r="I455" s="1" t="s">
        <v>3333</v>
      </c>
      <c r="J455" s="3" t="str">
        <f>IFERROR(__xludf.DUMMYFUNCTION("IF(A455="""", """", IFS(REGEXMATCH(LOWER(A455), ""barbearia|barber""), ""Barbearia"", REGEXMATCH(LOWER(A455), ""sobrancelh|c[ií]lio|lash|micropigment|showbrancelhas""), ""Sobrancelhas e Cílios"", REGEXMATCH(LOWER(A455), ""maquia|make""), ""Maquiagem"", RE"&amp;"GEXMATCH(LOWER(A455), ""depil|epil""), ""Depilação"", REGEXMATCH(LOWER(A455), ""esmalteria|unha|nail|manicur|spa dos p[eé]s|kauu_nhas""), ""Manicure - Esmalteria"", REGEXMATCH(LOWER(A455), ""est[eé]tic|bronze|massot|terap|pilates|revitalize|dra""), ""Clín"&amp;"ica de Estética"", TRUE, ""Salão de Beleza""))"),"Barbearia")</f>
        <v>Barbearia</v>
      </c>
    </row>
    <row r="456">
      <c r="A456" s="1" t="s">
        <v>3334</v>
      </c>
      <c r="B456" s="1" t="s">
        <v>3335</v>
      </c>
      <c r="C456" s="1" t="s">
        <v>3336</v>
      </c>
      <c r="D456" s="1" t="s">
        <v>3337</v>
      </c>
      <c r="E456" s="1" t="s">
        <v>3338</v>
      </c>
      <c r="F456" s="1" t="s">
        <v>3339</v>
      </c>
      <c r="G456" s="3" t="str">
        <f>IFERROR(__xludf.DUMMYFUNCTION("AI(""Preencha um valor adequado para esta célula com base no contexto da tabela"")"),"Timon - MA")</f>
        <v>Timon - MA</v>
      </c>
      <c r="H456" s="2" t="s">
        <v>3340</v>
      </c>
      <c r="I456" s="1" t="s">
        <v>48</v>
      </c>
      <c r="J456" s="3" t="str">
        <f>IFERROR(__xludf.DUMMYFUNCTION("IF(A456="""", """", IFS(REGEXMATCH(LOWER(A456), ""barbearia|barber""), ""Barbearia"", REGEXMATCH(LOWER(A456), ""sobrancelh|c[ií]lio|lash|micropigment|showbrancelhas""), ""Sobrancelhas e Cílios"", REGEXMATCH(LOWER(A456), ""maquia|make""), ""Maquiagem"", RE"&amp;"GEXMATCH(LOWER(A456), ""depil|epil""), ""Depilação"", REGEXMATCH(LOWER(A456), ""esmalteria|unha|nail|manicur|spa dos p[eé]s|kauu_nhas""), ""Manicure - Esmalteria"", REGEXMATCH(LOWER(A456), ""est[eé]tic|bronze|massot|terap|pilates|revitalize|dra""), ""Clín"&amp;"ica de Estética"", TRUE, ""Salão de Beleza""))"),"Barbearia")</f>
        <v>Barbearia</v>
      </c>
    </row>
    <row r="457">
      <c r="A457" s="1" t="s">
        <v>3341</v>
      </c>
      <c r="B457" s="1" t="s">
        <v>3342</v>
      </c>
      <c r="C457" s="1" t="s">
        <v>3343</v>
      </c>
      <c r="D457" s="1" t="s">
        <v>3344</v>
      </c>
      <c r="E457" s="1" t="s">
        <v>310</v>
      </c>
      <c r="F457" s="1" t="s">
        <v>311</v>
      </c>
      <c r="G457" s="3" t="str">
        <f>IFERROR(__xludf.DUMMYFUNCTION("AI(""Preencha um valor adequado para esta célula com base no contexto da tabela"")"),"Timon - MA")</f>
        <v>Timon - MA</v>
      </c>
      <c r="H457" s="2" t="s">
        <v>3345</v>
      </c>
      <c r="I457" s="1" t="s">
        <v>3346</v>
      </c>
      <c r="J457" s="3" t="str">
        <f>IFERROR(__xludf.DUMMYFUNCTION("IF(A457="""", """", IFS(REGEXMATCH(LOWER(A457), ""barbearia|barber""), ""Barbearia"", REGEXMATCH(LOWER(A457), ""sobrancelh|c[ií]lio|lash|micropigment|showbrancelhas""), ""Sobrancelhas e Cílios"", REGEXMATCH(LOWER(A457), ""maquia|make""), ""Maquiagem"", RE"&amp;"GEXMATCH(LOWER(A457), ""depil|epil""), ""Depilação"", REGEXMATCH(LOWER(A457), ""esmalteria|unha|nail|manicur|spa dos p[eé]s|kauu_nhas""), ""Manicure - Esmalteria"", REGEXMATCH(LOWER(A457), ""est[eé]tic|bronze|massot|terap|pilates|revitalize|dra""), ""Clín"&amp;"ica de Estética"", TRUE, ""Salão de Beleza""))"),"Salão de Beleza")</f>
        <v>Salão de Beleza</v>
      </c>
    </row>
    <row r="458">
      <c r="A458" s="1" t="s">
        <v>3347</v>
      </c>
      <c r="B458" s="1" t="s">
        <v>3348</v>
      </c>
      <c r="C458" s="1" t="s">
        <v>3349</v>
      </c>
      <c r="D458" s="1" t="s">
        <v>3350</v>
      </c>
      <c r="E458" s="1" t="s">
        <v>3351</v>
      </c>
      <c r="F458" s="1" t="s">
        <v>3352</v>
      </c>
      <c r="G458" s="3" t="str">
        <f>IFERROR(__xludf.DUMMYFUNCTION("AI(""Preencha um valor adequado para esta célula com base no contexto da tabela"")"),"Timon - MA")</f>
        <v>Timon - MA</v>
      </c>
      <c r="H458" s="2" t="s">
        <v>3353</v>
      </c>
      <c r="I458" s="1" t="s">
        <v>3354</v>
      </c>
      <c r="J458" s="3" t="str">
        <f>IFERROR(__xludf.DUMMYFUNCTION("IF(A458="""", """", IFS(REGEXMATCH(LOWER(A458), ""barbearia|barber""), ""Barbearia"", REGEXMATCH(LOWER(A458), ""sobrancelh|c[ií]lio|lash|micropigment|showbrancelhas""), ""Sobrancelhas e Cílios"", REGEXMATCH(LOWER(A458), ""maquia|make""), ""Maquiagem"", RE"&amp;"GEXMATCH(LOWER(A458), ""depil|epil""), ""Depilação"", REGEXMATCH(LOWER(A458), ""esmalteria|unha|nail|manicur|spa dos p[eé]s|kauu_nhas""), ""Manicure - Esmalteria"", REGEXMATCH(LOWER(A458), ""est[eé]tic|bronze|massot|terap|pilates|revitalize|dra""), ""Clín"&amp;"ica de Estética"", TRUE, ""Salão de Beleza""))"),"Barbearia")</f>
        <v>Barbearia</v>
      </c>
    </row>
    <row r="459">
      <c r="A459" s="1" t="s">
        <v>3355</v>
      </c>
      <c r="B459" s="1" t="s">
        <v>3356</v>
      </c>
      <c r="C459" s="1" t="s">
        <v>3357</v>
      </c>
      <c r="D459" s="1" t="s">
        <v>3358</v>
      </c>
      <c r="E459" s="1" t="s">
        <v>3359</v>
      </c>
      <c r="F459" s="1" t="s">
        <v>3360</v>
      </c>
      <c r="G459" s="3" t="str">
        <f>IFERROR(__xludf.DUMMYFUNCTION("AI(""Preencha um valor adequado para esta célula com base no contexto da tabela"")"),"Timon - MA")</f>
        <v>Timon - MA</v>
      </c>
      <c r="H459" s="2" t="s">
        <v>3361</v>
      </c>
      <c r="I459" s="1" t="s">
        <v>3362</v>
      </c>
      <c r="J459" s="3" t="str">
        <f>IFERROR(__xludf.DUMMYFUNCTION("IF(A459="""", """", IFS(REGEXMATCH(LOWER(A459), ""barbearia|barber""), ""Barbearia"", REGEXMATCH(LOWER(A459), ""sobrancelh|c[ií]lio|lash|micropigment|showbrancelhas""), ""Sobrancelhas e Cílios"", REGEXMATCH(LOWER(A459), ""maquia|make""), ""Maquiagem"", RE"&amp;"GEXMATCH(LOWER(A459), ""depil|epil""), ""Depilação"", REGEXMATCH(LOWER(A459), ""esmalteria|unha|nail|manicur|spa dos p[eé]s|kauu_nhas""), ""Manicure - Esmalteria"", REGEXMATCH(LOWER(A459), ""est[eé]tic|bronze|massot|terap|pilates|revitalize|dra""), ""Clín"&amp;"ica de Estética"", TRUE, ""Salão de Beleza""))"),"Barbearia")</f>
        <v>Barbearia</v>
      </c>
    </row>
    <row r="460">
      <c r="A460" s="1" t="s">
        <v>3363</v>
      </c>
      <c r="B460" s="1" t="s">
        <v>3364</v>
      </c>
      <c r="C460" s="1" t="s">
        <v>3365</v>
      </c>
      <c r="E460" s="1" t="s">
        <v>1777</v>
      </c>
      <c r="F460" s="1" t="s">
        <v>1778</v>
      </c>
      <c r="G460" s="3" t="str">
        <f>IFERROR(__xludf.DUMMYFUNCTION("AI(""Preencha um valor adequado para esta célula com base no contexto da tabela"")"),"Timon - MA")</f>
        <v>Timon - MA</v>
      </c>
      <c r="H460" s="2" t="s">
        <v>3366</v>
      </c>
      <c r="J460" s="3" t="str">
        <f>IFERROR(__xludf.DUMMYFUNCTION("IF(A460="""", """", IFS(REGEXMATCH(LOWER(A460), ""barbearia|barber""), ""Barbearia"", REGEXMATCH(LOWER(A460), ""sobrancelh|c[ií]lio|lash|micropigment|showbrancelhas""), ""Sobrancelhas e Cílios"", REGEXMATCH(LOWER(A460), ""maquia|make""), ""Maquiagem"", RE"&amp;"GEXMATCH(LOWER(A460), ""depil|epil""), ""Depilação"", REGEXMATCH(LOWER(A460), ""esmalteria|unha|nail|manicur|spa dos p[eé]s|kauu_nhas""), ""Manicure - Esmalteria"", REGEXMATCH(LOWER(A460), ""est[eé]tic|bronze|massot|terap|pilates|revitalize|dra""), ""Clín"&amp;"ica de Estética"", TRUE, ""Salão de Beleza""))"),"Salão de Beleza")</f>
        <v>Salão de Beleza</v>
      </c>
    </row>
    <row r="461">
      <c r="A461" s="1" t="s">
        <v>3367</v>
      </c>
      <c r="B461" s="1" t="s">
        <v>3368</v>
      </c>
      <c r="C461" s="1" t="s">
        <v>3369</v>
      </c>
      <c r="D461" s="1" t="s">
        <v>3370</v>
      </c>
      <c r="E461" s="1" t="s">
        <v>3371</v>
      </c>
      <c r="F461" s="1" t="s">
        <v>3372</v>
      </c>
      <c r="G461" s="3" t="str">
        <f>IFERROR(__xludf.DUMMYFUNCTION("AI(""Preencha um valor adequado para esta célula com base no contexto da tabela"")"),"Timon - MA")</f>
        <v>Timon - MA</v>
      </c>
      <c r="H461" s="2" t="s">
        <v>3373</v>
      </c>
      <c r="I461" s="1" t="s">
        <v>3374</v>
      </c>
      <c r="J461" s="3" t="str">
        <f>IFERROR(__xludf.DUMMYFUNCTION("IF(A461="""", """", IFS(REGEXMATCH(LOWER(A461), ""barbearia|barber""), ""Barbearia"", REGEXMATCH(LOWER(A461), ""sobrancelh|c[ií]lio|lash|micropigment|showbrancelhas""), ""Sobrancelhas e Cílios"", REGEXMATCH(LOWER(A461), ""maquia|make""), ""Maquiagem"", RE"&amp;"GEXMATCH(LOWER(A461), ""depil|epil""), ""Depilação"", REGEXMATCH(LOWER(A461), ""esmalteria|unha|nail|manicur|spa dos p[eé]s|kauu_nhas""), ""Manicure - Esmalteria"", REGEXMATCH(LOWER(A461), ""est[eé]tic|bronze|massot|terap|pilates|revitalize|dra""), ""Clín"&amp;"ica de Estética"", TRUE, ""Salão de Beleza""))"),"Salão de Beleza")</f>
        <v>Salão de Beleza</v>
      </c>
    </row>
    <row r="462">
      <c r="A462" s="1" t="s">
        <v>3375</v>
      </c>
      <c r="B462" s="1" t="s">
        <v>3376</v>
      </c>
      <c r="C462" s="1" t="s">
        <v>3377</v>
      </c>
      <c r="D462" s="1" t="s">
        <v>3378</v>
      </c>
      <c r="E462" s="1" t="s">
        <v>3379</v>
      </c>
      <c r="F462" s="1" t="s">
        <v>3380</v>
      </c>
      <c r="G462" s="3" t="str">
        <f>IFERROR(__xludf.DUMMYFUNCTION("AI(""Preencha um valor adequado para esta célula com base no contexto da tabela"")"),"Timon - MA")</f>
        <v>Timon - MA</v>
      </c>
      <c r="H462" s="2" t="s">
        <v>3381</v>
      </c>
      <c r="I462" s="1" t="s">
        <v>3382</v>
      </c>
      <c r="J462" s="3" t="str">
        <f>IFERROR(__xludf.DUMMYFUNCTION("IF(A462="""", """", IFS(REGEXMATCH(LOWER(A462), ""barbearia|barber""), ""Barbearia"", REGEXMATCH(LOWER(A462), ""sobrancelh|c[ií]lio|lash|micropigment|showbrancelhas""), ""Sobrancelhas e Cílios"", REGEXMATCH(LOWER(A462), ""maquia|make""), ""Maquiagem"", RE"&amp;"GEXMATCH(LOWER(A462), ""depil|epil""), ""Depilação"", REGEXMATCH(LOWER(A462), ""esmalteria|unha|nail|manicur|spa dos p[eé]s|kauu_nhas""), ""Manicure - Esmalteria"", REGEXMATCH(LOWER(A462), ""est[eé]tic|bronze|massot|terap|pilates|revitalize|dra""), ""Clín"&amp;"ica de Estética"", TRUE, ""Salão de Beleza""))"),"Salão de Beleza")</f>
        <v>Salão de Beleza</v>
      </c>
    </row>
    <row r="463">
      <c r="A463" s="1" t="s">
        <v>3383</v>
      </c>
      <c r="B463" s="1" t="s">
        <v>3384</v>
      </c>
      <c r="C463" s="1" t="s">
        <v>3385</v>
      </c>
      <c r="E463" s="1" t="s">
        <v>1777</v>
      </c>
      <c r="F463" s="1" t="s">
        <v>1778</v>
      </c>
      <c r="G463" s="3" t="str">
        <f>IFERROR(__xludf.DUMMYFUNCTION("AI(""Preencha um valor adequado para esta célula com base no contexto da tabela"")"),"Timon - MA")</f>
        <v>Timon - MA</v>
      </c>
      <c r="H463" s="2" t="s">
        <v>3386</v>
      </c>
      <c r="J463" s="3" t="str">
        <f>IFERROR(__xludf.DUMMYFUNCTION("IF(A463="""", """", IFS(REGEXMATCH(LOWER(A463), ""barbearia|barber""), ""Barbearia"", REGEXMATCH(LOWER(A463), ""sobrancelh|c[ií]lio|lash|micropigment|showbrancelhas""), ""Sobrancelhas e Cílios"", REGEXMATCH(LOWER(A463), ""maquia|make""), ""Maquiagem"", RE"&amp;"GEXMATCH(LOWER(A463), ""depil|epil""), ""Depilação"", REGEXMATCH(LOWER(A463), ""esmalteria|unha|nail|manicur|spa dos p[eé]s|kauu_nhas""), ""Manicure - Esmalteria"", REGEXMATCH(LOWER(A463), ""est[eé]tic|bronze|massot|terap|pilates|revitalize|dra""), ""Clín"&amp;"ica de Estética"", TRUE, ""Salão de Beleza""))"),"Salão de Beleza")</f>
        <v>Salão de Beleza</v>
      </c>
    </row>
    <row r="464">
      <c r="A464" s="1" t="s">
        <v>3387</v>
      </c>
      <c r="B464" s="1" t="s">
        <v>3388</v>
      </c>
      <c r="C464" s="1" t="s">
        <v>3389</v>
      </c>
      <c r="D464" s="1" t="s">
        <v>3390</v>
      </c>
      <c r="E464" s="1" t="s">
        <v>3391</v>
      </c>
      <c r="F464" s="1" t="s">
        <v>3392</v>
      </c>
      <c r="G464" s="3" t="str">
        <f>IFERROR(__xludf.DUMMYFUNCTION("AI(""Preencha um valor adequado para esta célula com base no contexto da tabela"")"),"Timon - MA")</f>
        <v>Timon - MA</v>
      </c>
      <c r="H464" s="2" t="s">
        <v>3393</v>
      </c>
      <c r="I464" s="1" t="s">
        <v>3394</v>
      </c>
      <c r="J464" s="3" t="str">
        <f>IFERROR(__xludf.DUMMYFUNCTION("IF(A464="""", """", IFS(REGEXMATCH(LOWER(A464), ""barbearia|barber""), ""Barbearia"", REGEXMATCH(LOWER(A464), ""sobrancelh|c[ií]lio|lash|micropigment|showbrancelhas""), ""Sobrancelhas e Cílios"", REGEXMATCH(LOWER(A464), ""maquia|make""), ""Maquiagem"", RE"&amp;"GEXMATCH(LOWER(A464), ""depil|epil""), ""Depilação"", REGEXMATCH(LOWER(A464), ""esmalteria|unha|nail|manicur|spa dos p[eé]s|kauu_nhas""), ""Manicure - Esmalteria"", REGEXMATCH(LOWER(A464), ""est[eé]tic|bronze|massot|terap|pilates|revitalize|dra""), ""Clín"&amp;"ica de Estética"", TRUE, ""Salão de Beleza""))"),"Salão de Beleza")</f>
        <v>Salão de Beleza</v>
      </c>
    </row>
    <row r="465">
      <c r="A465" s="1" t="s">
        <v>3395</v>
      </c>
      <c r="B465" s="1" t="s">
        <v>3396</v>
      </c>
      <c r="C465" s="1" t="s">
        <v>3397</v>
      </c>
      <c r="D465" s="1" t="s">
        <v>3398</v>
      </c>
      <c r="E465" s="1" t="s">
        <v>3399</v>
      </c>
      <c r="F465" s="1" t="s">
        <v>3400</v>
      </c>
      <c r="G465" s="3" t="str">
        <f>IFERROR(__xludf.DUMMYFUNCTION("AI(""Preencha um valor adequado para esta célula com base no contexto da tabela"")"),"Timon - MA")</f>
        <v>Timon - MA</v>
      </c>
      <c r="H465" s="2" t="s">
        <v>3401</v>
      </c>
      <c r="I465" s="1" t="s">
        <v>3402</v>
      </c>
      <c r="J465" s="3" t="str">
        <f>IFERROR(__xludf.DUMMYFUNCTION("IF(A465="""", """", IFS(REGEXMATCH(LOWER(A465), ""barbearia|barber""), ""Barbearia"", REGEXMATCH(LOWER(A465), ""sobrancelh|c[ií]lio|lash|micropigment|showbrancelhas""), ""Sobrancelhas e Cílios"", REGEXMATCH(LOWER(A465), ""maquia|make""), ""Maquiagem"", RE"&amp;"GEXMATCH(LOWER(A465), ""depil|epil""), ""Depilação"", REGEXMATCH(LOWER(A465), ""esmalteria|unha|nail|manicur|spa dos p[eé]s|kauu_nhas""), ""Manicure - Esmalteria"", REGEXMATCH(LOWER(A465), ""est[eé]tic|bronze|massot|terap|pilates|revitalize|dra""), ""Clín"&amp;"ica de Estética"", TRUE, ""Salão de Beleza""))"),"Salão de Beleza")</f>
        <v>Salão de Beleza</v>
      </c>
    </row>
    <row r="466">
      <c r="A466" s="1" t="s">
        <v>3403</v>
      </c>
      <c r="D466" s="1" t="s">
        <v>3404</v>
      </c>
      <c r="E466" s="1" t="s">
        <v>3405</v>
      </c>
      <c r="F466" s="1" t="s">
        <v>3406</v>
      </c>
      <c r="G466" s="3" t="str">
        <f>IFERROR(__xludf.DUMMYFUNCTION("AI(""Preencha um valor adequado para esta célula com base no contexto da tabela"")"),"Timon - CE")</f>
        <v>Timon - CE</v>
      </c>
      <c r="H466" s="2" t="s">
        <v>3407</v>
      </c>
      <c r="I466" s="1" t="s">
        <v>3408</v>
      </c>
      <c r="J466" s="3" t="str">
        <f>IFERROR(__xludf.DUMMYFUNCTION("IF(A466="""", """", IFS(REGEXMATCH(LOWER(A466), ""barbearia|barber""), ""Barbearia"", REGEXMATCH(LOWER(A466), ""sobrancelh|c[ií]lio|lash|micropigment|showbrancelhas""), ""Sobrancelhas e Cílios"", REGEXMATCH(LOWER(A466), ""maquia|make""), ""Maquiagem"", RE"&amp;"GEXMATCH(LOWER(A466), ""depil|epil""), ""Depilação"", REGEXMATCH(LOWER(A466), ""esmalteria|unha|nail|manicur|spa dos p[eé]s|kauu_nhas""), ""Manicure - Esmalteria"", REGEXMATCH(LOWER(A466), ""est[eé]tic|bronze|massot|terap|pilates|revitalize|dra""), ""Clín"&amp;"ica de Estética"", TRUE, ""Salão de Beleza""))"),"Salão de Beleza")</f>
        <v>Salão de Beleza</v>
      </c>
    </row>
    <row r="467">
      <c r="A467" s="1" t="s">
        <v>3409</v>
      </c>
      <c r="B467" s="1" t="s">
        <v>3410</v>
      </c>
      <c r="C467" s="1" t="s">
        <v>3411</v>
      </c>
      <c r="D467" s="1" t="s">
        <v>3412</v>
      </c>
      <c r="E467" s="1" t="s">
        <v>3413</v>
      </c>
      <c r="F467" s="1" t="s">
        <v>3414</v>
      </c>
      <c r="G467" s="3" t="str">
        <f>IFERROR(__xludf.DUMMYFUNCTION("AI(""Preencha um valor adequado para esta célula com base no contexto da tabela"")"),"Timon - MA")</f>
        <v>Timon - MA</v>
      </c>
      <c r="H467" s="2" t="s">
        <v>3415</v>
      </c>
      <c r="I467" s="1" t="s">
        <v>3416</v>
      </c>
      <c r="J467" s="3" t="str">
        <f>IFERROR(__xludf.DUMMYFUNCTION("IF(A467="""", """", IFS(REGEXMATCH(LOWER(A467), ""barbearia|barber""), ""Barbearia"", REGEXMATCH(LOWER(A467), ""sobrancelh|c[ií]lio|lash|micropigment|showbrancelhas""), ""Sobrancelhas e Cílios"", REGEXMATCH(LOWER(A467), ""maquia|make""), ""Maquiagem"", RE"&amp;"GEXMATCH(LOWER(A467), ""depil|epil""), ""Depilação"", REGEXMATCH(LOWER(A467), ""esmalteria|unha|nail|manicur|spa dos p[eé]s|kauu_nhas""), ""Manicure - Esmalteria"", REGEXMATCH(LOWER(A467), ""est[eé]tic|bronze|massot|terap|pilates|revitalize|dra""), ""Clín"&amp;"ica de Estética"", TRUE, ""Salão de Beleza""))"),"Salão de Beleza")</f>
        <v>Salão de Beleza</v>
      </c>
    </row>
    <row r="468">
      <c r="A468" s="1" t="s">
        <v>3417</v>
      </c>
      <c r="B468" s="1" t="s">
        <v>3418</v>
      </c>
      <c r="C468" s="1" t="s">
        <v>3419</v>
      </c>
      <c r="D468" s="1" t="s">
        <v>3420</v>
      </c>
      <c r="E468" s="1" t="s">
        <v>3421</v>
      </c>
      <c r="F468" s="1" t="s">
        <v>3422</v>
      </c>
      <c r="G468" s="3" t="str">
        <f>IFERROR(__xludf.DUMMYFUNCTION("AI(""Preencha um valor adequado para esta célula com base no contexto da tabela"")"),"Timon - MA")</f>
        <v>Timon - MA</v>
      </c>
      <c r="H468" s="2" t="s">
        <v>3423</v>
      </c>
      <c r="I468" s="1" t="s">
        <v>3424</v>
      </c>
      <c r="J468" s="3" t="str">
        <f>IFERROR(__xludf.DUMMYFUNCTION("IF(A468="""", """", IFS(REGEXMATCH(LOWER(A468), ""barbearia|barber""), ""Barbearia"", REGEXMATCH(LOWER(A468), ""sobrancelh|c[ií]lio|lash|micropigment|showbrancelhas""), ""Sobrancelhas e Cílios"", REGEXMATCH(LOWER(A468), ""maquia|make""), ""Maquiagem"", RE"&amp;"GEXMATCH(LOWER(A468), ""depil|epil""), ""Depilação"", REGEXMATCH(LOWER(A468), ""esmalteria|unha|nail|manicur|spa dos p[eé]s|kauu_nhas""), ""Manicure - Esmalteria"", REGEXMATCH(LOWER(A468), ""est[eé]tic|bronze|massot|terap|pilates|revitalize|dra""), ""Clín"&amp;"ica de Estética"", TRUE, ""Salão de Beleza""))"),"Salão de Beleza")</f>
        <v>Salão de Beleza</v>
      </c>
    </row>
    <row r="469">
      <c r="A469" s="1" t="s">
        <v>3425</v>
      </c>
      <c r="B469" s="1" t="s">
        <v>3426</v>
      </c>
      <c r="C469" s="1" t="s">
        <v>3427</v>
      </c>
      <c r="D469" s="1" t="s">
        <v>3428</v>
      </c>
      <c r="E469" s="1" t="s">
        <v>3429</v>
      </c>
      <c r="F469" s="1" t="s">
        <v>3430</v>
      </c>
      <c r="G469" s="3" t="str">
        <f>IFERROR(__xludf.DUMMYFUNCTION("AI(""Preencha um valor adequado para esta célula com base no contexto da tabela"")"),"Timon - MA")</f>
        <v>Timon - MA</v>
      </c>
      <c r="H469" s="2" t="s">
        <v>3431</v>
      </c>
      <c r="I469" s="1" t="s">
        <v>3432</v>
      </c>
      <c r="J469" s="3" t="str">
        <f>IFERROR(__xludf.DUMMYFUNCTION("IF(A469="""", """", IFS(REGEXMATCH(LOWER(A469), ""barbearia|barber""), ""Barbearia"", REGEXMATCH(LOWER(A469), ""sobrancelh|c[ií]lio|lash|micropigment|showbrancelhas""), ""Sobrancelhas e Cílios"", REGEXMATCH(LOWER(A469), ""maquia|make""), ""Maquiagem"", RE"&amp;"GEXMATCH(LOWER(A469), ""depil|epil""), ""Depilação"", REGEXMATCH(LOWER(A469), ""esmalteria|unha|nail|manicur|spa dos p[eé]s|kauu_nhas""), ""Manicure - Esmalteria"", REGEXMATCH(LOWER(A469), ""est[eé]tic|bronze|massot|terap|pilates|revitalize|dra""), ""Clín"&amp;"ica de Estética"", TRUE, ""Salão de Beleza""))"),"Salão de Beleza")</f>
        <v>Salão de Beleza</v>
      </c>
    </row>
    <row r="470">
      <c r="A470" s="1" t="s">
        <v>3433</v>
      </c>
      <c r="D470" s="1" t="s">
        <v>3434</v>
      </c>
      <c r="E470" s="1" t="s">
        <v>3435</v>
      </c>
      <c r="F470" s="1" t="s">
        <v>3436</v>
      </c>
      <c r="G470" s="3" t="str">
        <f>IFERROR(__xludf.DUMMYFUNCTION("AI(""Preencha um valor adequado para esta célula com base no contexto da tabela"")"),"Timon - MA")</f>
        <v>Timon - MA</v>
      </c>
      <c r="H470" s="2" t="s">
        <v>3437</v>
      </c>
      <c r="I470" s="1" t="s">
        <v>3438</v>
      </c>
      <c r="J470" s="3" t="str">
        <f>IFERROR(__xludf.DUMMYFUNCTION("IF(A470="""", """", IFS(REGEXMATCH(LOWER(A470), ""barbearia|barber""), ""Barbearia"", REGEXMATCH(LOWER(A470), ""sobrancelh|c[ií]lio|lash|micropigment|showbrancelhas""), ""Sobrancelhas e Cílios"", REGEXMATCH(LOWER(A470), ""maquia|make""), ""Maquiagem"", RE"&amp;"GEXMATCH(LOWER(A470), ""depil|epil""), ""Depilação"", REGEXMATCH(LOWER(A470), ""esmalteria|unha|nail|manicur|spa dos p[eé]s|kauu_nhas""), ""Manicure - Esmalteria"", REGEXMATCH(LOWER(A470), ""est[eé]tic|bronze|massot|terap|pilates|revitalize|dra""), ""Clín"&amp;"ica de Estética"", TRUE, ""Salão de Beleza""))"),"Salão de Beleza")</f>
        <v>Salão de Beleza</v>
      </c>
    </row>
    <row r="471">
      <c r="A471" s="1" t="s">
        <v>3439</v>
      </c>
      <c r="B471" s="1" t="s">
        <v>1767</v>
      </c>
      <c r="C471" s="1" t="s">
        <v>1768</v>
      </c>
      <c r="D471" s="1" t="s">
        <v>1769</v>
      </c>
      <c r="E471" s="1" t="s">
        <v>3440</v>
      </c>
      <c r="F471" s="1" t="s">
        <v>3441</v>
      </c>
      <c r="G471" s="3" t="str">
        <f>IFERROR(__xludf.DUMMYFUNCTION("AI(""Preencha um valor adequado para esta célula com base no contexto da tabela"")"),"Timon - MA")</f>
        <v>Timon - MA</v>
      </c>
      <c r="H471" s="2" t="s">
        <v>3442</v>
      </c>
      <c r="I471" s="1" t="s">
        <v>1773</v>
      </c>
      <c r="J471" s="3" t="str">
        <f>IFERROR(__xludf.DUMMYFUNCTION("IF(A471="""", """", IFS(REGEXMATCH(LOWER(A471), ""barbearia|barber""), ""Barbearia"", REGEXMATCH(LOWER(A471), ""sobrancelh|c[ií]lio|lash|micropigment|showbrancelhas""), ""Sobrancelhas e Cílios"", REGEXMATCH(LOWER(A471), ""maquia|make""), ""Maquiagem"", RE"&amp;"GEXMATCH(LOWER(A471), ""depil|epil""), ""Depilação"", REGEXMATCH(LOWER(A471), ""esmalteria|unha|nail|manicur|spa dos p[eé]s|kauu_nhas""), ""Manicure - Esmalteria"", REGEXMATCH(LOWER(A471), ""est[eé]tic|bronze|massot|terap|pilates|revitalize|dra""), ""Clín"&amp;"ica de Estética"", TRUE, ""Salão de Beleza""))"),"Salão de Beleza")</f>
        <v>Salão de Beleza</v>
      </c>
    </row>
    <row r="472">
      <c r="A472" s="1" t="s">
        <v>3443</v>
      </c>
      <c r="D472" s="1" t="s">
        <v>1430</v>
      </c>
      <c r="E472" s="1" t="s">
        <v>3444</v>
      </c>
      <c r="F472" s="1" t="s">
        <v>3445</v>
      </c>
      <c r="G472" s="3" t="str">
        <f>IFERROR(__xludf.DUMMYFUNCTION("AI(""Preencha um valor adequado para esta célula com base no contexto da tabela"")"),"Timon - MA")</f>
        <v>Timon - MA</v>
      </c>
      <c r="H472" s="2" t="s">
        <v>3446</v>
      </c>
      <c r="I472" s="1" t="s">
        <v>1434</v>
      </c>
      <c r="J472" s="3" t="str">
        <f>IFERROR(__xludf.DUMMYFUNCTION("IF(A472="""", """", IFS(REGEXMATCH(LOWER(A472), ""barbearia|barber""), ""Barbearia"", REGEXMATCH(LOWER(A472), ""sobrancelh|c[ií]lio|lash|micropigment|showbrancelhas""), ""Sobrancelhas e Cílios"", REGEXMATCH(LOWER(A472), ""maquia|make""), ""Maquiagem"", RE"&amp;"GEXMATCH(LOWER(A472), ""depil|epil""), ""Depilação"", REGEXMATCH(LOWER(A472), ""esmalteria|unha|nail|manicur|spa dos p[eé]s|kauu_nhas""), ""Manicure - Esmalteria"", REGEXMATCH(LOWER(A472), ""est[eé]tic|bronze|massot|terap|pilates|revitalize|dra""), ""Clín"&amp;"ica de Estética"", TRUE, ""Salão de Beleza""))"),"Salão de Beleza")</f>
        <v>Salão de Beleza</v>
      </c>
    </row>
    <row r="473">
      <c r="A473" s="1" t="s">
        <v>3447</v>
      </c>
      <c r="B473" s="1" t="s">
        <v>3448</v>
      </c>
      <c r="C473" s="1" t="s">
        <v>3449</v>
      </c>
      <c r="D473" s="1" t="s">
        <v>3450</v>
      </c>
      <c r="E473" s="1" t="s">
        <v>3451</v>
      </c>
      <c r="F473" s="1" t="s">
        <v>3452</v>
      </c>
      <c r="G473" s="3" t="str">
        <f>IFERROR(__xludf.DUMMYFUNCTION("AI(""Preencha um valor adequado para esta célula com base no contexto da tabela"")"),"Timon - MA")</f>
        <v>Timon - MA</v>
      </c>
      <c r="H473" s="2" t="s">
        <v>3453</v>
      </c>
      <c r="I473" s="1" t="s">
        <v>3454</v>
      </c>
      <c r="J473" s="3" t="str">
        <f>IFERROR(__xludf.DUMMYFUNCTION("IF(A473="""", """", IFS(REGEXMATCH(LOWER(A473), ""barbearia|barber""), ""Barbearia"", REGEXMATCH(LOWER(A473), ""sobrancelh|c[ií]lio|lash|micropigment|showbrancelhas""), ""Sobrancelhas e Cílios"", REGEXMATCH(LOWER(A473), ""maquia|make""), ""Maquiagem"", RE"&amp;"GEXMATCH(LOWER(A473), ""depil|epil""), ""Depilação"", REGEXMATCH(LOWER(A473), ""esmalteria|unha|nail|manicur|spa dos p[eé]s|kauu_nhas""), ""Manicure - Esmalteria"", REGEXMATCH(LOWER(A473), ""est[eé]tic|bronze|massot|terap|pilates|revitalize|dra""), ""Clín"&amp;"ica de Estética"", TRUE, ""Salão de Beleza""))"),"Salão de Beleza")</f>
        <v>Salão de Beleza</v>
      </c>
    </row>
    <row r="474">
      <c r="A474" s="1" t="s">
        <v>3455</v>
      </c>
      <c r="D474" s="1" t="s">
        <v>3456</v>
      </c>
      <c r="E474" s="1" t="s">
        <v>3457</v>
      </c>
      <c r="F474" s="1" t="s">
        <v>3458</v>
      </c>
      <c r="G474" s="3" t="str">
        <f>IFERROR(__xludf.DUMMYFUNCTION("AI(""Preencha um valor adequado para esta célula com base no contexto da tabela"")"),"Timon - MA")</f>
        <v>Timon - MA</v>
      </c>
      <c r="H474" s="2" t="s">
        <v>3459</v>
      </c>
      <c r="I474" s="1" t="s">
        <v>3460</v>
      </c>
      <c r="J474" s="3" t="str">
        <f>IFERROR(__xludf.DUMMYFUNCTION("IF(A474="""", """", IFS(REGEXMATCH(LOWER(A474), ""barbearia|barber""), ""Barbearia"", REGEXMATCH(LOWER(A474), ""sobrancelh|c[ií]lio|lash|micropigment|showbrancelhas""), ""Sobrancelhas e Cílios"", REGEXMATCH(LOWER(A474), ""maquia|make""), ""Maquiagem"", RE"&amp;"GEXMATCH(LOWER(A474), ""depil|epil""), ""Depilação"", REGEXMATCH(LOWER(A474), ""esmalteria|unha|nail|manicur|spa dos p[eé]s|kauu_nhas""), ""Manicure - Esmalteria"", REGEXMATCH(LOWER(A474), ""est[eé]tic|bronze|massot|terap|pilates|revitalize|dra""), ""Clín"&amp;"ica de Estética"", TRUE, ""Salão de Beleza""))"),"Salão de Beleza")</f>
        <v>Salão de Beleza</v>
      </c>
    </row>
    <row r="475">
      <c r="A475" s="1" t="s">
        <v>3461</v>
      </c>
      <c r="B475" s="1" t="s">
        <v>3462</v>
      </c>
      <c r="C475" s="1" t="s">
        <v>3463</v>
      </c>
      <c r="D475" s="1" t="s">
        <v>3464</v>
      </c>
      <c r="E475" s="1" t="s">
        <v>3465</v>
      </c>
      <c r="F475" s="1" t="s">
        <v>3466</v>
      </c>
      <c r="G475" s="3" t="str">
        <f>IFERROR(__xludf.DUMMYFUNCTION("AI(""Preencha um valor adequado para esta célula com base no contexto da tabela"")"),"Timon - MA")</f>
        <v>Timon - MA</v>
      </c>
      <c r="H475" s="2" t="s">
        <v>3467</v>
      </c>
      <c r="I475" s="1" t="s">
        <v>3468</v>
      </c>
      <c r="J475" s="3" t="str">
        <f>IFERROR(__xludf.DUMMYFUNCTION("IF(A475="""", """", IFS(REGEXMATCH(LOWER(A475), ""barbearia|barber""), ""Barbearia"", REGEXMATCH(LOWER(A475), ""sobrancelh|c[ií]lio|lash|micropigment|showbrancelhas""), ""Sobrancelhas e Cílios"", REGEXMATCH(LOWER(A475), ""maquia|make""), ""Maquiagem"", RE"&amp;"GEXMATCH(LOWER(A475), ""depil|epil""), ""Depilação"", REGEXMATCH(LOWER(A475), ""esmalteria|unha|nail|manicur|spa dos p[eé]s|kauu_nhas""), ""Manicure - Esmalteria"", REGEXMATCH(LOWER(A475), ""est[eé]tic|bronze|massot|terap|pilates|revitalize|dra""), ""Clín"&amp;"ica de Estética"", TRUE, ""Salão de Beleza""))"),"Salão de Beleza")</f>
        <v>Salão de Beleza</v>
      </c>
    </row>
    <row r="476">
      <c r="A476" s="1" t="s">
        <v>3469</v>
      </c>
      <c r="B476" s="1" t="s">
        <v>3470</v>
      </c>
      <c r="C476" s="1" t="s">
        <v>3471</v>
      </c>
      <c r="D476" s="1" t="s">
        <v>3472</v>
      </c>
      <c r="E476" s="1" t="s">
        <v>3473</v>
      </c>
      <c r="F476" s="1" t="s">
        <v>3474</v>
      </c>
      <c r="G476" s="3" t="str">
        <f>IFERROR(__xludf.DUMMYFUNCTION("AI(""Preencha um valor adequado para esta célula com base no contexto da tabela"")"),"Timon - MA")</f>
        <v>Timon - MA</v>
      </c>
      <c r="H476" s="2" t="s">
        <v>3475</v>
      </c>
      <c r="I476" s="1" t="s">
        <v>3476</v>
      </c>
      <c r="J476" s="3" t="str">
        <f>IFERROR(__xludf.DUMMYFUNCTION("IF(A476="""", """", IFS(REGEXMATCH(LOWER(A476), ""barbearia|barber""), ""Barbearia"", REGEXMATCH(LOWER(A476), ""sobrancelh|c[ií]lio|lash|micropigment|showbrancelhas""), ""Sobrancelhas e Cílios"", REGEXMATCH(LOWER(A476), ""maquia|make""), ""Maquiagem"", RE"&amp;"GEXMATCH(LOWER(A476), ""depil|epil""), ""Depilação"", REGEXMATCH(LOWER(A476), ""esmalteria|unha|nail|manicur|spa dos p[eé]s|kauu_nhas""), ""Manicure - Esmalteria"", REGEXMATCH(LOWER(A476), ""est[eé]tic|bronze|massot|terap|pilates|revitalize|dra""), ""Clín"&amp;"ica de Estética"", TRUE, ""Salão de Beleza""))"),"Salão de Beleza")</f>
        <v>Salão de Beleza</v>
      </c>
    </row>
    <row r="477">
      <c r="A477" s="1" t="s">
        <v>3477</v>
      </c>
      <c r="B477" s="1" t="s">
        <v>3478</v>
      </c>
      <c r="C477" s="1" t="s">
        <v>3479</v>
      </c>
      <c r="E477" s="1" t="s">
        <v>1777</v>
      </c>
      <c r="F477" s="1" t="s">
        <v>1778</v>
      </c>
      <c r="G477" s="3" t="str">
        <f>IFERROR(__xludf.DUMMYFUNCTION("AI(""Preencha um valor adequado para esta célula com base no contexto da tabela"")"),"Timon - MA")</f>
        <v>Timon - MA</v>
      </c>
      <c r="H477" s="2" t="s">
        <v>3480</v>
      </c>
      <c r="J477" s="3" t="str">
        <f>IFERROR(__xludf.DUMMYFUNCTION("IF(A477="""", """", IFS(REGEXMATCH(LOWER(A477), ""barbearia|barber""), ""Barbearia"", REGEXMATCH(LOWER(A477), ""sobrancelh|c[ií]lio|lash|micropigment|showbrancelhas""), ""Sobrancelhas e Cílios"", REGEXMATCH(LOWER(A477), ""maquia|make""), ""Maquiagem"", RE"&amp;"GEXMATCH(LOWER(A477), ""depil|epil""), ""Depilação"", REGEXMATCH(LOWER(A477), ""esmalteria|unha|nail|manicur|spa dos p[eé]s|kauu_nhas""), ""Manicure - Esmalteria"", REGEXMATCH(LOWER(A477), ""est[eé]tic|bronze|massot|terap|pilates|revitalize|dra""), ""Clín"&amp;"ica de Estética"", TRUE, ""Salão de Beleza""))"),"Salão de Beleza")</f>
        <v>Salão de Beleza</v>
      </c>
    </row>
    <row r="478">
      <c r="A478" s="1" t="s">
        <v>3481</v>
      </c>
      <c r="B478" s="1" t="s">
        <v>3482</v>
      </c>
      <c r="C478" s="1" t="s">
        <v>3483</v>
      </c>
      <c r="D478" s="1" t="s">
        <v>3484</v>
      </c>
      <c r="E478" s="1" t="s">
        <v>3485</v>
      </c>
      <c r="F478" s="1" t="s">
        <v>3486</v>
      </c>
      <c r="G478" s="3" t="str">
        <f>IFERROR(__xludf.DUMMYFUNCTION("AI(""Preencha um valor adequado para esta célula com base no contexto da tabela"")"),"Timon - MA")</f>
        <v>Timon - MA</v>
      </c>
      <c r="H478" s="2" t="s">
        <v>3487</v>
      </c>
      <c r="I478" s="1" t="s">
        <v>3488</v>
      </c>
      <c r="J478" s="3" t="str">
        <f>IFERROR(__xludf.DUMMYFUNCTION("IF(A478="""", """", IFS(REGEXMATCH(LOWER(A478), ""barbearia|barber""), ""Barbearia"", REGEXMATCH(LOWER(A478), ""sobrancelh|c[ií]lio|lash|micropigment|showbrancelhas""), ""Sobrancelhas e Cílios"", REGEXMATCH(LOWER(A478), ""maquia|make""), ""Maquiagem"", RE"&amp;"GEXMATCH(LOWER(A478), ""depil|epil""), ""Depilação"", REGEXMATCH(LOWER(A478), ""esmalteria|unha|nail|manicur|spa dos p[eé]s|kauu_nhas""), ""Manicure - Esmalteria"", REGEXMATCH(LOWER(A478), ""est[eé]tic|bronze|massot|terap|pilates|revitalize|dra""), ""Clín"&amp;"ica de Estética"", TRUE, ""Salão de Beleza""))"),"Salão de Beleza")</f>
        <v>Salão de Beleza</v>
      </c>
    </row>
    <row r="479">
      <c r="A479" s="1" t="s">
        <v>3489</v>
      </c>
      <c r="B479" s="1" t="s">
        <v>3490</v>
      </c>
      <c r="C479" s="1" t="s">
        <v>3491</v>
      </c>
      <c r="E479" s="1" t="s">
        <v>3492</v>
      </c>
      <c r="F479" s="1" t="s">
        <v>3493</v>
      </c>
      <c r="G479" s="3" t="str">
        <f>IFERROR(__xludf.DUMMYFUNCTION("AI(""Preencha um valor adequado para esta célula com base no contexto da tabela"")"),"Timon - MA")</f>
        <v>Timon - MA</v>
      </c>
      <c r="H479" s="2" t="s">
        <v>3494</v>
      </c>
      <c r="J479" s="3" t="str">
        <f>IFERROR(__xludf.DUMMYFUNCTION("IF(A479="""", """", IFS(REGEXMATCH(LOWER(A479), ""barbearia|barber""), ""Barbearia"", REGEXMATCH(LOWER(A479), ""sobrancelh|c[ií]lio|lash|micropigment|showbrancelhas""), ""Sobrancelhas e Cílios"", REGEXMATCH(LOWER(A479), ""maquia|make""), ""Maquiagem"", RE"&amp;"GEXMATCH(LOWER(A479), ""depil|epil""), ""Depilação"", REGEXMATCH(LOWER(A479), ""esmalteria|unha|nail|manicur|spa dos p[eé]s|kauu_nhas""), ""Manicure - Esmalteria"", REGEXMATCH(LOWER(A479), ""est[eé]tic|bronze|massot|terap|pilates|revitalize|dra""), ""Clín"&amp;"ica de Estética"", TRUE, ""Salão de Beleza""))"),"Salão de Beleza")</f>
        <v>Salão de Beleza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</hyperlinks>
  <drawing r:id="rId479"/>
</worksheet>
</file>