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Codó - 2026-09-12_" sheetId="1" r:id="rId5"/>
  </sheets>
  <definedNames/>
  <calcPr/>
</workbook>
</file>

<file path=xl/sharedStrings.xml><?xml version="1.0" encoding="utf-8"?>
<sst xmlns="http://schemas.openxmlformats.org/spreadsheetml/2006/main" count="1042" uniqueCount="881">
  <si>
    <t>Nome</t>
  </si>
  <si>
    <t>phone</t>
  </si>
  <si>
    <t>WhatsApp</t>
  </si>
  <si>
    <t>Endereço</t>
  </si>
  <si>
    <t>Latitude</t>
  </si>
  <si>
    <t>Longitude</t>
  </si>
  <si>
    <t>Cidade</t>
  </si>
  <si>
    <t>url</t>
  </si>
  <si>
    <t>Categoria</t>
  </si>
  <si>
    <t>Instituto de Beleza Katia</t>
  </si>
  <si>
    <t>+55 99 99227-1205</t>
  </si>
  <si>
    <t>+5599992271205</t>
  </si>
  <si>
    <t>R. Fernando Carvalho, 1780 - Codó, MA, 65400-000, Brasil</t>
  </si>
  <si>
    <t>-4.4518609</t>
  </si>
  <si>
    <t>-43.8860606</t>
  </si>
  <si>
    <t>Codó - MA</t>
  </si>
  <si>
    <t>https://www.google.com/maps/search/?api=1&amp;query=Instituto%20de%20Beleza%20Katia&amp;query_place_id=ChIJB9ZzhULxiwcR8QaRavKOQEM</t>
  </si>
  <si>
    <t>Salão Espaço Da Beleza</t>
  </si>
  <si>
    <t>+55 99 99647-8320</t>
  </si>
  <si>
    <t>+5599996478320</t>
  </si>
  <si>
    <t>R. Goiânia - Codó, MA, 65400-000, Brasil</t>
  </si>
  <si>
    <t>-4.464609</t>
  </si>
  <si>
    <t>-43.87724</t>
  </si>
  <si>
    <t>https://www.google.com/maps/search/?api=1&amp;query=Sal%C3%A3o%20Espa%C3%A7o%20Da%20Beleza&amp;query_place_id=ChIJ__q1hjrxiwcR0xfvjxloKAQ</t>
  </si>
  <si>
    <t>Salão de beleza Milena Cabelos</t>
  </si>
  <si>
    <t>Avenida Maranhão, QA 7, C-05 - bairro São Raimundo, Codó - MA, 65400-000, Brasil</t>
  </si>
  <si>
    <t>-4.437021</t>
  </si>
  <si>
    <t>-43.8770701</t>
  </si>
  <si>
    <t>https://www.google.com/maps/search/?api=1&amp;query=Sal%C3%A3o%20de%20beleza%20Milena%20Cabelos&amp;query_place_id=ChIJgWpAMuXziwcRJbYStkHKPqE</t>
  </si>
  <si>
    <t>M. BEAUTY CODO</t>
  </si>
  <si>
    <t>+55 99 99130-2620</t>
  </si>
  <si>
    <t>+5599991302620</t>
  </si>
  <si>
    <t>Av. Augusto Teixeira, 2582 - SÃO SEBASTIÃO, Codó - MA, 65400-000, Brasil</t>
  </si>
  <si>
    <t>-4.4590804</t>
  </si>
  <si>
    <t>-43.8884152</t>
  </si>
  <si>
    <t>https://www.google.com/maps/search/?api=1&amp;query=M.%20BEAUTY%20CODO&amp;query_place_id=ChIJ8bshzbjxiwcRVAMJRS0HykU</t>
  </si>
  <si>
    <t>Stúdio Eliza Cabeleireiros</t>
  </si>
  <si>
    <t>+55 11 94908-9742</t>
  </si>
  <si>
    <t>+5511949089742</t>
  </si>
  <si>
    <t>R. 20 de Janeiro, 1252 - Sl C - São Sebastião, Codó - MA, 65400-000, Brasil</t>
  </si>
  <si>
    <t>-4.4625447</t>
  </si>
  <si>
    <t>-43.8853969</t>
  </si>
  <si>
    <t>https://www.google.com/maps/search/?api=1&amp;query=St%C3%BAdio%20Eliza%20Cabeleireiros&amp;query_place_id=ChIJcfCyqnHxiwcRHq3e0fyKOD4</t>
  </si>
  <si>
    <t>Ana Dark Studio</t>
  </si>
  <si>
    <t>+55 99 98858-2544</t>
  </si>
  <si>
    <t>+5599988582544</t>
  </si>
  <si>
    <t>Avenida João Ribeiro, 3227 A Em frente ao retorno do colégio mata roma! São Sebastião, Codó - MA, 65400-000, Brasil</t>
  </si>
  <si>
    <t>-4.4648535</t>
  </si>
  <si>
    <t>-43.8877741</t>
  </si>
  <si>
    <t>https://www.google.com/maps/search/?api=1&amp;query=Ana%20Dark%20Studio&amp;query_place_id=ChIJz05HkxfxiwcRZA2zK-yCfDA</t>
  </si>
  <si>
    <t>Studio de Beleza Drikkbelos</t>
  </si>
  <si>
    <t>+55 99 98131-6337</t>
  </si>
  <si>
    <t>+5599981316337</t>
  </si>
  <si>
    <t>Avenida primeiro de maio, Rua Amadeus Ferreira, 3097 - B, Codó - MA, 65400-000, Brasil</t>
  </si>
  <si>
    <t>-4.4617752</t>
  </si>
  <si>
    <t>-43.8812606</t>
  </si>
  <si>
    <t>https://www.google.com/maps/search/?api=1&amp;query=Studio%20de%20Beleza%20Drikkbelos&amp;query_place_id=ChIJUQAsoCHxiwcRX0IhGf6vGIM</t>
  </si>
  <si>
    <t>Salão Lucas</t>
  </si>
  <si>
    <t>+55 99 98431-3883</t>
  </si>
  <si>
    <t>+5599984313883</t>
  </si>
  <si>
    <t>Av. Vitórino Freire, 278 - Codó, MA, 65400-000, Brasil</t>
  </si>
  <si>
    <t>-4.4576129</t>
  </si>
  <si>
    <t>-43.8820308</t>
  </si>
  <si>
    <t>https://www.google.com/maps/search/?api=1&amp;query=Sal%C3%A3o%20Lucas&amp;query_place_id=ChIJ8ySosUDxiwcRd6QQSYSYxAk</t>
  </si>
  <si>
    <t>Nalva Esmalteria</t>
  </si>
  <si>
    <t>+55 99 98823-5514</t>
  </si>
  <si>
    <t>+5599988235514</t>
  </si>
  <si>
    <t>R. Des. Vasconcelos Tôrres - Codó, MA, 65400-000, Brasil</t>
  </si>
  <si>
    <t>-4.4523252</t>
  </si>
  <si>
    <t>-43.893757</t>
  </si>
  <si>
    <t>https://www.google.com/maps/search/?api=1&amp;query=Nalva%20Esmalteria&amp;query_place_id=ChIJv6NNSPvxiwcRQaq8P7tkJcw</t>
  </si>
  <si>
    <t>STUDIO ARTE VISUAL-HairStylish</t>
  </si>
  <si>
    <t>R. Avenida Pantanal, 2816 - Codó, MA, 65400-000, Brasil</t>
  </si>
  <si>
    <t>-4.4489975</t>
  </si>
  <si>
    <t>-43.86854</t>
  </si>
  <si>
    <t>https://www.google.com/maps/search/?api=1&amp;query=STUDIO%20ARTE%20VISUAL-HairStylish&amp;query_place_id=ChIJqYDdf1LxiwcRr65us3ejoUI</t>
  </si>
  <si>
    <t>Andressa Hair - Cabelereira</t>
  </si>
  <si>
    <t>+55 99 98110-9601</t>
  </si>
  <si>
    <t>+5599981109601</t>
  </si>
  <si>
    <t>R. Teresina, 2262-2320 - Codó, MA, 65400-000, Brasil</t>
  </si>
  <si>
    <t>-4.4662562</t>
  </si>
  <si>
    <t>-43.8949851</t>
  </si>
  <si>
    <t>https://www.google.com/maps/search/?api=1&amp;query=Andressa%20Hair%20-%20Cabelereira&amp;query_place_id=ChIJj8oxxwvxiwcRuYnzCDBol1s</t>
  </si>
  <si>
    <t>Depile-se</t>
  </si>
  <si>
    <t>+55 99 3661-8762</t>
  </si>
  <si>
    <t>+559936618762</t>
  </si>
  <si>
    <t>Av. Augusto Teixeira, 2178 - Codó, MA, 65400-000, Brasil</t>
  </si>
  <si>
    <t>-4.4552956</t>
  </si>
  <si>
    <t>-43.8881841</t>
  </si>
  <si>
    <t>https://www.google.com/maps/search/?api=1&amp;query=Depile-se&amp;query_place_id=ChIJsxJWnFjxiwcRgWQAZUrc2u8</t>
  </si>
  <si>
    <t>SALÃO TOKIM CORTES</t>
  </si>
  <si>
    <t>+55 99 98818-2424</t>
  </si>
  <si>
    <t>+5599988182424</t>
  </si>
  <si>
    <t>R. Carlos Palhano - SÃO SEBASTIÃO, Codó - MA, 65400-000, Brasil</t>
  </si>
  <si>
    <t>-4.4653206</t>
  </si>
  <si>
    <t>-43.8919292</t>
  </si>
  <si>
    <t>https://www.google.com/maps/search/?api=1&amp;query=SAL%C3%83O%20TOKIM%20CORTES&amp;query_place_id=ChIJDUh5lafxiwcRN-uHmgMtN4k</t>
  </si>
  <si>
    <t>Luh Salão de Beleza</t>
  </si>
  <si>
    <t>R. da Coehb - Codó, MA, 65400-000, Brasil</t>
  </si>
  <si>
    <t>-4.4645519</t>
  </si>
  <si>
    <t>-43.8893291</t>
  </si>
  <si>
    <t>https://www.google.com/maps/search/?api=1&amp;query=Luh%20Sal%C3%A3o%20de%20Beleza&amp;query_place_id=ChIJC3bBchfxiwcRIiVqsLKXn94</t>
  </si>
  <si>
    <t>Andréa Leal Cabelos e Make</t>
  </si>
  <si>
    <t>+55 99 98106-6108</t>
  </si>
  <si>
    <t>+5599981066108</t>
  </si>
  <si>
    <t>Travessa Santa Teresinha, R. São Luís, 1813A, Codó - MA, 65400-000, Brasil</t>
  </si>
  <si>
    <t>-4.473474</t>
  </si>
  <si>
    <t>-43.8941541</t>
  </si>
  <si>
    <t>https://www.google.com/maps/search/?api=1&amp;query=Andr%C3%A9a%20Leal%20Cabelos%20e%20Make&amp;query_place_id=ChIJp9boYG_xiwcRC8xZdYcKxj0</t>
  </si>
  <si>
    <t>Salão de Beleza e Maquiagem</t>
  </si>
  <si>
    <t>Look Fashion Cabelos</t>
  </si>
  <si>
    <t>+55 99 3661-4090</t>
  </si>
  <si>
    <t>+559936614090</t>
  </si>
  <si>
    <t>R. César Brandão, 796 - Sao Pedro, Codó - MA, 65400-000, Brasil</t>
  </si>
  <si>
    <t>-4.453285</t>
  </si>
  <si>
    <t>-43.890542</t>
  </si>
  <si>
    <t>https://www.google.com/maps/search/?api=1&amp;query=Look%20Fashion%20Cabelos&amp;query_place_id=ChIJuw5SMZTxiwcRW5iv4R7Nbw0</t>
  </si>
  <si>
    <t>Salão depilação Edina</t>
  </si>
  <si>
    <t>+55 99 98148-4066</t>
  </si>
  <si>
    <t>+5599981484066</t>
  </si>
  <si>
    <t>Av. Vitórino Freire, 301 - Codó, MA, 65400-000, Brasil</t>
  </si>
  <si>
    <t>-4.4579992</t>
  </si>
  <si>
    <t>-43.8821173</t>
  </si>
  <si>
    <t>https://www.google.com/maps/search/?api=1&amp;query=Sal%C3%A3o%20depila%C3%A7%C3%A3o%20Edina&amp;query_place_id=ChIJp0AzLADxiwcRmGWfxS6hSBg</t>
  </si>
  <si>
    <t>Salão De Beleza Fatima</t>
  </si>
  <si>
    <t>+55 99 98140-6595</t>
  </si>
  <si>
    <t>+5599981406595</t>
  </si>
  <si>
    <t>R. Leontino Ramos, 2726 - Sao Sebastiao, Codó - MA, 65400-000, Brasil</t>
  </si>
  <si>
    <t>-4.4601963</t>
  </si>
  <si>
    <t>-43.887479</t>
  </si>
  <si>
    <t>https://www.google.com/maps/search/?api=1&amp;query=Sal%C3%A3o%20De%20Beleza%20Fatima&amp;query_place_id=ChIJHRrMmRXxiwcRDI9b73xg0_I</t>
  </si>
  <si>
    <t>Espaço Aline Silva</t>
  </si>
  <si>
    <t>+55 99 99646-3908</t>
  </si>
  <si>
    <t>+5599996463908</t>
  </si>
  <si>
    <t>Rua Benjamin Constant - Codó, MA, 65400-000, Brasil</t>
  </si>
  <si>
    <t>-4.4595422</t>
  </si>
  <si>
    <t>-43.8870766</t>
  </si>
  <si>
    <t>https://www.google.com/maps/search/?api=1&amp;query=Espa%C3%A7o%20Aline%20Silva&amp;query_place_id=ChIJE-HnxOnxiwcRJt2EBmt2m4s</t>
  </si>
  <si>
    <t>Studio GM Beauty</t>
  </si>
  <si>
    <t>+55 99 98483-5294</t>
  </si>
  <si>
    <t>+5599984835294</t>
  </si>
  <si>
    <t>Av. Vitórino Freire, n° 659 - São Sebastião, Codó - MA, 65400-000, Brasil</t>
  </si>
  <si>
    <t>-4.4602424</t>
  </si>
  <si>
    <t>-43.8844223</t>
  </si>
  <si>
    <t>https://www.google.com/maps/search/?api=1&amp;query=Studio%20GM%20Beauty&amp;query_place_id=ChIJI7oVg_PxiwcRZb_IuUyFBh8</t>
  </si>
  <si>
    <t>Geovanio Hair Codó</t>
  </si>
  <si>
    <t>+55 99 98227-7553</t>
  </si>
  <si>
    <t>+5599982277553</t>
  </si>
  <si>
    <t>Av. Mal. Castelo Branco, 1475 - São Pedro, Codó - MA, 65400-000, Brasil</t>
  </si>
  <si>
    <t>-4.4567741</t>
  </si>
  <si>
    <t>-43.8950262</t>
  </si>
  <si>
    <t>https://www.google.com/maps/search/?api=1&amp;query=Geovanio%20Hair%20Cod%C3%B3&amp;query_place_id=ChIJrZZu_SnxiwcRM_JbekhxUjk</t>
  </si>
  <si>
    <t>ARLETE COIFFEUR</t>
  </si>
  <si>
    <t>+55 99 98804-4884</t>
  </si>
  <si>
    <t>+5599988044884</t>
  </si>
  <si>
    <t>Codó, MA, 65400-000, Brasil</t>
  </si>
  <si>
    <t>-4.467477</t>
  </si>
  <si>
    <t>-43.8834133</t>
  </si>
  <si>
    <t>https://www.google.com/maps/search/?api=1&amp;query=ARLETE%20COIFFEUR&amp;query_place_id=ChIJ6RAUDyPxiwcRIAuDPWh8zlk</t>
  </si>
  <si>
    <t>Francisca Cabeleireira</t>
  </si>
  <si>
    <t>R. do Puraque, 1491 - Santa Teresinha, Codó - MA, 65400-000, Brasil</t>
  </si>
  <si>
    <t>-4.470994</t>
  </si>
  <si>
    <t>-43.8933142</t>
  </si>
  <si>
    <t>https://www.google.com/maps/search/?api=1&amp;query=Francisca%20Cabeleireira&amp;query_place_id=ChIJX1SOqx3xiwcRiiUL9ALR2f8</t>
  </si>
  <si>
    <t>Nogueira hair</t>
  </si>
  <si>
    <t>+55 99 99121-5479</t>
  </si>
  <si>
    <t>+5599991215479</t>
  </si>
  <si>
    <t>R. Vinte Um De Abril, 2345 - Sao Sebastiao, Codó - MA, 65400-000, Brasil</t>
  </si>
  <si>
    <t>-4.4573539</t>
  </si>
  <si>
    <t>-43.890157</t>
  </si>
  <si>
    <t>https://www.google.com/maps/search/?api=1&amp;query=Nogueira%20hair&amp;query_place_id=ChIJT7ei7LzxiwcRXpoGTezbj34</t>
  </si>
  <si>
    <t>Espaço Beauty Codó</t>
  </si>
  <si>
    <t>+55 63 98125-8810</t>
  </si>
  <si>
    <t>+5563981258810</t>
  </si>
  <si>
    <t>R. da Paz, 1242 - Codó, MA, 65400-000, Brasil</t>
  </si>
  <si>
    <t>-4.4811649</t>
  </si>
  <si>
    <t>-43.8968024</t>
  </si>
  <si>
    <t>https://www.google.com/maps/search/?api=1&amp;query=Espa%C3%A7o%20Beauty%20Cod%C3%B3&amp;query_place_id=ChIJa1GvIrPxiwcRhbeauUiKRNI</t>
  </si>
  <si>
    <t>SALÃO RENASCER</t>
  </si>
  <si>
    <t>-4.4868856</t>
  </si>
  <si>
    <t>-43.8874847</t>
  </si>
  <si>
    <t>https://www.google.com/maps/search/?api=1&amp;query=SAL%C3%83O%20RENASCER&amp;query_place_id=ChIJNa0CsGXxiwcR0-wwi61dQMw</t>
  </si>
  <si>
    <t>Glamour STUDIO DE BELEZA</t>
  </si>
  <si>
    <t>R. Rui Barbosa - Codó, MA, 65400-000, Brasil</t>
  </si>
  <si>
    <t>-4.4558364</t>
  </si>
  <si>
    <t>-43.8841926</t>
  </si>
  <si>
    <t>https://www.google.com/maps/search/?api=1&amp;query=Glamour%20STUDIO%20DE%20BELEZA&amp;query_place_id=ChIJ1banqUHxiwcRK2aW6qVYO6s</t>
  </si>
  <si>
    <t>Lene Cabelos</t>
  </si>
  <si>
    <t>R. da Paz, 1166 - Sao Raimundo, Codó - MA, 65400-000, Brasil</t>
  </si>
  <si>
    <t>-4.4503114</t>
  </si>
  <si>
    <t>-43.8783427</t>
  </si>
  <si>
    <t>https://www.google.com/maps/search/?api=1&amp;query=Lene%20Cabelos&amp;query_place_id=ChIJI2ZRz1rxiwcRMMk06U_ti7o</t>
  </si>
  <si>
    <t>Ciane epilação</t>
  </si>
  <si>
    <t>+55 99 99188-3694</t>
  </si>
  <si>
    <t>+5599991883694</t>
  </si>
  <si>
    <t>Tv. Bahia, 1259 - Santa Teresinha, Codó - MA, 65400-000, Brasil</t>
  </si>
  <si>
    <t>-4.4694499</t>
  </si>
  <si>
    <t>-43.8973892</t>
  </si>
  <si>
    <t>https://www.google.com/maps/search/?api=1&amp;query=Ciane%20epila%C3%A7%C3%A3o&amp;query_place_id=ChIJtUX7z_jxiwcRR7BYMux8F-Q</t>
  </si>
  <si>
    <t>Jesus Depilação &amp; Cosméticos</t>
  </si>
  <si>
    <t>Av. 1° de Maio - Tv. São Sebastião, 2650 - Codó, MA, 65400-000, Brasil</t>
  </si>
  <si>
    <t>-4.4588777</t>
  </si>
  <si>
    <t>-43.8850217</t>
  </si>
  <si>
    <t>https://www.google.com/maps/search/?api=1&amp;query=Jesus%20Depila%C3%A7%C3%A3o%20%26%20Cosm%C3%A9ticos&amp;query_place_id=ChIJ5yrelD_xiwcRh2jA2M8S-NQ</t>
  </si>
  <si>
    <t>Luana Gomes Studio de Beleza</t>
  </si>
  <si>
    <t>R. Padre Joaquim Dourado, 1127 - São José, Codó - MA, 65400-000, Brasil</t>
  </si>
  <si>
    <t>-4.4536172</t>
  </si>
  <si>
    <t>-43.8767297</t>
  </si>
  <si>
    <t>https://www.google.com/maps/search/?api=1&amp;query=Luana%20Gomes%20Studio%20de%20Beleza&amp;query_place_id=ChIJF9NxamLxiwcR52mHuss8lfc</t>
  </si>
  <si>
    <t>Estúdio Joelma Brandão</t>
  </si>
  <si>
    <t>+55 99 99137-3916</t>
  </si>
  <si>
    <t>+5599991373916</t>
  </si>
  <si>
    <t>Av. Santos Dumont, 4109 - Santa Teresinha, Codó - MA, 65400-000, Brasil</t>
  </si>
  <si>
    <t>-4.4761418</t>
  </si>
  <si>
    <t>-43.8909312</t>
  </si>
  <si>
    <t>https://www.google.com/maps/search/?api=1&amp;query=Est%C3%BAdio%20Joelma%20Brand%C3%A3o&amp;query_place_id=ChIJ5R8JmQzxiwcRWp51m3DLByE</t>
  </si>
  <si>
    <t>Salão Ky Charm</t>
  </si>
  <si>
    <t>+55 99 98802-9920</t>
  </si>
  <si>
    <t>+5599988029920</t>
  </si>
  <si>
    <t>171, Av. Augusto Teixeira, 99, Codó - MA, 65400-000, Brasil</t>
  </si>
  <si>
    <t>-4.455797</t>
  </si>
  <si>
    <t>-43.8871987</t>
  </si>
  <si>
    <t>https://www.google.com/maps/search/?api=1&amp;query=Sal%C3%A3o%20Ky%20Charm&amp;query_place_id=ChIJKVswWWrxiwcRIW8BPJUo7xs</t>
  </si>
  <si>
    <t>Maraisa Rodríguez Studio De Beleza</t>
  </si>
  <si>
    <t>R. Trinta e Um de Março, 2118 - Sao Pedro, Codó - MA, 65400-000, Brasil</t>
  </si>
  <si>
    <t>-4.4575321</t>
  </si>
  <si>
    <t>-43.8938441</t>
  </si>
  <si>
    <t>https://www.google.com/maps/search/?api=1&amp;query=Maraisa%20Rodr%C3%ADguez%20Studio%20De%20Beleza&amp;query_place_id=ChIJN-5n1BLxiwcRuH_fVd9XoNA</t>
  </si>
  <si>
    <t>Studio Atual Fashion.milena Aguiar</t>
  </si>
  <si>
    <t>+55 98 98701-7596</t>
  </si>
  <si>
    <t>+5598987017596</t>
  </si>
  <si>
    <t>-4.4681111</t>
  </si>
  <si>
    <t>-43.8823583</t>
  </si>
  <si>
    <t>https://www.google.com/maps/search/?api=1&amp;query=Studio%20Atual%20Fashion.milena%20Aguiar&amp;query_place_id=ChIJzehwmyPxiwcROpuFY0O_780</t>
  </si>
  <si>
    <t>Universo Feminino</t>
  </si>
  <si>
    <t>+55 99 98816-8937</t>
  </si>
  <si>
    <t>+5599988168937</t>
  </si>
  <si>
    <t>Av. Vitórino Freire, 387 - Santo Antônio, Codó - MA, 65400-000, Brasil</t>
  </si>
  <si>
    <t>-4.4585856</t>
  </si>
  <si>
    <t>-43.8827761</t>
  </si>
  <si>
    <t>https://www.google.com/maps/search/?api=1&amp;query=Universo%20Feminino&amp;query_place_id=ChIJmSawtCjxiwcR3aLHxpYsjd4</t>
  </si>
  <si>
    <t>Walmira</t>
  </si>
  <si>
    <t>R. Albertina Bayma - Santo Antônio, Codó - MA, 65400-000, Brasil</t>
  </si>
  <si>
    <t>-4.4590136</t>
  </si>
  <si>
    <t>-43.8809169</t>
  </si>
  <si>
    <t>https://www.google.com/maps/search/?api=1&amp;query=Walmira&amp;query_place_id=ChIJPfFPAozxiwcRon0MURLqUmk</t>
  </si>
  <si>
    <t>Studio OLHAR DE BONECA</t>
  </si>
  <si>
    <t>+55 99 99230-1602</t>
  </si>
  <si>
    <t>+5599992301602</t>
  </si>
  <si>
    <t>R. Sen. Archer, 1125 - Sao Sebastiao, Codó - MA, 65400-000, Brasil</t>
  </si>
  <si>
    <t>-4.458168</t>
  </si>
  <si>
    <t>-43.8893974</t>
  </si>
  <si>
    <t>https://www.google.com/maps/search/?api=1&amp;query=Studio%20OLHAR%20DE%20BONECA&amp;query_place_id=ChIJZzUc0BTxiwcR1eTy5RSYhQY</t>
  </si>
  <si>
    <t>Eronilza cabelereira</t>
  </si>
  <si>
    <t>+55 99 98118-7712</t>
  </si>
  <si>
    <t>+5599981187712</t>
  </si>
  <si>
    <t>R. São Luís, 1315 - Codó, MA, 65400-000, Brasil</t>
  </si>
  <si>
    <t>-4.4729798</t>
  </si>
  <si>
    <t>-43.8941318</t>
  </si>
  <si>
    <t>https://www.google.com/maps/search/?api=1&amp;query=Eronilza%20cabelereira&amp;query_place_id=ChIJRzakhOLwiwcR1DyF9FDX3uM</t>
  </si>
  <si>
    <t>Salão de Beleza</t>
  </si>
  <si>
    <t>Av. 1º de Maio - Codó, MA, 65400-000, Brasil</t>
  </si>
  <si>
    <t>-4.4656842</t>
  </si>
  <si>
    <t>-43.8771576</t>
  </si>
  <si>
    <t>https://www.google.com/maps/search/?api=1&amp;query=Sal%C3%A3o%20de%20Beleza&amp;query_place_id=ChIJ8buaVADxiwcR36XRaEV6aR8</t>
  </si>
  <si>
    <t>Studio Vb beauty</t>
  </si>
  <si>
    <t>+55 99 98109-1140</t>
  </si>
  <si>
    <t>+5599981091140</t>
  </si>
  <si>
    <t>R. Independência - Codó, MA, 65400-000, Brasil</t>
  </si>
  <si>
    <t>-4.4562478</t>
  </si>
  <si>
    <t>-43.8836671</t>
  </si>
  <si>
    <t>https://www.google.com/maps/search/?api=1&amp;query=Studio%20Vb%20beauty&amp;query_place_id=ChIJ3b5l3ivxiwcRiXnoGsRG94U</t>
  </si>
  <si>
    <t>Studio ELIANA</t>
  </si>
  <si>
    <t>R. Minas Gerais, 1220 - Sao Francisco, Codó - MA, 65400-000, Brasil</t>
  </si>
  <si>
    <t>-4.4502296</t>
  </si>
  <si>
    <t>-43.8948109</t>
  </si>
  <si>
    <t>https://www.google.com/maps/search/?api=1&amp;query=Studio%20ELIANA&amp;query_place_id=ChIJs2PQ7G_xiwcREt_qZr0IFkY</t>
  </si>
  <si>
    <t>Esmalteria</t>
  </si>
  <si>
    <t>+55 99 98177-5136</t>
  </si>
  <si>
    <t>+5599981775136</t>
  </si>
  <si>
    <t>Av. Santos Dumont, 2886 - B - Sao Sebastiao, Codó - MA, 65400-000, Brasil</t>
  </si>
  <si>
    <t>-4.4617349</t>
  </si>
  <si>
    <t>-43.8886761</t>
  </si>
  <si>
    <t>https://www.google.com/maps/search/?api=1&amp;query=Esmalteria&amp;query_place_id=ChIJ6zt05hjxiwcRlFQXHFp-93M</t>
  </si>
  <si>
    <t>Espaço Da Beleza Edna</t>
  </si>
  <si>
    <t>Tv. Rio Grande do Norte - Codó, MA, 65400-000, Brasil</t>
  </si>
  <si>
    <t>-4.4633653</t>
  </si>
  <si>
    <t>-43.8952249</t>
  </si>
  <si>
    <t>https://www.google.com/maps/search/?api=1&amp;query=Espa%C3%A7o%20Da%20Beleza%20Edna&amp;query_place_id=ChIJIyuoMRDxiwcRJBdTPEHrmdY</t>
  </si>
  <si>
    <t>Salão Toque de Beleza</t>
  </si>
  <si>
    <t>-4.4611163</t>
  </si>
  <si>
    <t>-43.893066</t>
  </si>
  <si>
    <t>https://www.google.com/maps/search/?api=1&amp;query=Sal%C3%A3o%20Toque%20de%20Beleza&amp;query_place_id=ChIJjZ8S1xPxiwcRnfwDoOmHi8I</t>
  </si>
  <si>
    <t>Odete sobrancelhas</t>
  </si>
  <si>
    <t>+55 99 99133-3209</t>
  </si>
  <si>
    <t>+5599991333209</t>
  </si>
  <si>
    <t>Av. Cristovão Colombo, R. São Raimundo, 1357, Codó - MA, 65400-000, Brasil</t>
  </si>
  <si>
    <t>-4.4507101</t>
  </si>
  <si>
    <t>-43.8750844</t>
  </si>
  <si>
    <t>https://www.google.com/maps/search/?api=1&amp;query=Odete%20sobrancelhas&amp;query_place_id=ChIJR122xl7xiwcRG7G4YmO6KOo</t>
  </si>
  <si>
    <t>Salão de Beleza Josy</t>
  </si>
  <si>
    <t>R. Francisco Bernardino, 1583 - Sao Sebastiao, Codó - MA, 65400-000, Brasil</t>
  </si>
  <si>
    <t>-4.4670146</t>
  </si>
  <si>
    <t>-43.8945806</t>
  </si>
  <si>
    <t>https://www.google.com/maps/search/?api=1&amp;query=Sal%C3%A3o%20de%20Beleza%20Josy&amp;query_place_id=ChIJpykVHhvxiwcRYngaP4E0mWo</t>
  </si>
  <si>
    <t>M&amp;NEsmalteria</t>
  </si>
  <si>
    <t>+55 99 98236-6623</t>
  </si>
  <si>
    <t>+5599982366623</t>
  </si>
  <si>
    <t>R. Goiáis, 1323 - Santo Antonio, Codó - MA, 65400-000, Brasil</t>
  </si>
  <si>
    <t>-4.4581533</t>
  </si>
  <si>
    <t>-43.8784661</t>
  </si>
  <si>
    <t>https://www.google.com/maps/search/?api=1&amp;query=M%26NEsmalteria&amp;query_place_id=ChIJX7kyySLxiwcRNvQUruQgCc4</t>
  </si>
  <si>
    <t>Fecabelos</t>
  </si>
  <si>
    <t>+55 99 98207-1411</t>
  </si>
  <si>
    <t>+5599982071411</t>
  </si>
  <si>
    <t>R. Santa Rita, 2060 - Codó, MA, 65400-000, Brasil</t>
  </si>
  <si>
    <t>-4.4730365</t>
  </si>
  <si>
    <t>-43.8927256</t>
  </si>
  <si>
    <t>https://www.google.com/maps/search/?api=1&amp;query=Fecabelos&amp;query_place_id=ChIJxWnbTBDxiwcR5or6BO6c4gI</t>
  </si>
  <si>
    <t>Salão de Beleza Delany</t>
  </si>
  <si>
    <t>R. São Francisco - Codó, MA, 65400-000, Brasil</t>
  </si>
  <si>
    <t>-4.4483364</t>
  </si>
  <si>
    <t>-43.8963163</t>
  </si>
  <si>
    <t>https://www.google.com/maps/search/?api=1&amp;query=Sal%C3%A3o%20de%20Beleza%20Delany&amp;query_place_id=ChIJTXtEyXrxiwcRFy7U-FdTO_I</t>
  </si>
  <si>
    <t>Claudia Hair</t>
  </si>
  <si>
    <t>+55 99 99649-2758</t>
  </si>
  <si>
    <t>+5599996492758</t>
  </si>
  <si>
    <t>Av. Rei Salomao, 1238 - Codó, MA, 65400-000, Brasil</t>
  </si>
  <si>
    <t>-4.4454332</t>
  </si>
  <si>
    <t>-43.8804732</t>
  </si>
  <si>
    <t>https://www.google.com/maps/search/?api=1&amp;query=Claudia%20Hair&amp;query_place_id=ChIJgwXk7XHxiwcRsOvwxUoh0d4</t>
  </si>
  <si>
    <t>Mayanne Souza studio BEAUTY</t>
  </si>
  <si>
    <t>+55 99 99131-2369</t>
  </si>
  <si>
    <t>+5599991312369</t>
  </si>
  <si>
    <t>Av. Horácio Barbosa, 980 - Codó, MA, 65400-000, Brasil</t>
  </si>
  <si>
    <t>-4.4518598</t>
  </si>
  <si>
    <t>-43.873332</t>
  </si>
  <si>
    <t>https://www.google.com/maps/search/?api=1&amp;query=Mayanne%20Souza%20studio%20BEAUTY&amp;query_place_id=ChIJL8na4whtxmoRIojc6XbjdnU</t>
  </si>
  <si>
    <t>Josy Espaço da Beleza</t>
  </si>
  <si>
    <t>+55 99 99978-1034</t>
  </si>
  <si>
    <t>+5599999781034</t>
  </si>
  <si>
    <t>R. Goiânia, 521 - Santo Antônio, Codó - MA, 65400-000, Brasil</t>
  </si>
  <si>
    <t>-4.4612107</t>
  </si>
  <si>
    <t>-43.8802672</t>
  </si>
  <si>
    <t>https://www.google.com/maps/search/?api=1&amp;query=Josy%20Espa%C3%A7o%20da%20Beleza&amp;query_place_id=ChIJN9HeuqzxiwcR7rcF2p1rVdA</t>
  </si>
  <si>
    <t>Studios May</t>
  </si>
  <si>
    <t>-4.4519053</t>
  </si>
  <si>
    <t>-43.8732758</t>
  </si>
  <si>
    <t>https://www.google.com/maps/search/?api=1&amp;query=Studios%20May&amp;query_place_id=ChIJrS23XwDxiwcRJ6MdTjREZR4</t>
  </si>
  <si>
    <t>Ulcijara Lima</t>
  </si>
  <si>
    <t>+55 99 99206-5008</t>
  </si>
  <si>
    <t>+5599992065008</t>
  </si>
  <si>
    <t>Av Rei Salomão, R. São Raimundo - Trizidela, Codó - MA, 65400-000, Brasil</t>
  </si>
  <si>
    <t>-4.4453149</t>
  </si>
  <si>
    <t>-43.8802727</t>
  </si>
  <si>
    <t>https://www.google.com/maps/search/?api=1&amp;query=Ulcijara%20Lima&amp;query_place_id=ChIJk1ajs63xiwcRv2qin35yP64</t>
  </si>
  <si>
    <t>Salão Iracema</t>
  </si>
  <si>
    <t>Av. Santos Dumont, 3941 - Santa Teresinha, Codó - MA, 65400-000, Brasil</t>
  </si>
  <si>
    <t>-4.4726013</t>
  </si>
  <si>
    <t>-43.8903104</t>
  </si>
  <si>
    <t>https://www.google.com/maps/search/?api=1&amp;query=Sal%C3%A3o%20Iracema&amp;query_place_id=ChIJzSonGh7xiwcRQ1ynjeuip3M</t>
  </si>
  <si>
    <t>Salão Da Rogéria</t>
  </si>
  <si>
    <t>+55 99 98856-3620</t>
  </si>
  <si>
    <t>+5599988563620</t>
  </si>
  <si>
    <t>Av. São Benedito, 1444 - Codó, MA, 65400-000, Brasil</t>
  </si>
  <si>
    <t>-4.4373917</t>
  </si>
  <si>
    <t>-43.8907728</t>
  </si>
  <si>
    <t>https://www.google.com/maps/search/?api=1&amp;query=Sal%C3%A3o%20Da%20Rog%C3%A9ria&amp;query_place_id=ChIJWdzP7DzziwcRPYfpBJtU1Zs</t>
  </si>
  <si>
    <t>SALAO NOVA IMAGEM</t>
  </si>
  <si>
    <t>R. Frei Hen. de Coimbra, 980 - Codó, MA, 65400-000, Brasil</t>
  </si>
  <si>
    <t>-4.4512856</t>
  </si>
  <si>
    <t>-43.870341</t>
  </si>
  <si>
    <t>https://www.google.com/maps/search/?api=1&amp;query=SALAO%20NOVA%20IMAGEM&amp;query_place_id=ChIJ0WV6d1LxiwcRtYjYHxoLAj8</t>
  </si>
  <si>
    <t>Studio Gleyce Paiva</t>
  </si>
  <si>
    <t>R. Manoel Januário, 2168B - Codó, MA, 65400-000, Brasil</t>
  </si>
  <si>
    <t>-4.461116</t>
  </si>
  <si>
    <t>-43.893106</t>
  </si>
  <si>
    <t>https://www.google.com/maps/search/?api=1&amp;query=Studio%20Gleyce%20Paiva&amp;query_place_id=ChIJ9yQF1xPxiwcRw1ObyJ3qEKE</t>
  </si>
  <si>
    <t>Carmem unhas</t>
  </si>
  <si>
    <t>+55 99 98808-4213</t>
  </si>
  <si>
    <t>+5599988084213</t>
  </si>
  <si>
    <t>Av. Dois, 268-50 - Codó, MA, 65400-000, Brasil</t>
  </si>
  <si>
    <t>-4.4438937</t>
  </si>
  <si>
    <t>-43.9024205</t>
  </si>
  <si>
    <t>https://www.google.com/maps/search/?api=1&amp;query=Carmem%20unhas&amp;query_place_id=ChIJQ_B1xGbxiwcR7cXmkdTswb8</t>
  </si>
  <si>
    <t>Studio Manu Reis</t>
  </si>
  <si>
    <t>+55 99 98538-7893</t>
  </si>
  <si>
    <t>+5599985387893</t>
  </si>
  <si>
    <t>Luis Deusdedit - Novo Milenio, Codó - MA, 65400-000, Brasil</t>
  </si>
  <si>
    <t>-4.4709952</t>
  </si>
  <si>
    <t>-43.8796554</t>
  </si>
  <si>
    <t>https://www.google.com/maps/search/?api=1&amp;query=Studio%20Manu%20Reis&amp;query_place_id=ChIJRRkISqXxiwcRvhEbqfYUem8</t>
  </si>
  <si>
    <t>Lays Sousa Stúdio Hair</t>
  </si>
  <si>
    <t>R. Barão do Rio Branco, 935 - Sao Sebastiao, Codó - MA, 65400-000, Brasil</t>
  </si>
  <si>
    <t>-4.4582926</t>
  </si>
  <si>
    <t>-43.8877178</t>
  </si>
  <si>
    <t>https://www.google.com/maps/search/?api=1&amp;query=Lays%20Sousa%20St%C3%BAdio%20Hair&amp;query_place_id=ChIJJdCLNxXxiwcRmtuQZDd9n0Y</t>
  </si>
  <si>
    <t>Lucyblima Espaço Da Beleza</t>
  </si>
  <si>
    <t>Tv. Carlos Palhano - Codó, MA, 65400-000, Brasil</t>
  </si>
  <si>
    <t>-4.4651422</t>
  </si>
  <si>
    <t>-43.890946</t>
  </si>
  <si>
    <t>https://www.google.com/maps/search/?api=1&amp;query=Lucyblima%20Espa%C3%A7o%20Da%20Beleza&amp;query_place_id=ChIJzXsrVBfxiwcREfnti2k8y4E</t>
  </si>
  <si>
    <t>Amadoras de dreads</t>
  </si>
  <si>
    <t>+55 99 98183-8480</t>
  </si>
  <si>
    <t>+5599981838480</t>
  </si>
  <si>
    <t>Rua novo linda 1315 Rua da alegria 1236 Codó Novo, Codó - MA, 65400-000, Brasil</t>
  </si>
  <si>
    <t>-4.4694731</t>
  </si>
  <si>
    <t>-43.9009712</t>
  </si>
  <si>
    <t>https://www.google.com/maps/search/?api=1&amp;query=Amadoras%20de%20dreads&amp;query_place_id=ChIJTUrqm3PxiwcRWJ-XwpQjO1w</t>
  </si>
  <si>
    <t>Salão Stilo Novo</t>
  </si>
  <si>
    <t>R. Rio G. do Norte, 2580 - Nova Jerusalem, Codó - MA, 65400-000, Brasil</t>
  </si>
  <si>
    <t>-4.4597702</t>
  </si>
  <si>
    <t>-43.8979122</t>
  </si>
  <si>
    <t>https://www.google.com/maps/search/?api=1&amp;query=Sal%C3%A3o%20Stilo%20Novo&amp;query_place_id=ChIJ4_MVSwzxiwcRsyOBQYI5Sk0</t>
  </si>
  <si>
    <t>Studio JN - Joyce Nascimento</t>
  </si>
  <si>
    <t>+55 99 98183-6834</t>
  </si>
  <si>
    <t>+5599981836834</t>
  </si>
  <si>
    <t>R. Fausto de Souza, 1221 - A - São Sebastião, Codó - MA, 65400-000, Brasil</t>
  </si>
  <si>
    <t>-4.4648293</t>
  </si>
  <si>
    <t>-43.8919961</t>
  </si>
  <si>
    <t>https://www.google.com/maps/search/?api=1&amp;query=Studio%20JN%20-%20Joyce%20Nascimento&amp;query_place_id=ChIJs3Mk23zxiwcRyJfh0rCw8gA</t>
  </si>
  <si>
    <t>Yasmin Azevedo Salão De Beleza</t>
  </si>
  <si>
    <t>R. São Silva - Codó, MA, 65400-000, Brasil</t>
  </si>
  <si>
    <t>-4.4601634</t>
  </si>
  <si>
    <t>-43.8923614</t>
  </si>
  <si>
    <t>https://www.google.com/maps/search/?api=1&amp;query=Yasmin%20Azevedo%20Sal%C3%A3o%20De%20Beleza&amp;query_place_id=ChIJ9yrylRPxiwcRW66CbynnLKU</t>
  </si>
  <si>
    <t>Lenny Cabelos Manicure E Pedicure</t>
  </si>
  <si>
    <t>Tv. do Sol, 1720 - Codó, MA, 65400-000, Brasil</t>
  </si>
  <si>
    <t>-4.4771806</t>
  </si>
  <si>
    <t>-43.895365</t>
  </si>
  <si>
    <t>https://www.google.com/maps/search/?api=1&amp;query=Lenny%20Cabelos%20Manicure%20E%20Pedicure&amp;query_place_id=ChIJxVgZuuTwiwcR0cYfOBzM_JA</t>
  </si>
  <si>
    <t>STUDIO Mikaellen Vitória</t>
  </si>
  <si>
    <t>Av. 1º de Maio, 1755 - Centro, Codó - MA, 65400-000, Brasil</t>
  </si>
  <si>
    <t>-4.4515244</t>
  </si>
  <si>
    <t>-43.8885417</t>
  </si>
  <si>
    <t>https://www.google.com/maps/search/?api=1&amp;query=STUDIO%20Mikaellen%20Vit%C3%B3ria&amp;query_place_id=ChIJ3XDUWWjxiwcR4dIfsqivd1g</t>
  </si>
  <si>
    <t>Espaço das unhas</t>
  </si>
  <si>
    <t>R. São Sebastião, 1856 - Nova Jerusalem, Codó - MA, 65400-000, Brasil</t>
  </si>
  <si>
    <t>-4.4613181</t>
  </si>
  <si>
    <t>-43.8971751</t>
  </si>
  <si>
    <t>https://www.google.com/maps/search/?api=1&amp;query=Espa%C3%A7o%20das%20unhas&amp;query_place_id=ChIJd28qcw7xiwcRChrMHKewAsA</t>
  </si>
  <si>
    <t>Studio Beleza Adla Raine</t>
  </si>
  <si>
    <t>-4.4501663</t>
  </si>
  <si>
    <t>-43.8823034</t>
  </si>
  <si>
    <t>https://www.google.com/maps/search/?api=1&amp;query=Studio%20Beleza%20Adla%20Raine&amp;query_place_id=ChIJG240sFzxiwcR7LXJdBm_MZE</t>
  </si>
  <si>
    <t>Studio Iracema Torres</t>
  </si>
  <si>
    <t>R. César Brandão, 1488 - Sao Pedro, Codó - MA, 65400-000, Brasil</t>
  </si>
  <si>
    <t>-4.4557916</t>
  </si>
  <si>
    <t>-43.8959029</t>
  </si>
  <si>
    <t>https://www.google.com/maps/search/?api=1&amp;query=Studio%20Iracema%20Torres&amp;query_place_id=ChIJNxW5JwDxiwcRTD_PYl6FZ68</t>
  </si>
  <si>
    <t>STUDIO Raylene Lemes</t>
  </si>
  <si>
    <t>R. do Puraque - Santa Terezinha, Codó - MA, 65400-000, Brasil</t>
  </si>
  <si>
    <t>-4.4739464</t>
  </si>
  <si>
    <t>-43.9001956</t>
  </si>
  <si>
    <t>https://www.google.com/maps/search/?api=1&amp;query=STUDIO%20Raylene%20Lemes&amp;query_place_id=ChIJH8wb0v3wiwcRmxlNuQW0iHQ</t>
  </si>
  <si>
    <t>Arte E Beleza Esmalteria</t>
  </si>
  <si>
    <t>R. Pernambuco, 1116 - Sao Francisco, Codó - MA, 65400-000, Brasil</t>
  </si>
  <si>
    <t>-4.4460622</t>
  </si>
  <si>
    <t>-43.8924569</t>
  </si>
  <si>
    <t>https://www.google.com/maps/search/?api=1&amp;query=Arte%20E%20Beleza%20Esmalteria&amp;query_place_id=ChIJzX3ndGTxiwcRueSHDnEp0IY</t>
  </si>
  <si>
    <t>Salão Brilho da Beleza</t>
  </si>
  <si>
    <t>-4.4483909</t>
  </si>
  <si>
    <t>-43.8730518</t>
  </si>
  <si>
    <t>https://www.google.com/maps/search/?api=1&amp;query=Sal%C3%A3o%20Brilho%20da%20Beleza&amp;query_place_id=ChIJVz0UalHxiwcRUA2NhgakbjM</t>
  </si>
  <si>
    <t>Alice Cabelos</t>
  </si>
  <si>
    <t>R. Afonso Cunha, 1202 - Sao Raimundo, Codó - MA, 65400-000, Brasil</t>
  </si>
  <si>
    <t>-4.4484656</t>
  </si>
  <si>
    <t>-43.8749205</t>
  </si>
  <si>
    <t>https://www.google.com/maps/search/?api=1&amp;query=Alice%20Cabelos&amp;query_place_id=ChIJd-d_5lDxiwcRE3ZKfKH_Uz8</t>
  </si>
  <si>
    <t>Instituto de Beleza Evolução Cachos</t>
  </si>
  <si>
    <t>+55 99 99645-0920</t>
  </si>
  <si>
    <t>+5599996450920</t>
  </si>
  <si>
    <t>R. Rio G. do Norte - Codó, MA, 65400-000, Brasil</t>
  </si>
  <si>
    <t>-4.4606943</t>
  </si>
  <si>
    <t>-43.8918587</t>
  </si>
  <si>
    <t>https://www.google.com/maps/search/?api=1&amp;query=Instituto%20de%20Beleza%20Evolu%C3%A7%C3%A3o%20Cachos&amp;query_place_id=ChIJ8cIdD6jxiwcRsK9g6yHtAm8</t>
  </si>
  <si>
    <t>Coiffer Bella</t>
  </si>
  <si>
    <t>R. São Raimundo, 1098 - Codó, MA, 65400-000, Brasil</t>
  </si>
  <si>
    <t>-4.4448472</t>
  </si>
  <si>
    <t>-43.8929679</t>
  </si>
  <si>
    <t>https://www.google.com/maps/search/?api=1&amp;query=Coiffer%20Bella&amp;query_place_id=ChIJH7TTomPxiwcRSaKfzD14PeA</t>
  </si>
  <si>
    <t>STUDIO BEAUTY</t>
  </si>
  <si>
    <t>R. Quintino Bocaiúva, 1254 - Sao Sebastiao, Codó - MA, 65400-000, Brasil</t>
  </si>
  <si>
    <t>-4.4633246</t>
  </si>
  <si>
    <t>-43.8922363</t>
  </si>
  <si>
    <t>https://www.google.com/maps/search/?api=1&amp;query=STUDIO%20BEAUTY&amp;query_place_id=ChIJlxgK3xDxiwcRq3i0nAYrxuo</t>
  </si>
  <si>
    <t>Studio Val</t>
  </si>
  <si>
    <t>+55 99 99645-3512</t>
  </si>
  <si>
    <t>+5599996453512</t>
  </si>
  <si>
    <t>Rua Brasil N 727, R. São Raimundo, Codó - MA, 65400-000, Brasil</t>
  </si>
  <si>
    <t>-4.4507856</t>
  </si>
  <si>
    <t>-43.874742</t>
  </si>
  <si>
    <t>https://www.google.com/maps/search/?api=1&amp;query=Studio%20Val&amp;query_place_id=ChIJy0jhqHrxiwcR3VyhUx0HxMY</t>
  </si>
  <si>
    <t>STUDIO DANNY</t>
  </si>
  <si>
    <t>+55 99 98531-6088</t>
  </si>
  <si>
    <t>+5599985316088</t>
  </si>
  <si>
    <t>R. da Paz - Trizidela, Codó - MA, 65400-000, Brasil</t>
  </si>
  <si>
    <t>-4.4516349</t>
  </si>
  <si>
    <t>-43.876928</t>
  </si>
  <si>
    <t>https://www.google.com/maps/search/?api=1&amp;query=STUDIO%20DANNY&amp;query_place_id=ChIJEZGIxTrxiwcRfygxC7PoDWw</t>
  </si>
  <si>
    <t>Mirulinda Leite - Centro de Estética e Saúde integrativa</t>
  </si>
  <si>
    <t>+55 99 98827-2108</t>
  </si>
  <si>
    <t>+5599988272108</t>
  </si>
  <si>
    <t>R. Leontino Ramos - São Sebastião, Codó - MA, 65400-000, Brasil</t>
  </si>
  <si>
    <t>-4.4600171</t>
  </si>
  <si>
    <t>-43.8874491</t>
  </si>
  <si>
    <t>https://www.google.com/maps/search/?api=1&amp;query=Mirulinda%20Leite%20-%20Centro%20de%20Est%C3%A9tica%20e%20Sa%C3%BAde%20integrativa&amp;query_place_id=ChIJQ8LsbU_xiwcRAIF8if1d-88</t>
  </si>
  <si>
    <t>Salão O Brilho Da Beleza</t>
  </si>
  <si>
    <t>R. Francisco Bernardino - Codó, MA, 65400-000, Brasil</t>
  </si>
  <si>
    <t>-4.4673501</t>
  </si>
  <si>
    <t>-43.8934725</t>
  </si>
  <si>
    <t>https://www.google.com/maps/search/?api=1&amp;query=Sal%C3%A3o%20O%20Brilho%20Da%20Beleza&amp;query_place_id=ChIJ5c-vqRvxiwcRIAxvRCzYpPk</t>
  </si>
  <si>
    <t>CarmemUnhas</t>
  </si>
  <si>
    <t>Rua 07 quadra 06 casa 19, Codó - MA, 65400-000, Brasil</t>
  </si>
  <si>
    <t>-4.4676461</t>
  </si>
  <si>
    <t>-43.8912892</t>
  </si>
  <si>
    <t>https://www.google.com/maps/search/?api=1&amp;query=CarmemUnhas&amp;query_place_id=ChIJWxsXlZzxiwcRsX4jjTzLoAc</t>
  </si>
  <si>
    <t>Salão Bella Donna</t>
  </si>
  <si>
    <t>R. Carlos Palhano, 1206 - Sao Sebastiao, Codó - MA, 65400-000, Brasil</t>
  </si>
  <si>
    <t>-4.4653876</t>
  </si>
  <si>
    <t>-43.8914491</t>
  </si>
  <si>
    <t>https://www.google.com/maps/search/?api=1&amp;query=Sal%C3%A3o%20Bella%20Donna&amp;query_place_id=ChIJOUQwARrxiwcRewxIfvUYDVY</t>
  </si>
  <si>
    <t>Espaço Mulher Salão De Beleza</t>
  </si>
  <si>
    <t>R. Seis - Codó, MA, 65400-000, Brasil</t>
  </si>
  <si>
    <t>-4.4468775</t>
  </si>
  <si>
    <t>-43.9028146</t>
  </si>
  <si>
    <t>https://www.google.com/maps/search/?api=1&amp;query=Espa%C3%A7o%20Mulher%20Sal%C3%A3o%20De%20Beleza&amp;query_place_id=ChIJo_qtBnnxiwcRKU1h1TXw2ic</t>
  </si>
  <si>
    <t>SPACO DAS UNHAS</t>
  </si>
  <si>
    <t>Av. Figueiredo, 1037 - Codó, MA, 65400-000, Brasil</t>
  </si>
  <si>
    <t>-4.4516995</t>
  </si>
  <si>
    <t>-43.8713107</t>
  </si>
  <si>
    <t>https://www.google.com/maps/search/?api=1&amp;query=SPACO%20DAS%20UNHAS&amp;query_place_id=ChIJXXIJ8U3xiwcRg-6PAXV52iw</t>
  </si>
  <si>
    <t>Márcia Esmalteria</t>
  </si>
  <si>
    <t>Av. Mal. Castelo Branco, 2477 - Sao Pedro, Codó - MA, 65400-000, Brasil</t>
  </si>
  <si>
    <t>-4.4607265</t>
  </si>
  <si>
    <t>-43.9031229</t>
  </si>
  <si>
    <t>https://www.google.com/maps/search/?api=1&amp;query=M%C3%A1rcia%20Esmalteria&amp;query_place_id=ChIJdW1bfwnxiwcR0qd86w2QRzQ</t>
  </si>
  <si>
    <t>Paulinea unhas</t>
  </si>
  <si>
    <t>R. Francisco Bernardino, 1488 - Sao Sebastiao, Codó - MA, 65400-000, Brasil</t>
  </si>
  <si>
    <t>-4.4673068</t>
  </si>
  <si>
    <t>-43.8930977</t>
  </si>
  <si>
    <t>https://www.google.com/maps/search/?api=1&amp;query=Paulinea%20unhas&amp;query_place_id=ChIJmYhvrhvxiwcRdDpOg2js-Q4</t>
  </si>
  <si>
    <t>Kahsobranccelhas</t>
  </si>
  <si>
    <t>+55 99 99934-2221</t>
  </si>
  <si>
    <t>+5599999342221</t>
  </si>
  <si>
    <t>R. Padre José Pelegrine, 56 - Nova Jerusalém, Codó - MA, 65400-000, Brasil</t>
  </si>
  <si>
    <t>-4.4601556</t>
  </si>
  <si>
    <t>-43.8988201</t>
  </si>
  <si>
    <t>https://www.google.com/maps/search/?api=1&amp;query=Kahsobranccelhas&amp;query_place_id=ChIJuTRvlH3xiwcRclWU3Bb316M</t>
  </si>
  <si>
    <t>Salão de depilação</t>
  </si>
  <si>
    <t>+55 99 98144-5261</t>
  </si>
  <si>
    <t>+5599981445261</t>
  </si>
  <si>
    <t>-4.443854</t>
  </si>
  <si>
    <t>-43.8914499</t>
  </si>
  <si>
    <t>https://www.google.com/maps/search/?api=1&amp;query=Sal%C3%A3o%20de%20depila%C3%A7%C3%A3o&amp;query_place_id=ChIJB_qqsE7xiwcRwBzpukAL8LI</t>
  </si>
  <si>
    <t>Mayza Almeida Nails Design</t>
  </si>
  <si>
    <t>R. Francisco Bernardino, 1439 - Codó, MA, 65400-000, Brasil</t>
  </si>
  <si>
    <t>-4.4675708</t>
  </si>
  <si>
    <t>-43.8927225</t>
  </si>
  <si>
    <t>https://www.google.com/maps/search/?api=1&amp;query=Mayza%20Almeida%20Nails%20Design&amp;query_place_id=ChIJEbEauhvxiwcRKm6QP9m9EHQ</t>
  </si>
  <si>
    <t>TUDIO BELA ROSA</t>
  </si>
  <si>
    <t>R. Rio G. do Norte, 2537 - Nova Jerusalem, Codó - MA, 65400-000, Brasil</t>
  </si>
  <si>
    <t>-4.4600827</t>
  </si>
  <si>
    <t>-43.8973613</t>
  </si>
  <si>
    <t>https://www.google.com/maps/search/?api=1&amp;query=TUDIO%20BELA%20ROSA&amp;query_place_id=ChIJ0zrtwA3xiwcRU90EW14JaOo</t>
  </si>
  <si>
    <t>Salao Sempre Bela</t>
  </si>
  <si>
    <t>R. Higino Bastos, 390 - Santa Filomena, Codó - MA, 65400-000, Brasil</t>
  </si>
  <si>
    <t>-4.457395</t>
  </si>
  <si>
    <t>-43.8848689</t>
  </si>
  <si>
    <t>https://www.google.com/maps/search/?api=1&amp;query=Salao%20Sempre%20Bela&amp;query_place_id=ChIJ9cQXb0DxiwcRyObIa5CNGB0</t>
  </si>
  <si>
    <t>kauanenails</t>
  </si>
  <si>
    <t>av 1 de maio beira linha, Av. São Benedito, 611, Codó - MA, 65400-000, Brasil</t>
  </si>
  <si>
    <t>-4.4413021</t>
  </si>
  <si>
    <t>-43.8911199</t>
  </si>
  <si>
    <t>https://www.google.com/maps/search/?api=1&amp;query=kauanenails&amp;query_place_id=ChIJe93R2W_ziwcRrFAGm_34rfI</t>
  </si>
  <si>
    <t>STUDIO ANANDA SENA</t>
  </si>
  <si>
    <t>R. César Brandão, 1183 - Sao Pedro, Codó - MA, 65400-000, Brasil</t>
  </si>
  <si>
    <t>-4.4550565</t>
  </si>
  <si>
    <t>-43.893529</t>
  </si>
  <si>
    <t>https://www.google.com/maps/search/?api=1&amp;query=STUDIO%20ANANDA%20SENA&amp;query_place_id=ChIJQfOIUmzxiwcRl2Mssgfc6cI</t>
  </si>
  <si>
    <t>ARRASUS STUDIO DE BELEZA</t>
  </si>
  <si>
    <t>-4.4533668</t>
  </si>
  <si>
    <t>-43.889826</t>
  </si>
  <si>
    <t>https://www.google.com/maps/search/?api=1&amp;query=ARRASUS%20STUDIO%20DE%20BELEZA&amp;query_place_id=ChIJKzUuZmnxiwcR34D0wjvuOSc</t>
  </si>
  <si>
    <t>Espaço Isaluh</t>
  </si>
  <si>
    <t>+55 99 98145-5139</t>
  </si>
  <si>
    <t>+5599981455139</t>
  </si>
  <si>
    <t>R. Trinta e Um de Março, 2247 - São Pedro, Codó - MA, 65400-000, Brasil</t>
  </si>
  <si>
    <t>-4.4584195</t>
  </si>
  <si>
    <t>-43.8932066</t>
  </si>
  <si>
    <t>https://www.google.com/maps/search/?api=1&amp;query=Espa%C3%A7o%20Isaluh&amp;query_place_id=ChIJA7oVIqnxiwcR6mIx6fTdUlo</t>
  </si>
  <si>
    <t>Esmalteria Juliano</t>
  </si>
  <si>
    <t>Av. Brasil - Codó, MA, 65400-000, Brasil</t>
  </si>
  <si>
    <t>-4.4863234</t>
  </si>
  <si>
    <t>-43.8882842</t>
  </si>
  <si>
    <t>https://www.google.com/maps/search/?api=1&amp;query=Esmalteria%20Juliano&amp;query_place_id=ChIJh1G_UOrwiwcRMGCKpPp2CUc</t>
  </si>
  <si>
    <t>V1 Barbearia</t>
  </si>
  <si>
    <t>+55 99 98816-8113</t>
  </si>
  <si>
    <t>+5599988168113</t>
  </si>
  <si>
    <t>Av. Alagoas, 367 - Codó, MA, 65400-000, Brasil</t>
  </si>
  <si>
    <t>-4.4877146</t>
  </si>
  <si>
    <t>-43.8880233</t>
  </si>
  <si>
    <t>https://www.google.com/maps/search/?api=1&amp;query=V1%20Barbearia&amp;query_place_id=ChIJR_FdOR7xiwcRt3pBXvxQY2M</t>
  </si>
  <si>
    <t>Studio Amorim</t>
  </si>
  <si>
    <t>Av. Oceania - Codó, MA, 65400-000, Brasil</t>
  </si>
  <si>
    <t>-4.4676197</t>
  </si>
  <si>
    <t>-43.9099071</t>
  </si>
  <si>
    <t>https://www.google.com/maps/search/?api=1&amp;query=Studio%20Amorim&amp;query_place_id=ChIJ4QNeVqnxiwcR44m5cd84TIo</t>
  </si>
  <si>
    <t>Lash designer marta oliveira</t>
  </si>
  <si>
    <t>+55 99 98531-5646</t>
  </si>
  <si>
    <t>+5599985315646</t>
  </si>
  <si>
    <t>R. São Sebastião - São sebastião, Codó - MA, 65400-000, Brasil</t>
  </si>
  <si>
    <t>-4.4619375</t>
  </si>
  <si>
    <t>-43.8906386</t>
  </si>
  <si>
    <t>https://www.google.com/maps/search/?api=1&amp;query=Lash%20designer%20marta%20oliveira&amp;query_place_id=ChIJa4TFhB3xiwcRbwX_pj8cPyw</t>
  </si>
  <si>
    <t>Espaço da Beleza</t>
  </si>
  <si>
    <t>Av. Alagoas - Codó, MA, 65400-000, Brasil</t>
  </si>
  <si>
    <t>-4.4881379</t>
  </si>
  <si>
    <t>-43.8859831</t>
  </si>
  <si>
    <t>https://www.google.com/maps/search/?api=1&amp;query=Espa%C3%A7o%20da%20Beleza&amp;query_place_id=ChIJ0fgCG8DwiwcRu4FP92Kxb_Q</t>
  </si>
  <si>
    <t>Espaço virtuosa</t>
  </si>
  <si>
    <t>+55 98 99200-1871</t>
  </si>
  <si>
    <t>+5598992001871</t>
  </si>
  <si>
    <t>R. São Silva, 2433 - São pedro, Codó - MA, 65400-000, Brasil</t>
  </si>
  <si>
    <t>-4.4593262</t>
  </si>
  <si>
    <t>-43.8922213</t>
  </si>
  <si>
    <t>https://www.google.com/maps/search/?api=1&amp;query=Espa%C3%A7o%20virtuosa&amp;query_place_id=ChIJ78_X7ZHxiwcRwcfofOYeDHs</t>
  </si>
  <si>
    <t>ESPAÇO DEPIL</t>
  </si>
  <si>
    <t>R. Santa Catarina, 482 - Codó, MA, 65400-000, Brasil</t>
  </si>
  <si>
    <t>-4.4568847</t>
  </si>
  <si>
    <t>-43.8845057</t>
  </si>
  <si>
    <t>https://www.google.com/maps/search/?api=1&amp;query=ESPA%C3%87O%20DEPIL&amp;query_place_id=ChIJUUGMXEDxiwcRJGlvfvHpUg0</t>
  </si>
  <si>
    <t>Espaço Thyana Abreu</t>
  </si>
  <si>
    <t>Tv. Quintino Bocaiúva - Codó, MA, 65400-000, Brasil</t>
  </si>
  <si>
    <t>-4.46241</t>
  </si>
  <si>
    <t>-43.8916025</t>
  </si>
  <si>
    <t>https://www.google.com/maps/search/?api=1&amp;query=Espa%C3%A7o%20Thyana%20Abreu&amp;query_place_id=ChIJ90VwbjHxiwcRWSx1QpNLyX4</t>
  </si>
  <si>
    <t>Barbearia Espaço Vip</t>
  </si>
  <si>
    <t>+55 99 98178-9842</t>
  </si>
  <si>
    <t>+5599981789842</t>
  </si>
  <si>
    <t>Av. Vitórino Freire, 453 - Codó, MA, 65400-000, Brasil</t>
  </si>
  <si>
    <t>-4.4591229</t>
  </si>
  <si>
    <t>-43.8831821</t>
  </si>
  <si>
    <t>https://www.google.com/maps/search/?api=1&amp;query=Barbearia%20Espa%C3%A7o%20Vip&amp;query_place_id=ChIJHWGobj_xiwcR8ghzCrbxxto</t>
  </si>
  <si>
    <t>Espaço innovare</t>
  </si>
  <si>
    <t>+55 99 98267-5936</t>
  </si>
  <si>
    <t>+5599982675936</t>
  </si>
  <si>
    <t>Rua Pernambuco casa 02-Qdra A20 - Residencial Santa Rita, Codó - MA, 65400-000, Brasil</t>
  </si>
  <si>
    <t>-4.485301</t>
  </si>
  <si>
    <t>-43.887865</t>
  </si>
  <si>
    <t>https://www.google.com/maps/search/?api=1&amp;query=Espa%C3%A7o%20innovare&amp;query_place_id=ChIJ8QQbI_DxiwcRQXd_k2eK2X8</t>
  </si>
  <si>
    <t>Márcia Esmalteria Nail Designer</t>
  </si>
  <si>
    <t>R. Osmarina Medeiros, 2382 - Codó, MA, 65400-000, Brasil</t>
  </si>
  <si>
    <t>-4.4622129</t>
  </si>
  <si>
    <t>-43.9016882</t>
  </si>
  <si>
    <t>https://www.google.com/maps/search/?api=1&amp;query=M%C3%A1rcia%20Esmalteria%20Nail%20Designer&amp;query_place_id=ChIJ8W2aIwnxiwcRbGW_Y4J3lOQ</t>
  </si>
  <si>
    <t>Saláo Luciano</t>
  </si>
  <si>
    <t>R. da Paz, 1048 - Sao Raimundo, Codó - MA, 65400-000, Brasil</t>
  </si>
  <si>
    <t>-4.4514864</t>
  </si>
  <si>
    <t>-43.8768997</t>
  </si>
  <si>
    <t>https://www.google.com/maps/search/?api=1&amp;query=Sal%C3%A1o%20Luciano&amp;query_place_id=ChIJ7wZzWEXxiwcRCIPlQvtvTbA</t>
  </si>
  <si>
    <t>CENTRO DE BELEZA MIKAELLEN VITÓRIA</t>
  </si>
  <si>
    <t>-4.4609374</t>
  </si>
  <si>
    <t>-43.8824465</t>
  </si>
  <si>
    <t>https://www.google.com/maps/search/?api=1&amp;query=CENTRO%20DE%20BELEZA%20MIKAELLEN%20VIT%C3%93RIA&amp;query_place_id=ChIJlxJQaQDxiwcRGpS6Vb_FMwo</t>
  </si>
  <si>
    <t>Casa minha</t>
  </si>
  <si>
    <t>+55 99 98135-5610</t>
  </si>
  <si>
    <t>+5599981355610</t>
  </si>
  <si>
    <t>R. Antônino Lages, 184 - g G - Santa Filomena, Codó - MA, 65400-000, Brasil</t>
  </si>
  <si>
    <t>-4.4557183</t>
  </si>
  <si>
    <t>-43.8826695</t>
  </si>
  <si>
    <t>https://www.google.com/maps/search/?api=1&amp;query=Casa%20minha&amp;query_place_id=ChIJuxg_-Q3xiwcRz-iLtL_T0Tc</t>
  </si>
  <si>
    <t>Vanierica Novais Nail Designer</t>
  </si>
  <si>
    <t>-4.487933</t>
  </si>
  <si>
    <t>-43.8874324</t>
  </si>
  <si>
    <t>https://www.google.com/maps/search/?api=1&amp;query=Vanierica%20Novais%20Nail%20Designer&amp;query_place_id=ChIJp2c0uerwiwcRiF2HVDM3jnI</t>
  </si>
  <si>
    <t>Brenda lash desing</t>
  </si>
  <si>
    <t>+55 99 98429-7976</t>
  </si>
  <si>
    <t>+5599984297976</t>
  </si>
  <si>
    <t>casa 13 - Avenida01, R. São Francisco, Codó - MA, 65400-000, Brasil</t>
  </si>
  <si>
    <t>-4.4476554</t>
  </si>
  <si>
    <t>-43.9021918</t>
  </si>
  <si>
    <t>https://www.google.com/maps/search/?api=1&amp;query=Brenda%20lash%20desing&amp;query_place_id=ChIJndyqcdXxiwcROLKg3GVCZJs</t>
  </si>
  <si>
    <t>Salão Cabelo &amp; Cia</t>
  </si>
  <si>
    <t>Tv. Terezina, 1928 - Codó, MA, 65400-000, Brasil</t>
  </si>
  <si>
    <t>-4.4668146</t>
  </si>
  <si>
    <t>-43.8922499</t>
  </si>
  <si>
    <t>https://www.google.com/maps/search/?api=1&amp;query=Sal%C3%A3o%20Cabelo%20%26%20Cia&amp;query_place_id=ChIJF6iPNhrxiwcRCV4xiX2Ylt8</t>
  </si>
  <si>
    <t>Nilma Sousa Nail Designer</t>
  </si>
  <si>
    <t>R. do Puraque, 1245 - Santa Teresinha, Codó - MA, 65400-000, Brasil</t>
  </si>
  <si>
    <t>-4.4695505</t>
  </si>
  <si>
    <t>-43.891137</t>
  </si>
  <si>
    <t>https://www.google.com/maps/search/?api=1&amp;query=Nilma%20Sousa%20Nail%20Designer&amp;query_place_id=ChIJ_fUNqB7xiwcRxRHvGIFcGyw</t>
  </si>
  <si>
    <t>Studio Martins</t>
  </si>
  <si>
    <t>E. Da alegria - novo, Codó - MA, 65400-000, Brasil</t>
  </si>
  <si>
    <t>-4.4727017</t>
  </si>
  <si>
    <t>-43.9013834</t>
  </si>
  <si>
    <t>https://www.google.com/maps/search/?api=1&amp;query=Studio%20Martins&amp;query_place_id=ChIJST4GOwDxiwcRYYbln817Gv8</t>
  </si>
  <si>
    <t>Stúdio de Cílios Herllen Carvalho</t>
  </si>
  <si>
    <t>+55 98 98501-7506</t>
  </si>
  <si>
    <t>+5598985017506</t>
  </si>
  <si>
    <t>Rua Benjamin Constant - São Sebastião, Codó - MA, 65400-000, Brasil</t>
  </si>
  <si>
    <t>-4.4597709</t>
  </si>
  <si>
    <t>-43.8861568</t>
  </si>
  <si>
    <t>https://www.google.com/maps/search/?api=1&amp;query=St%C3%BAdio%20de%20C%C3%ADlios%20Herllen%20Carvalho&amp;query_place_id=ChIJM8q31ayPiwcR17WC9sxkl9I</t>
  </si>
  <si>
    <t>Nathy Unhas</t>
  </si>
  <si>
    <t>Tv. Rio Grande do Norte, 1329 - Codó, MA, 65400-000, Brasil</t>
  </si>
  <si>
    <t>-4.460542</t>
  </si>
  <si>
    <t>-43.895774</t>
  </si>
  <si>
    <t>https://www.google.com/maps/search/?api=1&amp;query=Nathy%20Unhas&amp;query_place_id=ChIJ43WRCBLxiwcROEZy_qMPhms</t>
  </si>
  <si>
    <t>Designer Anna Santos</t>
  </si>
  <si>
    <t>+55 99 93300-1244</t>
  </si>
  <si>
    <t>+5599933001244</t>
  </si>
  <si>
    <t>Residencial Santa Rita - R. Paraíba, Quadra B15 - Casa 14 - Santa Teresinha, Codó - MA, 65400-000, Brasil</t>
  </si>
  <si>
    <t>-4.4901153</t>
  </si>
  <si>
    <t>-43.8889166</t>
  </si>
  <si>
    <t>https://www.google.com/maps/search/?api=1&amp;query=Designer%20Anna%20Santos&amp;query_place_id=ChIJkRg94xXxiwcRBnYNqs7aX7c</t>
  </si>
  <si>
    <t>Nayane profissional em designer cílios é sobrancelhas</t>
  </si>
  <si>
    <t>R. Ricardo Archer, 1342 - Santa Teresinha, Codó - MA, 65400-000, Brasil</t>
  </si>
  <si>
    <t>-4.4700948</t>
  </si>
  <si>
    <t>-43.8993938</t>
  </si>
  <si>
    <t>https://www.google.com/maps/search/?api=1&amp;query=Nayane%20profissional%20em%20designer%20c%C3%ADlios%20%C3%A9%20sobrancelhas&amp;query_place_id=ChIJl9-eRQDxiwcR9VVEw8QdzFA</t>
  </si>
  <si>
    <t>Studio Larine Amorim</t>
  </si>
  <si>
    <t>+55 98 99178-8934</t>
  </si>
  <si>
    <t>+5598991788934</t>
  </si>
  <si>
    <t>Rua Antônio Alexandre, Av. São Benedito, 1457, Codó - MA, 65400-000, Brasil</t>
  </si>
  <si>
    <t>-4.4488047</t>
  </si>
  <si>
    <t>-43.8851801</t>
  </si>
  <si>
    <t>https://www.google.com/maps/search/?api=1&amp;query=Studio%20Larine%20Amorim&amp;query_place_id=ChIJHxiHEQDxiwcRsJ5CEX6tICU</t>
  </si>
  <si>
    <t>Renata NAIL DESIGNER</t>
  </si>
  <si>
    <t>R. do Puraque, 1560 - Codó, MA, 65400-000, Brasil</t>
  </si>
  <si>
    <t>-4.4713715</t>
  </si>
  <si>
    <t>-43.8937672</t>
  </si>
  <si>
    <t>https://www.google.com/maps/search/?api=1&amp;query=Renata%20NAIL%20DESIGNER&amp;query_place_id=ChIJjZDyCB3xiwcRZTIW23zgQb4</t>
  </si>
  <si>
    <t>Jéssica NAILS DESIGNER</t>
  </si>
  <si>
    <t>R. Pernambuco - Codó, MA, 65400-000, Brasil</t>
  </si>
  <si>
    <t>-4.4855739</t>
  </si>
  <si>
    <t>-43.8857602</t>
  </si>
  <si>
    <t>https://www.google.com/maps/search/?api=1&amp;query=J%C3%A9ssica%20NAILS%20DESIGNER&amp;query_place_id=ChIJwQk478HwiwcRZCieImss7aI</t>
  </si>
  <si>
    <t>Studio jessyca nail designer</t>
  </si>
  <si>
    <t>+55 99 98835-9376</t>
  </si>
  <si>
    <t>+5599988359376</t>
  </si>
  <si>
    <t>Rua Nossa Senhora das Dores, R. São Raimundo, 237, Codó - MA, 65400-000, Brasil</t>
  </si>
  <si>
    <t>-4.4471765</t>
  </si>
  <si>
    <t>-43.8674828</t>
  </si>
  <si>
    <t>https://www.google.com/maps/search/?api=1&amp;query=Studio%20jessyca%20nail%20designer&amp;query_place_id=ChIJP-ZSlOvxiwcRXdcN4XYGR3w</t>
  </si>
  <si>
    <t>Barbearia do irmão</t>
  </si>
  <si>
    <t>Rua João Passoa, R. João Pessoa, 103, Codó - MA, 65400-000, Brasil</t>
  </si>
  <si>
    <t>-4.4544596</t>
  </si>
  <si>
    <t>-43.8847175</t>
  </si>
  <si>
    <t>https://www.google.com/maps/search/?api=1&amp;query=Barbearia%20do%20irm%C3%A3o&amp;query_place_id=ChIJr7yvvUHxiwcRRNvEb0KdFo8</t>
  </si>
  <si>
    <t>@Studio_Thaisborgess</t>
  </si>
  <si>
    <t>+55 99 99934-4798</t>
  </si>
  <si>
    <t>+5599999344798</t>
  </si>
  <si>
    <t>R. São Miguel, 1264 - Codó, MA, 65400-000, Brasil</t>
  </si>
  <si>
    <t>-4.4702005</t>
  </si>
  <si>
    <t>-43.8971074</t>
  </si>
  <si>
    <t>https://www.google.com/maps/search/?api=1&amp;query=%40Studio_Thaisborgess&amp;query_place_id=ChIJEZYtfwDxiwcRz1PM0c1ypnY</t>
  </si>
  <si>
    <t>Unhas Daiane Gomes</t>
  </si>
  <si>
    <t>+55 99 99171-2076</t>
  </si>
  <si>
    <t>+5599991712076</t>
  </si>
  <si>
    <t>Av. 1º de Maio, 399A - Beira da linha, Codó - MA, 65400-000, Brasil</t>
  </si>
  <si>
    <t>-4.4438944</t>
  </si>
  <si>
    <t>-43.891466</t>
  </si>
  <si>
    <t>https://www.google.com/maps/search/?api=1&amp;query=Unhas%20Daiane%20Gomes&amp;query_place_id=ChIJUz02ZKzxiwcRQGn26pgYJpU</t>
  </si>
  <si>
    <t>Sheila Nobre Manicure E Pedicure</t>
  </si>
  <si>
    <t>Av. 1º de Maio, 3051 - Sao Sebastiao, Codó - MA, 65400-000, Brasil</t>
  </si>
  <si>
    <t>-4.4613116</t>
  </si>
  <si>
    <t>-43.8817976</t>
  </si>
  <si>
    <t>https://www.google.com/maps/search/?api=1&amp;query=Sheila%20Nobre%20Manicure%20E%20Pedicure&amp;query_place_id=ChIJbVVftD7xiwcRJQfhGbzd2aM</t>
  </si>
  <si>
    <t>Mary Nails Designer Manicure</t>
  </si>
  <si>
    <t>R. da Esperança, 1120 - Codó, MA, 65400-000, Brasil</t>
  </si>
  <si>
    <t>-4.4706469</t>
  </si>
  <si>
    <t>-43.8993486</t>
  </si>
  <si>
    <t>https://www.google.com/maps/search/?api=1&amp;query=Mary%20Nails%20Designer%20Manicure&amp;query_place_id=ChIJO6PYSwLxiwcRdMe7hHC4jxc</t>
  </si>
  <si>
    <t>VANESSA MARTINS Nails Designer</t>
  </si>
  <si>
    <t>R. da Alegria, 1342c - Codó, MA, 65400-000, Brasil</t>
  </si>
  <si>
    <t>-4.4701285</t>
  </si>
  <si>
    <t>-43.8991771</t>
  </si>
  <si>
    <t>https://www.google.com/maps/search/?api=1&amp;query=VANESSA%20MARTINS%20Nails%20Designer&amp;query_place_id=ChIJz4nsaP3wiwcR9jQfTEbI3Fo</t>
  </si>
  <si>
    <t>Érica Feitosa Sobrancelhas</t>
  </si>
  <si>
    <t>R. Lisboa, 14 - qd a6 - Codó, MA, 65400-000, Brasil</t>
  </si>
  <si>
    <t>-4.4650682</t>
  </si>
  <si>
    <t>-43.9116916</t>
  </si>
  <si>
    <t>https://www.google.com/maps/search/?api=1&amp;query=%C3%89rica%20Feitosa%20Sobrancelhas&amp;query_place_id=ChIJRTaHQADxiwcRcq8FWX_mTk0</t>
  </si>
  <si>
    <t>BLACK BARBEARIA Codo</t>
  </si>
  <si>
    <t>+55 99 98833-5694</t>
  </si>
  <si>
    <t>+5599988335694</t>
  </si>
  <si>
    <t>R. Rio de Janeiro - SAO FRANCISCO, Codó - MA, 65400-000, Brasil</t>
  </si>
  <si>
    <t>-4.4509446</t>
  </si>
  <si>
    <t>-43.8951996</t>
  </si>
  <si>
    <t>https://www.google.com/maps/search/?api=1&amp;query=BLACK%20BARBEARIA%20Codo&amp;query_place_id=ChIJgQA-qDnxiwcRqCEniYVuC1k</t>
  </si>
  <si>
    <t>Studio de Unhas Taís Araújo</t>
  </si>
  <si>
    <t>+55 99 98218-8079</t>
  </si>
  <si>
    <t>+5599982188079</t>
  </si>
  <si>
    <t>-4.4672408</t>
  </si>
  <si>
    <t>-43.8866999</t>
  </si>
  <si>
    <t>https://www.google.com/maps/search/?api=1&amp;query=Studio%20de%20Unhas%20Ta%C3%ADs%20Ara%C3%BAjo&amp;query_place_id=ChIJ32OTq1Yd-GARdr2SzYTNhPg</t>
  </si>
  <si>
    <t>Studio Claudia Torres</t>
  </si>
  <si>
    <t>+55 99 98505-9646</t>
  </si>
  <si>
    <t>+5599985059646</t>
  </si>
  <si>
    <t>Av. Maranhão, 1221 - Centro, Codó - MA, 65400-000, Brasil</t>
  </si>
  <si>
    <t>-4.4590631</t>
  </si>
  <si>
    <t>-43.8917298</t>
  </si>
  <si>
    <t>https://www.google.com/maps/search/?api=1&amp;query=Studio%20Claudia%20Torres&amp;query_place_id=ChIJrVpkpxTxiwcRbfcnpb6nMgQ</t>
  </si>
  <si>
    <t>Valéria Borges - Beauty &amp; Academy</t>
  </si>
  <si>
    <t>Av. São Benedito, 1544 - Codó, MA, 65400-000, Brasil</t>
  </si>
  <si>
    <t>-4.4497894</t>
  </si>
  <si>
    <t>-43.8879454</t>
  </si>
  <si>
    <t>https://www.google.com/maps/search/?api=1&amp;query=Val%C3%A9ria%20Borges%20-%20Beauty%20%26%20Academy&amp;query_place_id=ChIJIRbwPADxiwcRPPS1cxmQWz4</t>
  </si>
  <si>
    <t>Mayara Santos lash design</t>
  </si>
  <si>
    <t>+55 61 99370-7558</t>
  </si>
  <si>
    <t>+5561993707558</t>
  </si>
  <si>
    <t>R. Distrito Federal - Codó, MA, 65400-000, Brasil</t>
  </si>
  <si>
    <t>-4.4508404</t>
  </si>
  <si>
    <t>-43.8918195</t>
  </si>
  <si>
    <t>https://www.google.com/maps/search/?api=1&amp;query=Mayara%20Santos%20lash%20design&amp;query_place_id=ChIJe4_gP3XxiwcRc2CF9KuqU88</t>
  </si>
  <si>
    <t>Inoove - Fisioterapia e Estética</t>
  </si>
  <si>
    <t>+55 99 98548-0179</t>
  </si>
  <si>
    <t>+5599985480179</t>
  </si>
  <si>
    <t>Av. Maranhão, R. São Sebastião, 1500A, Codó - MA, 65400-000, Brasil</t>
  </si>
  <si>
    <t>-4.4572146</t>
  </si>
  <si>
    <t>-43.8910171</t>
  </si>
  <si>
    <t>https://www.google.com/maps/search/?api=1&amp;query=Inoove%20-%20Fisioterapia%20e%20Est%C3%A9tica&amp;query_place_id=ChIJl2bpNaHxiwcRLXszLoXoae0</t>
  </si>
  <si>
    <t>Donna Make</t>
  </si>
  <si>
    <t>+55 99 98194-0594</t>
  </si>
  <si>
    <t>+5599981940594</t>
  </si>
  <si>
    <t>R. 7 Setembro - Centro, Codó - MA, 65400-000, Brasil</t>
  </si>
  <si>
    <t>-4.4531733</t>
  </si>
  <si>
    <t>-43.8864425</t>
  </si>
  <si>
    <t>https://www.google.com/maps/search/?api=1&amp;query=Donna%20Make&amp;query_place_id=ChIJ0Wp9WFPxiwcR300bJWamx9o</t>
  </si>
  <si>
    <t>Salão Bia Cabelos</t>
  </si>
  <si>
    <t>R. Ruy Barbosa, 1049 - Codó, MA, 65400-000, Brasil</t>
  </si>
  <si>
    <t>-5.0106922</t>
  </si>
  <si>
    <t>-43.9056021</t>
  </si>
  <si>
    <t>https://www.google.com/maps/search/?api=1&amp;query=Sal%C3%A3o%20Bia%20Cabelos&amp;query_place_id=ChIJQ4RlFgAviQcR5j3d3z8v-t4</t>
  </si>
  <si>
    <t>Centro de saúde de cajazeiras</t>
  </si>
  <si>
    <t>Codó, MA, 65775-000, Brasil</t>
  </si>
  <si>
    <t>-5.0131251</t>
  </si>
  <si>
    <t>-43.9053906</t>
  </si>
  <si>
    <t>https://www.google.com/maps/search/?api=1&amp;query=Centro%20de%20sa%C3%BAde%20de%20cajazeiras&amp;query_place_id=ChIJVWrktA0viQcR9avlTrxpM3s</t>
  </si>
  <si>
    <t>Espacobellaflorstudio</t>
  </si>
  <si>
    <t>VRQ9+XH - Codozinho, Coroatá - MA, 65400-000, Brasil</t>
  </si>
  <si>
    <t>-4.5600625</t>
  </si>
  <si>
    <t>-44.1810625</t>
  </si>
  <si>
    <t>https://www.google.com/maps/search/?api=1&amp;query=Espacobellaflorstudio&amp;query_place_id=ChIJux1iRADZiwcRCiG0LXPtipc</t>
  </si>
  <si>
    <t>Salão Mirla Cabelos</t>
  </si>
  <si>
    <t>R. São Paulo - Codó, MA, 65400-000, Brasil</t>
  </si>
  <si>
    <t>-4.460133</t>
  </si>
  <si>
    <t>-43.8899689</t>
  </si>
  <si>
    <t>https://www.google.com/maps/search/?api=1&amp;query=Sal%C3%A3o%20Mirla%20Cabelos&amp;query_place_id=ChIJHZqHQhTxiwcRm-lAb9gzWww</t>
  </si>
  <si>
    <t>Nildo sobrancelhas</t>
  </si>
  <si>
    <t>+55 99 98182-0772</t>
  </si>
  <si>
    <t>+5599981820772</t>
  </si>
  <si>
    <t>R. Pernambuco - São Francisco, Codó - MA, 65400-000, Brasil</t>
  </si>
  <si>
    <t>-4.441637</t>
  </si>
  <si>
    <t>-43.905945</t>
  </si>
  <si>
    <t>https://www.google.com/maps/search/?api=1&amp;query=Nildo%20sobrancelhas&amp;query_place_id=ChIJNcswS0fxiwcRJs6Hvh7bScA</t>
  </si>
  <si>
    <t>Salão Lúcia Hair</t>
  </si>
  <si>
    <t>+55 99 99641-7518</t>
  </si>
  <si>
    <t>+5599996417518</t>
  </si>
  <si>
    <t>-4.456786</t>
  </si>
  <si>
    <t>-43.883004</t>
  </si>
  <si>
    <t>https://www.google.com/maps/search/?api=1&amp;query=Sal%C3%A3o%20L%C3%BAcia%20Hair&amp;query_place_id=ChIJpYBh6EDxiwcRQZmy58BUtoc</t>
  </si>
  <si>
    <t>Salão JPN</t>
  </si>
  <si>
    <t>+55 99 98183-1670</t>
  </si>
  <si>
    <t>+5599981831670</t>
  </si>
  <si>
    <t>Av. Augusto Teixeira, 2400 - Codó, MA, 65400-000, Brasil</t>
  </si>
  <si>
    <t>-4.4572691</t>
  </si>
  <si>
    <t>-43.8882124</t>
  </si>
  <si>
    <t>https://www.google.com/maps/search/?api=1&amp;query=Sal%C3%A3o%20JPN&amp;query_place_id=ChIJrdPoz2rxiwcRR7H9UWopL8k</t>
  </si>
  <si>
    <t>Clínica de Fisioterapia e Estetica Reabilitar</t>
  </si>
  <si>
    <t>R. Simeão de Macedo, 1801 - Centro, Codó - MA, 65400-000, Brasil</t>
  </si>
  <si>
    <t>-4.4471142</t>
  </si>
  <si>
    <t>-43.8860988</t>
  </si>
  <si>
    <t>https://www.google.com/maps/search/?api=1&amp;query=Cl%C3%ADnica%20de%20Fisioterapia%20e%20Estetica%20Reabilitar&amp;query_place_id=ChIJsXOelULxiwcREtmEI-AN_90</t>
  </si>
  <si>
    <t>CENTRO DE TREINAMENTO CORPO &amp; FORMA (CENTRO)</t>
  </si>
  <si>
    <t>Tv. Z. Cardoso, 1 - Centro, Codó - MA, 65400-000, Brasil</t>
  </si>
  <si>
    <t>-4.4520487</t>
  </si>
  <si>
    <t>-43.8861554</t>
  </si>
  <si>
    <t>https://www.google.com/maps/search/?api=1&amp;query=CENTRO%20DE%20TREINAMENTO%20CORPO%20%26%20FORMA%20(CENTRO)&amp;query_place_id=ChIJE40YWADxiwcRt7dHNDtK740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</si>
</sst>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Sal%C3%A3o%20de%20Beleza&amp;query_place_id=ChIJ8buaVADxiwcR36XRaEV6aR8" TargetMode="External"/><Relationship Id="rId42" Type="http://schemas.openxmlformats.org/officeDocument/2006/relationships/hyperlink" Target="https://www.google.com/maps/search/?api=1&amp;query=Studio%20ELIANA&amp;query_place_id=ChIJs2PQ7G_xiwcREt_qZr0IFkY" TargetMode="External"/><Relationship Id="rId41" Type="http://schemas.openxmlformats.org/officeDocument/2006/relationships/hyperlink" Target="https://www.google.com/maps/search/?api=1&amp;query=Studio%20Vb%20beauty&amp;query_place_id=ChIJ3b5l3ivxiwcRiXnoGsRG94U" TargetMode="External"/><Relationship Id="rId44" Type="http://schemas.openxmlformats.org/officeDocument/2006/relationships/hyperlink" Target="https://www.google.com/maps/search/?api=1&amp;query=Espa%C3%A7o%20Da%20Beleza%20Edna&amp;query_place_id=ChIJIyuoMRDxiwcRJBdTPEHrmdY" TargetMode="External"/><Relationship Id="rId43" Type="http://schemas.openxmlformats.org/officeDocument/2006/relationships/hyperlink" Target="https://www.google.com/maps/search/?api=1&amp;query=Esmalteria&amp;query_place_id=ChIJ6zt05hjxiwcRlFQXHFp-93M" TargetMode="External"/><Relationship Id="rId46" Type="http://schemas.openxmlformats.org/officeDocument/2006/relationships/hyperlink" Target="https://www.google.com/maps/search/?api=1&amp;query=Odete%20sobrancelhas&amp;query_place_id=ChIJR122xl7xiwcRG7G4YmO6KOo" TargetMode="External"/><Relationship Id="rId45" Type="http://schemas.openxmlformats.org/officeDocument/2006/relationships/hyperlink" Target="https://www.google.com/maps/search/?api=1&amp;query=Sal%C3%A3o%20Toque%20de%20Beleza&amp;query_place_id=ChIJjZ8S1xPxiwcRnfwDoOmHi8I" TargetMode="External"/><Relationship Id="rId107" Type="http://schemas.openxmlformats.org/officeDocument/2006/relationships/hyperlink" Target="https://www.google.com/maps/search/?api=1&amp;query=Barbearia%20Espa%C3%A7o%20Vip&amp;query_place_id=ChIJHWGobj_xiwcR8ghzCrbxxto" TargetMode="External"/><Relationship Id="rId106" Type="http://schemas.openxmlformats.org/officeDocument/2006/relationships/hyperlink" Target="https://www.google.com/maps/search/?api=1&amp;query=Espa%C3%A7o%20Thyana%20Abreu&amp;query_place_id=ChIJ90VwbjHxiwcRWSx1QpNLyX4" TargetMode="External"/><Relationship Id="rId105" Type="http://schemas.openxmlformats.org/officeDocument/2006/relationships/hyperlink" Target="https://www.google.com/maps/search/?api=1&amp;query=ESPA%C3%87O%20DEPIL&amp;query_place_id=ChIJUUGMXEDxiwcRJGlvfvHpUg0" TargetMode="External"/><Relationship Id="rId104" Type="http://schemas.openxmlformats.org/officeDocument/2006/relationships/hyperlink" Target="https://www.google.com/maps/search/?api=1&amp;query=Espa%C3%A7o%20virtuosa&amp;query_place_id=ChIJ78_X7ZHxiwcRwcfofOYeDHs" TargetMode="External"/><Relationship Id="rId109" Type="http://schemas.openxmlformats.org/officeDocument/2006/relationships/hyperlink" Target="https://www.google.com/maps/search/?api=1&amp;query=M%C3%A1rcia%20Esmalteria%20Nail%20Designer&amp;query_place_id=ChIJ8W2aIwnxiwcRbGW_Y4J3lOQ" TargetMode="External"/><Relationship Id="rId108" Type="http://schemas.openxmlformats.org/officeDocument/2006/relationships/hyperlink" Target="https://www.google.com/maps/search/?api=1&amp;query=Espa%C3%A7o%20innovare&amp;query_place_id=ChIJ8QQbI_DxiwcRQXd_k2eK2X8" TargetMode="External"/><Relationship Id="rId48" Type="http://schemas.openxmlformats.org/officeDocument/2006/relationships/hyperlink" Target="https://www.google.com/maps/search/?api=1&amp;query=M%26NEsmalteria&amp;query_place_id=ChIJX7kyySLxiwcRNvQUruQgCc4" TargetMode="External"/><Relationship Id="rId47" Type="http://schemas.openxmlformats.org/officeDocument/2006/relationships/hyperlink" Target="https://www.google.com/maps/search/?api=1&amp;query=Sal%C3%A3o%20de%20Beleza%20Josy&amp;query_place_id=ChIJpykVHhvxiwcRYngaP4E0mWo" TargetMode="External"/><Relationship Id="rId49" Type="http://schemas.openxmlformats.org/officeDocument/2006/relationships/hyperlink" Target="https://www.google.com/maps/search/?api=1&amp;query=Fecabelos&amp;query_place_id=ChIJxWnbTBDxiwcR5or6BO6c4gI" TargetMode="External"/><Relationship Id="rId103" Type="http://schemas.openxmlformats.org/officeDocument/2006/relationships/hyperlink" Target="https://www.google.com/maps/search/?api=1&amp;query=Espa%C3%A7o%20da%20Beleza&amp;query_place_id=ChIJ0fgCG8DwiwcRu4FP92Kxb_Q" TargetMode="External"/><Relationship Id="rId102" Type="http://schemas.openxmlformats.org/officeDocument/2006/relationships/hyperlink" Target="https://www.google.com/maps/search/?api=1&amp;query=Lash%20designer%20marta%20oliveira&amp;query_place_id=ChIJa4TFhB3xiwcRbwX_pj8cPyw" TargetMode="External"/><Relationship Id="rId101" Type="http://schemas.openxmlformats.org/officeDocument/2006/relationships/hyperlink" Target="https://www.google.com/maps/search/?api=1&amp;query=Studio%20Amorim&amp;query_place_id=ChIJ4QNeVqnxiwcR44m5cd84TIo" TargetMode="External"/><Relationship Id="rId100" Type="http://schemas.openxmlformats.org/officeDocument/2006/relationships/hyperlink" Target="https://www.google.com/maps/search/?api=1&amp;query=V1%20Barbearia&amp;query_place_id=ChIJR_FdOR7xiwcRt3pBXvxQY2M" TargetMode="External"/><Relationship Id="rId31" Type="http://schemas.openxmlformats.org/officeDocument/2006/relationships/hyperlink" Target="https://www.google.com/maps/search/?api=1&amp;query=Luana%20Gomes%20Studio%20de%20Beleza&amp;query_place_id=ChIJF9NxamLxiwcR52mHuss8lfc" TargetMode="External"/><Relationship Id="rId30" Type="http://schemas.openxmlformats.org/officeDocument/2006/relationships/hyperlink" Target="https://www.google.com/maps/search/?api=1&amp;query=Jesus%20Depila%C3%A7%C3%A3o%20%26%20Cosm%C3%A9ticos&amp;query_place_id=ChIJ5yrelD_xiwcRh2jA2M8S-NQ" TargetMode="External"/><Relationship Id="rId33" Type="http://schemas.openxmlformats.org/officeDocument/2006/relationships/hyperlink" Target="https://www.google.com/maps/search/?api=1&amp;query=Sal%C3%A3o%20Ky%20Charm&amp;query_place_id=ChIJKVswWWrxiwcRIW8BPJUo7xs" TargetMode="External"/><Relationship Id="rId32" Type="http://schemas.openxmlformats.org/officeDocument/2006/relationships/hyperlink" Target="https://www.google.com/maps/search/?api=1&amp;query=Est%C3%BAdio%20Joelma%20Brand%C3%A3o&amp;query_place_id=ChIJ5R8JmQzxiwcRWp51m3DLByE" TargetMode="External"/><Relationship Id="rId35" Type="http://schemas.openxmlformats.org/officeDocument/2006/relationships/hyperlink" Target="https://www.google.com/maps/search/?api=1&amp;query=Studio%20Atual%20Fashion.milena%20Aguiar&amp;query_place_id=ChIJzehwmyPxiwcROpuFY0O_780" TargetMode="External"/><Relationship Id="rId34" Type="http://schemas.openxmlformats.org/officeDocument/2006/relationships/hyperlink" Target="https://www.google.com/maps/search/?api=1&amp;query=Maraisa%20Rodr%C3%ADguez%20Studio%20De%20Beleza&amp;query_place_id=ChIJN-5n1BLxiwcRuH_fVd9XoNA" TargetMode="External"/><Relationship Id="rId37" Type="http://schemas.openxmlformats.org/officeDocument/2006/relationships/hyperlink" Target="https://www.google.com/maps/search/?api=1&amp;query=Walmira&amp;query_place_id=ChIJPfFPAozxiwcRon0MURLqUmk" TargetMode="External"/><Relationship Id="rId36" Type="http://schemas.openxmlformats.org/officeDocument/2006/relationships/hyperlink" Target="https://www.google.com/maps/search/?api=1&amp;query=Universo%20Feminino&amp;query_place_id=ChIJmSawtCjxiwcR3aLHxpYsjd4" TargetMode="External"/><Relationship Id="rId39" Type="http://schemas.openxmlformats.org/officeDocument/2006/relationships/hyperlink" Target="https://www.google.com/maps/search/?api=1&amp;query=Eronilza%20cabelereira&amp;query_place_id=ChIJRzakhOLwiwcR1DyF9FDX3uM" TargetMode="External"/><Relationship Id="rId38" Type="http://schemas.openxmlformats.org/officeDocument/2006/relationships/hyperlink" Target="https://www.google.com/maps/search/?api=1&amp;query=Studio%20OLHAR%20DE%20BONECA&amp;query_place_id=ChIJZzUc0BTxiwcR1eTy5RSYhQY" TargetMode="External"/><Relationship Id="rId20" Type="http://schemas.openxmlformats.org/officeDocument/2006/relationships/hyperlink" Target="https://www.google.com/maps/search/?api=1&amp;query=Studio%20GM%20Beauty&amp;query_place_id=ChIJI7oVg_PxiwcRZb_IuUyFBh8" TargetMode="External"/><Relationship Id="rId22" Type="http://schemas.openxmlformats.org/officeDocument/2006/relationships/hyperlink" Target="https://www.google.com/maps/search/?api=1&amp;query=ARLETE%20COIFFEUR&amp;query_place_id=ChIJ6RAUDyPxiwcRIAuDPWh8zlk" TargetMode="External"/><Relationship Id="rId21" Type="http://schemas.openxmlformats.org/officeDocument/2006/relationships/hyperlink" Target="https://www.google.com/maps/search/?api=1&amp;query=Geovanio%20Hair%20Cod%C3%B3&amp;query_place_id=ChIJrZZu_SnxiwcRM_JbekhxUjk" TargetMode="External"/><Relationship Id="rId24" Type="http://schemas.openxmlformats.org/officeDocument/2006/relationships/hyperlink" Target="https://www.google.com/maps/search/?api=1&amp;query=Nogueira%20hair&amp;query_place_id=ChIJT7ei7LzxiwcRXpoGTezbj34" TargetMode="External"/><Relationship Id="rId23" Type="http://schemas.openxmlformats.org/officeDocument/2006/relationships/hyperlink" Target="https://www.google.com/maps/search/?api=1&amp;query=Francisca%20Cabeleireira&amp;query_place_id=ChIJX1SOqx3xiwcRiiUL9ALR2f8" TargetMode="External"/><Relationship Id="rId129" Type="http://schemas.openxmlformats.org/officeDocument/2006/relationships/hyperlink" Target="https://www.google.com/maps/search/?api=1&amp;query=Sheila%20Nobre%20Manicure%20E%20Pedicure&amp;query_place_id=ChIJbVVftD7xiwcRJQfhGbzd2aM" TargetMode="External"/><Relationship Id="rId128" Type="http://schemas.openxmlformats.org/officeDocument/2006/relationships/hyperlink" Target="https://www.google.com/maps/search/?api=1&amp;query=Unhas%20Daiane%20Gomes&amp;query_place_id=ChIJUz02ZKzxiwcRQGn26pgYJpU" TargetMode="External"/><Relationship Id="rId127" Type="http://schemas.openxmlformats.org/officeDocument/2006/relationships/hyperlink" Target="https://www.google.com/maps/search/?api=1&amp;query=%40Studio_Thaisborgess&amp;query_place_id=ChIJEZYtfwDxiwcRz1PM0c1ypnY" TargetMode="External"/><Relationship Id="rId126" Type="http://schemas.openxmlformats.org/officeDocument/2006/relationships/hyperlink" Target="https://www.google.com/maps/search/?api=1&amp;query=Barbearia%20do%20irm%C3%A3o&amp;query_place_id=ChIJr7yvvUHxiwcRRNvEb0KdFo8" TargetMode="External"/><Relationship Id="rId26" Type="http://schemas.openxmlformats.org/officeDocument/2006/relationships/hyperlink" Target="https://www.google.com/maps/search/?api=1&amp;query=SAL%C3%83O%20RENASCER&amp;query_place_id=ChIJNa0CsGXxiwcR0-wwi61dQMw" TargetMode="External"/><Relationship Id="rId121" Type="http://schemas.openxmlformats.org/officeDocument/2006/relationships/hyperlink" Target="https://www.google.com/maps/search/?api=1&amp;query=Nayane%20profissional%20em%20designer%20c%C3%ADlios%20%C3%A9%20sobrancelhas&amp;query_place_id=ChIJl9-eRQDxiwcR9VVEw8QdzFA" TargetMode="External"/><Relationship Id="rId25" Type="http://schemas.openxmlformats.org/officeDocument/2006/relationships/hyperlink" Target="https://www.google.com/maps/search/?api=1&amp;query=Espa%C3%A7o%20Beauty%20Cod%C3%B3&amp;query_place_id=ChIJa1GvIrPxiwcRhbeauUiKRNI" TargetMode="External"/><Relationship Id="rId120" Type="http://schemas.openxmlformats.org/officeDocument/2006/relationships/hyperlink" Target="https://www.google.com/maps/search/?api=1&amp;query=Designer%20Anna%20Santos&amp;query_place_id=ChIJkRg94xXxiwcRBnYNqs7aX7c" TargetMode="External"/><Relationship Id="rId28" Type="http://schemas.openxmlformats.org/officeDocument/2006/relationships/hyperlink" Target="https://www.google.com/maps/search/?api=1&amp;query=Lene%20Cabelos&amp;query_place_id=ChIJI2ZRz1rxiwcRMMk06U_ti7o" TargetMode="External"/><Relationship Id="rId27" Type="http://schemas.openxmlformats.org/officeDocument/2006/relationships/hyperlink" Target="https://www.google.com/maps/search/?api=1&amp;query=Glamour%20STUDIO%20DE%20BELEZA&amp;query_place_id=ChIJ1banqUHxiwcRK2aW6qVYO6s" TargetMode="External"/><Relationship Id="rId125" Type="http://schemas.openxmlformats.org/officeDocument/2006/relationships/hyperlink" Target="https://www.google.com/maps/search/?api=1&amp;query=Studio%20jessyca%20nail%20designer&amp;query_place_id=ChIJP-ZSlOvxiwcRXdcN4XYGR3w" TargetMode="External"/><Relationship Id="rId29" Type="http://schemas.openxmlformats.org/officeDocument/2006/relationships/hyperlink" Target="https://www.google.com/maps/search/?api=1&amp;query=Ciane%20epila%C3%A7%C3%A3o&amp;query_place_id=ChIJtUX7z_jxiwcRR7BYMux8F-Q" TargetMode="External"/><Relationship Id="rId124" Type="http://schemas.openxmlformats.org/officeDocument/2006/relationships/hyperlink" Target="https://www.google.com/maps/search/?api=1&amp;query=J%C3%A9ssica%20NAILS%20DESIGNER&amp;query_place_id=ChIJwQk478HwiwcRZCieImss7aI" TargetMode="External"/><Relationship Id="rId123" Type="http://schemas.openxmlformats.org/officeDocument/2006/relationships/hyperlink" Target="https://www.google.com/maps/search/?api=1&amp;query=Renata%20NAIL%20DESIGNER&amp;query_place_id=ChIJjZDyCB3xiwcRZTIW23zgQb4" TargetMode="External"/><Relationship Id="rId122" Type="http://schemas.openxmlformats.org/officeDocument/2006/relationships/hyperlink" Target="https://www.google.com/maps/search/?api=1&amp;query=Studio%20Larine%20Amorim&amp;query_place_id=ChIJHxiHEQDxiwcRsJ5CEX6tICU" TargetMode="External"/><Relationship Id="rId95" Type="http://schemas.openxmlformats.org/officeDocument/2006/relationships/hyperlink" Target="https://www.google.com/maps/search/?api=1&amp;query=kauanenails&amp;query_place_id=ChIJe93R2W_ziwcRrFAGm_34rfI" TargetMode="External"/><Relationship Id="rId94" Type="http://schemas.openxmlformats.org/officeDocument/2006/relationships/hyperlink" Target="https://www.google.com/maps/search/?api=1&amp;query=Salao%20Sempre%20Bela&amp;query_place_id=ChIJ9cQXb0DxiwcRyObIa5CNGB0" TargetMode="External"/><Relationship Id="rId97" Type="http://schemas.openxmlformats.org/officeDocument/2006/relationships/hyperlink" Target="https://www.google.com/maps/search/?api=1&amp;query=ARRASUS%20STUDIO%20DE%20BELEZA&amp;query_place_id=ChIJKzUuZmnxiwcR34D0wjvuOSc" TargetMode="External"/><Relationship Id="rId96" Type="http://schemas.openxmlformats.org/officeDocument/2006/relationships/hyperlink" Target="https://www.google.com/maps/search/?api=1&amp;query=STUDIO%20ANANDA%20SENA&amp;query_place_id=ChIJQfOIUmzxiwcRl2Mssgfc6cI" TargetMode="External"/><Relationship Id="rId11" Type="http://schemas.openxmlformats.org/officeDocument/2006/relationships/hyperlink" Target="https://www.google.com/maps/search/?api=1&amp;query=Andressa%20Hair%20-%20Cabelereira&amp;query_place_id=ChIJj8oxxwvxiwcRuYnzCDBol1s" TargetMode="External"/><Relationship Id="rId99" Type="http://schemas.openxmlformats.org/officeDocument/2006/relationships/hyperlink" Target="https://www.google.com/maps/search/?api=1&amp;query=Esmalteria%20Juliano&amp;query_place_id=ChIJh1G_UOrwiwcRMGCKpPp2CUc" TargetMode="External"/><Relationship Id="rId10" Type="http://schemas.openxmlformats.org/officeDocument/2006/relationships/hyperlink" Target="https://www.google.com/maps/search/?api=1&amp;query=STUDIO%20ARTE%20VISUAL-HairStylish&amp;query_place_id=ChIJqYDdf1LxiwcRr65us3ejoUI" TargetMode="External"/><Relationship Id="rId98" Type="http://schemas.openxmlformats.org/officeDocument/2006/relationships/hyperlink" Target="https://www.google.com/maps/search/?api=1&amp;query=Espa%C3%A7o%20Isaluh&amp;query_place_id=ChIJA7oVIqnxiwcR6mIx6fTdUlo" TargetMode="External"/><Relationship Id="rId13" Type="http://schemas.openxmlformats.org/officeDocument/2006/relationships/hyperlink" Target="https://www.google.com/maps/search/?api=1&amp;query=SAL%C3%83O%20TOKIM%20CORTES&amp;query_place_id=ChIJDUh5lafxiwcRN-uHmgMtN4k" TargetMode="External"/><Relationship Id="rId12" Type="http://schemas.openxmlformats.org/officeDocument/2006/relationships/hyperlink" Target="https://www.google.com/maps/search/?api=1&amp;query=Depile-se&amp;query_place_id=ChIJsxJWnFjxiwcRgWQAZUrc2u8" TargetMode="External"/><Relationship Id="rId91" Type="http://schemas.openxmlformats.org/officeDocument/2006/relationships/hyperlink" Target="https://www.google.com/maps/search/?api=1&amp;query=Sal%C3%A3o%20de%20depila%C3%A7%C3%A3o&amp;query_place_id=ChIJB_qqsE7xiwcRwBzpukAL8LI" TargetMode="External"/><Relationship Id="rId90" Type="http://schemas.openxmlformats.org/officeDocument/2006/relationships/hyperlink" Target="https://www.google.com/maps/search/?api=1&amp;query=Kahsobranccelhas&amp;query_place_id=ChIJuTRvlH3xiwcRclWU3Bb316M" TargetMode="External"/><Relationship Id="rId93" Type="http://schemas.openxmlformats.org/officeDocument/2006/relationships/hyperlink" Target="https://www.google.com/maps/search/?api=1&amp;query=TUDIO%20BELA%20ROSA&amp;query_place_id=ChIJ0zrtwA3xiwcRU90EW14JaOo" TargetMode="External"/><Relationship Id="rId92" Type="http://schemas.openxmlformats.org/officeDocument/2006/relationships/hyperlink" Target="https://www.google.com/maps/search/?api=1&amp;query=Mayza%20Almeida%20Nails%20Design&amp;query_place_id=ChIJEbEauhvxiwcRKm6QP9m9EHQ" TargetMode="External"/><Relationship Id="rId118" Type="http://schemas.openxmlformats.org/officeDocument/2006/relationships/hyperlink" Target="https://www.google.com/maps/search/?api=1&amp;query=St%C3%BAdio%20de%20C%C3%ADlios%20Herllen%20Carvalho&amp;query_place_id=ChIJM8q31ayPiwcR17WC9sxkl9I" TargetMode="External"/><Relationship Id="rId117" Type="http://schemas.openxmlformats.org/officeDocument/2006/relationships/hyperlink" Target="https://www.google.com/maps/search/?api=1&amp;query=Studio%20Martins&amp;query_place_id=ChIJST4GOwDxiwcRYYbln817Gv8" TargetMode="External"/><Relationship Id="rId116" Type="http://schemas.openxmlformats.org/officeDocument/2006/relationships/hyperlink" Target="https://www.google.com/maps/search/?api=1&amp;query=Nilma%20Sousa%20Nail%20Designer&amp;query_place_id=ChIJ_fUNqB7xiwcRxRHvGIFcGyw" TargetMode="External"/><Relationship Id="rId115" Type="http://schemas.openxmlformats.org/officeDocument/2006/relationships/hyperlink" Target="https://www.google.com/maps/search/?api=1&amp;query=Sal%C3%A3o%20Cabelo%20%26%20Cia&amp;query_place_id=ChIJF6iPNhrxiwcRCV4xiX2Ylt8" TargetMode="External"/><Relationship Id="rId119" Type="http://schemas.openxmlformats.org/officeDocument/2006/relationships/hyperlink" Target="https://www.google.com/maps/search/?api=1&amp;query=Nathy%20Unhas&amp;query_place_id=ChIJ43WRCBLxiwcROEZy_qMPhms" TargetMode="External"/><Relationship Id="rId15" Type="http://schemas.openxmlformats.org/officeDocument/2006/relationships/hyperlink" Target="https://www.google.com/maps/search/?api=1&amp;query=Andr%C3%A9a%20Leal%20Cabelos%20e%20Make&amp;query_place_id=ChIJp9boYG_xiwcRC8xZdYcKxj0" TargetMode="External"/><Relationship Id="rId110" Type="http://schemas.openxmlformats.org/officeDocument/2006/relationships/hyperlink" Target="https://www.google.com/maps/search/?api=1&amp;query=Sal%C3%A1o%20Luciano&amp;query_place_id=ChIJ7wZzWEXxiwcRCIPlQvtvTbA" TargetMode="External"/><Relationship Id="rId14" Type="http://schemas.openxmlformats.org/officeDocument/2006/relationships/hyperlink" Target="https://www.google.com/maps/search/?api=1&amp;query=Luh%20Sal%C3%A3o%20de%20Beleza&amp;query_place_id=ChIJC3bBchfxiwcRIiVqsLKXn94" TargetMode="External"/><Relationship Id="rId17" Type="http://schemas.openxmlformats.org/officeDocument/2006/relationships/hyperlink" Target="https://www.google.com/maps/search/?api=1&amp;query=Sal%C3%A3o%20depila%C3%A7%C3%A3o%20Edina&amp;query_place_id=ChIJp0AzLADxiwcRmGWfxS6hSBg" TargetMode="External"/><Relationship Id="rId16" Type="http://schemas.openxmlformats.org/officeDocument/2006/relationships/hyperlink" Target="https://www.google.com/maps/search/?api=1&amp;query=Look%20Fashion%20Cabelos&amp;query_place_id=ChIJuw5SMZTxiwcRW5iv4R7Nbw0" TargetMode="External"/><Relationship Id="rId19" Type="http://schemas.openxmlformats.org/officeDocument/2006/relationships/hyperlink" Target="https://www.google.com/maps/search/?api=1&amp;query=Espa%C3%A7o%20Aline%20Silva&amp;query_place_id=ChIJE-HnxOnxiwcRJt2EBmt2m4s" TargetMode="External"/><Relationship Id="rId114" Type="http://schemas.openxmlformats.org/officeDocument/2006/relationships/hyperlink" Target="https://www.google.com/maps/search/?api=1&amp;query=Brenda%20lash%20desing&amp;query_place_id=ChIJndyqcdXxiwcROLKg3GVCZJs" TargetMode="External"/><Relationship Id="rId18" Type="http://schemas.openxmlformats.org/officeDocument/2006/relationships/hyperlink" Target="https://www.google.com/maps/search/?api=1&amp;query=Sal%C3%A3o%20De%20Beleza%20Fatima&amp;query_place_id=ChIJHRrMmRXxiwcRDI9b73xg0_I" TargetMode="External"/><Relationship Id="rId113" Type="http://schemas.openxmlformats.org/officeDocument/2006/relationships/hyperlink" Target="https://www.google.com/maps/search/?api=1&amp;query=Vanierica%20Novais%20Nail%20Designer&amp;query_place_id=ChIJp2c0uerwiwcRiF2HVDM3jnI" TargetMode="External"/><Relationship Id="rId112" Type="http://schemas.openxmlformats.org/officeDocument/2006/relationships/hyperlink" Target="https://www.google.com/maps/search/?api=1&amp;query=Casa%20minha&amp;query_place_id=ChIJuxg_-Q3xiwcRz-iLtL_T0Tc" TargetMode="External"/><Relationship Id="rId111" Type="http://schemas.openxmlformats.org/officeDocument/2006/relationships/hyperlink" Target="https://www.google.com/maps/search/?api=1&amp;query=CENTRO%20DE%20BELEZA%20MIKAELLEN%20VIT%C3%93RIA&amp;query_place_id=ChIJlxJQaQDxiwcRGpS6Vb_FMwo" TargetMode="External"/><Relationship Id="rId84" Type="http://schemas.openxmlformats.org/officeDocument/2006/relationships/hyperlink" Target="https://www.google.com/maps/search/?api=1&amp;query=CarmemUnhas&amp;query_place_id=ChIJWxsXlZzxiwcRsX4jjTzLoAc" TargetMode="External"/><Relationship Id="rId83" Type="http://schemas.openxmlformats.org/officeDocument/2006/relationships/hyperlink" Target="https://www.google.com/maps/search/?api=1&amp;query=Sal%C3%A3o%20O%20Brilho%20Da%20Beleza&amp;query_place_id=ChIJ5c-vqRvxiwcRIAxvRCzYpPk" TargetMode="External"/><Relationship Id="rId86" Type="http://schemas.openxmlformats.org/officeDocument/2006/relationships/hyperlink" Target="https://www.google.com/maps/search/?api=1&amp;query=Espa%C3%A7o%20Mulher%20Sal%C3%A3o%20De%20Beleza&amp;query_place_id=ChIJo_qtBnnxiwcRKU1h1TXw2ic" TargetMode="External"/><Relationship Id="rId85" Type="http://schemas.openxmlformats.org/officeDocument/2006/relationships/hyperlink" Target="https://www.google.com/maps/search/?api=1&amp;query=Sal%C3%A3o%20Bella%20Donna&amp;query_place_id=ChIJOUQwARrxiwcRewxIfvUYDVY" TargetMode="External"/><Relationship Id="rId88" Type="http://schemas.openxmlformats.org/officeDocument/2006/relationships/hyperlink" Target="https://www.google.com/maps/search/?api=1&amp;query=M%C3%A1rcia%20Esmalteria&amp;query_place_id=ChIJdW1bfwnxiwcR0qd86w2QRzQ" TargetMode="External"/><Relationship Id="rId87" Type="http://schemas.openxmlformats.org/officeDocument/2006/relationships/hyperlink" Target="https://www.google.com/maps/search/?api=1&amp;query=SPACO%20DAS%20UNHAS&amp;query_place_id=ChIJXXIJ8U3xiwcRg-6PAXV52iw" TargetMode="External"/><Relationship Id="rId89" Type="http://schemas.openxmlformats.org/officeDocument/2006/relationships/hyperlink" Target="https://www.google.com/maps/search/?api=1&amp;query=Paulinea%20unhas&amp;query_place_id=ChIJmYhvrhvxiwcRdDpOg2js-Q4" TargetMode="External"/><Relationship Id="rId80" Type="http://schemas.openxmlformats.org/officeDocument/2006/relationships/hyperlink" Target="https://www.google.com/maps/search/?api=1&amp;query=Studio%20Val&amp;query_place_id=ChIJy0jhqHrxiwcR3VyhUx0HxMY" TargetMode="External"/><Relationship Id="rId82" Type="http://schemas.openxmlformats.org/officeDocument/2006/relationships/hyperlink" Target="https://www.google.com/maps/search/?api=1&amp;query=Mirulinda%20Leite%20-%20Centro%20de%20Est%C3%A9tica%20e%20Sa%C3%BAde%20integrativa&amp;query_place_id=ChIJQ8LsbU_xiwcRAIF8if1d-88" TargetMode="External"/><Relationship Id="rId81" Type="http://schemas.openxmlformats.org/officeDocument/2006/relationships/hyperlink" Target="https://www.google.com/maps/search/?api=1&amp;query=STUDIO%20DANNY&amp;query_place_id=ChIJEZGIxTrxiwcRfygxC7PoDWw" TargetMode="External"/><Relationship Id="rId1" Type="http://schemas.openxmlformats.org/officeDocument/2006/relationships/hyperlink" Target="https://www.google.com/maps/search/?api=1&amp;query=Instituto%20de%20Beleza%20Katia&amp;query_place_id=ChIJB9ZzhULxiwcR8QaRavKOQEM" TargetMode="External"/><Relationship Id="rId2" Type="http://schemas.openxmlformats.org/officeDocument/2006/relationships/hyperlink" Target="https://www.google.com/maps/search/?api=1&amp;query=Sal%C3%A3o%20Espa%C3%A7o%20Da%20Beleza&amp;query_place_id=ChIJ__q1hjrxiwcR0xfvjxloKAQ" TargetMode="External"/><Relationship Id="rId3" Type="http://schemas.openxmlformats.org/officeDocument/2006/relationships/hyperlink" Target="https://www.google.com/maps/search/?api=1&amp;query=Sal%C3%A3o%20de%20beleza%20Milena%20Cabelos&amp;query_place_id=ChIJgWpAMuXziwcRJbYStkHKPqE" TargetMode="External"/><Relationship Id="rId149" Type="http://schemas.openxmlformats.org/officeDocument/2006/relationships/drawing" Target="../drawings/drawing1.xml"/><Relationship Id="rId4" Type="http://schemas.openxmlformats.org/officeDocument/2006/relationships/hyperlink" Target="https://www.google.com/maps/search/?api=1&amp;query=M.%20BEAUTY%20CODO&amp;query_place_id=ChIJ8bshzbjxiwcRVAMJRS0HykU" TargetMode="External"/><Relationship Id="rId148" Type="http://schemas.openxmlformats.org/officeDocument/2006/relationships/hyperlink" Target="https://www.google.com/maps/search/?api=1&amp;query=CENTRO%20DE%20TREINAMENTO%20CORPO%20%26%20FORMA%20(CENTRO)&amp;query_place_id=ChIJE40YWADxiwcRt7dHNDtK740" TargetMode="External"/><Relationship Id="rId9" Type="http://schemas.openxmlformats.org/officeDocument/2006/relationships/hyperlink" Target="https://www.google.com/maps/search/?api=1&amp;query=Nalva%20Esmalteria&amp;query_place_id=ChIJv6NNSPvxiwcRQaq8P7tkJcw" TargetMode="External"/><Relationship Id="rId143" Type="http://schemas.openxmlformats.org/officeDocument/2006/relationships/hyperlink" Target="https://www.google.com/maps/search/?api=1&amp;query=Sal%C3%A3o%20Mirla%20Cabelos&amp;query_place_id=ChIJHZqHQhTxiwcRm-lAb9gzWww" TargetMode="External"/><Relationship Id="rId142" Type="http://schemas.openxmlformats.org/officeDocument/2006/relationships/hyperlink" Target="https://www.google.com/maps/search/?api=1&amp;query=Espacobellaflorstudio&amp;query_place_id=ChIJux1iRADZiwcRCiG0LXPtipc" TargetMode="External"/><Relationship Id="rId141" Type="http://schemas.openxmlformats.org/officeDocument/2006/relationships/hyperlink" Target="https://www.google.com/maps/search/?api=1&amp;query=Centro%20de%20sa%C3%BAde%20de%20cajazeiras&amp;query_place_id=ChIJVWrktA0viQcR9avlTrxpM3s" TargetMode="External"/><Relationship Id="rId140" Type="http://schemas.openxmlformats.org/officeDocument/2006/relationships/hyperlink" Target="https://www.google.com/maps/search/?api=1&amp;query=Sal%C3%A3o%20Bia%20Cabelos&amp;query_place_id=ChIJQ4RlFgAviQcR5j3d3z8v-t4" TargetMode="External"/><Relationship Id="rId5" Type="http://schemas.openxmlformats.org/officeDocument/2006/relationships/hyperlink" Target="https://www.google.com/maps/search/?api=1&amp;query=St%C3%BAdio%20Eliza%20Cabeleireiros&amp;query_place_id=ChIJcfCyqnHxiwcRHq3e0fyKOD4" TargetMode="External"/><Relationship Id="rId147" Type="http://schemas.openxmlformats.org/officeDocument/2006/relationships/hyperlink" Target="https://www.google.com/maps/search/?api=1&amp;query=Cl%C3%ADnica%20de%20Fisioterapia%20e%20Estetica%20Reabilitar&amp;query_place_id=ChIJsXOelULxiwcREtmEI-AN_90" TargetMode="External"/><Relationship Id="rId6" Type="http://schemas.openxmlformats.org/officeDocument/2006/relationships/hyperlink" Target="https://www.google.com/maps/search/?api=1&amp;query=Ana%20Dark%20Studio&amp;query_place_id=ChIJz05HkxfxiwcRZA2zK-yCfDA" TargetMode="External"/><Relationship Id="rId146" Type="http://schemas.openxmlformats.org/officeDocument/2006/relationships/hyperlink" Target="https://www.google.com/maps/search/?api=1&amp;query=Sal%C3%A3o%20JPN&amp;query_place_id=ChIJrdPoz2rxiwcRR7H9UWopL8k" TargetMode="External"/><Relationship Id="rId7" Type="http://schemas.openxmlformats.org/officeDocument/2006/relationships/hyperlink" Target="https://www.google.com/maps/search/?api=1&amp;query=Studio%20de%20Beleza%20Drikkbelos&amp;query_place_id=ChIJUQAsoCHxiwcRX0IhGf6vGIM" TargetMode="External"/><Relationship Id="rId145" Type="http://schemas.openxmlformats.org/officeDocument/2006/relationships/hyperlink" Target="https://www.google.com/maps/search/?api=1&amp;query=Sal%C3%A3o%20L%C3%BAcia%20Hair&amp;query_place_id=ChIJpYBh6EDxiwcRQZmy58BUtoc" TargetMode="External"/><Relationship Id="rId8" Type="http://schemas.openxmlformats.org/officeDocument/2006/relationships/hyperlink" Target="https://www.google.com/maps/search/?api=1&amp;query=Sal%C3%A3o%20Lucas&amp;query_place_id=ChIJ8ySosUDxiwcRd6QQSYSYxAk" TargetMode="External"/><Relationship Id="rId144" Type="http://schemas.openxmlformats.org/officeDocument/2006/relationships/hyperlink" Target="https://www.google.com/maps/search/?api=1&amp;query=Nildo%20sobrancelhas&amp;query_place_id=ChIJNcswS0fxiwcRJs6Hvh7bScA" TargetMode="External"/><Relationship Id="rId73" Type="http://schemas.openxmlformats.org/officeDocument/2006/relationships/hyperlink" Target="https://www.google.com/maps/search/?api=1&amp;query=STUDIO%20Raylene%20Lemes&amp;query_place_id=ChIJH8wb0v3wiwcRmxlNuQW0iHQ" TargetMode="External"/><Relationship Id="rId72" Type="http://schemas.openxmlformats.org/officeDocument/2006/relationships/hyperlink" Target="https://www.google.com/maps/search/?api=1&amp;query=Studio%20Iracema%20Torres&amp;query_place_id=ChIJNxW5JwDxiwcRTD_PYl6FZ68" TargetMode="External"/><Relationship Id="rId75" Type="http://schemas.openxmlformats.org/officeDocument/2006/relationships/hyperlink" Target="https://www.google.com/maps/search/?api=1&amp;query=Sal%C3%A3o%20Brilho%20da%20Beleza&amp;query_place_id=ChIJVz0UalHxiwcRUA2NhgakbjM" TargetMode="External"/><Relationship Id="rId74" Type="http://schemas.openxmlformats.org/officeDocument/2006/relationships/hyperlink" Target="https://www.google.com/maps/search/?api=1&amp;query=Arte%20E%20Beleza%20Esmalteria&amp;query_place_id=ChIJzX3ndGTxiwcRueSHDnEp0IY" TargetMode="External"/><Relationship Id="rId77" Type="http://schemas.openxmlformats.org/officeDocument/2006/relationships/hyperlink" Target="https://www.google.com/maps/search/?api=1&amp;query=Instituto%20de%20Beleza%20Evolu%C3%A7%C3%A3o%20Cachos&amp;query_place_id=ChIJ8cIdD6jxiwcRsK9g6yHtAm8" TargetMode="External"/><Relationship Id="rId76" Type="http://schemas.openxmlformats.org/officeDocument/2006/relationships/hyperlink" Target="https://www.google.com/maps/search/?api=1&amp;query=Alice%20Cabelos&amp;query_place_id=ChIJd-d_5lDxiwcRE3ZKfKH_Uz8" TargetMode="External"/><Relationship Id="rId79" Type="http://schemas.openxmlformats.org/officeDocument/2006/relationships/hyperlink" Target="https://www.google.com/maps/search/?api=1&amp;query=STUDIO%20BEAUTY&amp;query_place_id=ChIJlxgK3xDxiwcRq3i0nAYrxuo" TargetMode="External"/><Relationship Id="rId78" Type="http://schemas.openxmlformats.org/officeDocument/2006/relationships/hyperlink" Target="https://www.google.com/maps/search/?api=1&amp;query=Coiffer%20Bella&amp;query_place_id=ChIJH7TTomPxiwcRSaKfzD14PeA" TargetMode="External"/><Relationship Id="rId71" Type="http://schemas.openxmlformats.org/officeDocument/2006/relationships/hyperlink" Target="https://www.google.com/maps/search/?api=1&amp;query=Studio%20Beleza%20Adla%20Raine&amp;query_place_id=ChIJG240sFzxiwcR7LXJdBm_MZE" TargetMode="External"/><Relationship Id="rId70" Type="http://schemas.openxmlformats.org/officeDocument/2006/relationships/hyperlink" Target="https://www.google.com/maps/search/?api=1&amp;query=Espa%C3%A7o%20das%20unhas&amp;query_place_id=ChIJd28qcw7xiwcRChrMHKewAsA" TargetMode="External"/><Relationship Id="rId139" Type="http://schemas.openxmlformats.org/officeDocument/2006/relationships/hyperlink" Target="https://www.google.com/maps/search/?api=1&amp;query=Donna%20Make&amp;query_place_id=ChIJ0Wp9WFPxiwcR300bJWamx9o" TargetMode="External"/><Relationship Id="rId138" Type="http://schemas.openxmlformats.org/officeDocument/2006/relationships/hyperlink" Target="https://www.google.com/maps/search/?api=1&amp;query=Inoove%20-%20Fisioterapia%20e%20Est%C3%A9tica&amp;query_place_id=ChIJl2bpNaHxiwcRLXszLoXoae0" TargetMode="External"/><Relationship Id="rId137" Type="http://schemas.openxmlformats.org/officeDocument/2006/relationships/hyperlink" Target="https://www.google.com/maps/search/?api=1&amp;query=Mayara%20Santos%20lash%20design&amp;query_place_id=ChIJe4_gP3XxiwcRc2CF9KuqU88" TargetMode="External"/><Relationship Id="rId132" Type="http://schemas.openxmlformats.org/officeDocument/2006/relationships/hyperlink" Target="https://www.google.com/maps/search/?api=1&amp;query=%C3%89rica%20Feitosa%20Sobrancelhas&amp;query_place_id=ChIJRTaHQADxiwcRcq8FWX_mTk0" TargetMode="External"/><Relationship Id="rId131" Type="http://schemas.openxmlformats.org/officeDocument/2006/relationships/hyperlink" Target="https://www.google.com/maps/search/?api=1&amp;query=VANESSA%20MARTINS%20Nails%20Designer&amp;query_place_id=ChIJz4nsaP3wiwcR9jQfTEbI3Fo" TargetMode="External"/><Relationship Id="rId130" Type="http://schemas.openxmlformats.org/officeDocument/2006/relationships/hyperlink" Target="https://www.google.com/maps/search/?api=1&amp;query=Mary%20Nails%20Designer%20Manicure&amp;query_place_id=ChIJO6PYSwLxiwcRdMe7hHC4jxc" TargetMode="External"/><Relationship Id="rId136" Type="http://schemas.openxmlformats.org/officeDocument/2006/relationships/hyperlink" Target="https://www.google.com/maps/search/?api=1&amp;query=Val%C3%A9ria%20Borges%20-%20Beauty%20%26%20Academy&amp;query_place_id=ChIJIRbwPADxiwcRPPS1cxmQWz4" TargetMode="External"/><Relationship Id="rId135" Type="http://schemas.openxmlformats.org/officeDocument/2006/relationships/hyperlink" Target="https://www.google.com/maps/search/?api=1&amp;query=Studio%20Claudia%20Torres&amp;query_place_id=ChIJrVpkpxTxiwcRbfcnpb6nMgQ" TargetMode="External"/><Relationship Id="rId134" Type="http://schemas.openxmlformats.org/officeDocument/2006/relationships/hyperlink" Target="https://www.google.com/maps/search/?api=1&amp;query=Studio%20de%20Unhas%20Ta%C3%ADs%20Ara%C3%BAjo&amp;query_place_id=ChIJ32OTq1Yd-GARdr2SzYTNhPg" TargetMode="External"/><Relationship Id="rId133" Type="http://schemas.openxmlformats.org/officeDocument/2006/relationships/hyperlink" Target="https://www.google.com/maps/search/?api=1&amp;query=BLACK%20BARBEARIA%20Codo&amp;query_place_id=ChIJgQA-qDnxiwcRqCEniYVuC1k" TargetMode="External"/><Relationship Id="rId62" Type="http://schemas.openxmlformats.org/officeDocument/2006/relationships/hyperlink" Target="https://www.google.com/maps/search/?api=1&amp;query=Lays%20Sousa%20St%C3%BAdio%20Hair&amp;query_place_id=ChIJJdCLNxXxiwcRmtuQZDd9n0Y" TargetMode="External"/><Relationship Id="rId61" Type="http://schemas.openxmlformats.org/officeDocument/2006/relationships/hyperlink" Target="https://www.google.com/maps/search/?api=1&amp;query=Studio%20Manu%20Reis&amp;query_place_id=ChIJRRkISqXxiwcRvhEbqfYUem8" TargetMode="External"/><Relationship Id="rId64" Type="http://schemas.openxmlformats.org/officeDocument/2006/relationships/hyperlink" Target="https://www.google.com/maps/search/?api=1&amp;query=Amadoras%20de%20dreads&amp;query_place_id=ChIJTUrqm3PxiwcRWJ-XwpQjO1w" TargetMode="External"/><Relationship Id="rId63" Type="http://schemas.openxmlformats.org/officeDocument/2006/relationships/hyperlink" Target="https://www.google.com/maps/search/?api=1&amp;query=Lucyblima%20Espa%C3%A7o%20Da%20Beleza&amp;query_place_id=ChIJzXsrVBfxiwcREfnti2k8y4E" TargetMode="External"/><Relationship Id="rId66" Type="http://schemas.openxmlformats.org/officeDocument/2006/relationships/hyperlink" Target="https://www.google.com/maps/search/?api=1&amp;query=Studio%20JN%20-%20Joyce%20Nascimento&amp;query_place_id=ChIJs3Mk23zxiwcRyJfh0rCw8gA" TargetMode="External"/><Relationship Id="rId65" Type="http://schemas.openxmlformats.org/officeDocument/2006/relationships/hyperlink" Target="https://www.google.com/maps/search/?api=1&amp;query=Sal%C3%A3o%20Stilo%20Novo&amp;query_place_id=ChIJ4_MVSwzxiwcRsyOBQYI5Sk0" TargetMode="External"/><Relationship Id="rId68" Type="http://schemas.openxmlformats.org/officeDocument/2006/relationships/hyperlink" Target="https://www.google.com/maps/search/?api=1&amp;query=Lenny%20Cabelos%20Manicure%20E%20Pedicure&amp;query_place_id=ChIJxVgZuuTwiwcR0cYfOBzM_JA" TargetMode="External"/><Relationship Id="rId67" Type="http://schemas.openxmlformats.org/officeDocument/2006/relationships/hyperlink" Target="https://www.google.com/maps/search/?api=1&amp;query=Yasmin%20Azevedo%20Sal%C3%A3o%20De%20Beleza&amp;query_place_id=ChIJ9yrylRPxiwcRW66CbynnLKU" TargetMode="External"/><Relationship Id="rId60" Type="http://schemas.openxmlformats.org/officeDocument/2006/relationships/hyperlink" Target="https://www.google.com/maps/search/?api=1&amp;query=Carmem%20unhas&amp;query_place_id=ChIJQ_B1xGbxiwcR7cXmkdTswb8" TargetMode="External"/><Relationship Id="rId69" Type="http://schemas.openxmlformats.org/officeDocument/2006/relationships/hyperlink" Target="https://www.google.com/maps/search/?api=1&amp;query=STUDIO%20Mikaellen%20Vit%C3%B3ria&amp;query_place_id=ChIJ3XDUWWjxiwcR4dIfsqivd1g" TargetMode="External"/><Relationship Id="rId51" Type="http://schemas.openxmlformats.org/officeDocument/2006/relationships/hyperlink" Target="https://www.google.com/maps/search/?api=1&amp;query=Claudia%20Hair&amp;query_place_id=ChIJgwXk7XHxiwcRsOvwxUoh0d4" TargetMode="External"/><Relationship Id="rId50" Type="http://schemas.openxmlformats.org/officeDocument/2006/relationships/hyperlink" Target="https://www.google.com/maps/search/?api=1&amp;query=Sal%C3%A3o%20de%20Beleza%20Delany&amp;query_place_id=ChIJTXtEyXrxiwcRFy7U-FdTO_I" TargetMode="External"/><Relationship Id="rId53" Type="http://schemas.openxmlformats.org/officeDocument/2006/relationships/hyperlink" Target="https://www.google.com/maps/search/?api=1&amp;query=Josy%20Espa%C3%A7o%20da%20Beleza&amp;query_place_id=ChIJN9HeuqzxiwcR7rcF2p1rVdA" TargetMode="External"/><Relationship Id="rId52" Type="http://schemas.openxmlformats.org/officeDocument/2006/relationships/hyperlink" Target="https://www.google.com/maps/search/?api=1&amp;query=Mayanne%20Souza%20studio%20BEAUTY&amp;query_place_id=ChIJL8na4whtxmoRIojc6XbjdnU" TargetMode="External"/><Relationship Id="rId55" Type="http://schemas.openxmlformats.org/officeDocument/2006/relationships/hyperlink" Target="https://www.google.com/maps/search/?api=1&amp;query=Ulcijara%20Lima&amp;query_place_id=ChIJk1ajs63xiwcRv2qin35yP64" TargetMode="External"/><Relationship Id="rId54" Type="http://schemas.openxmlformats.org/officeDocument/2006/relationships/hyperlink" Target="https://www.google.com/maps/search/?api=1&amp;query=Studios%20May&amp;query_place_id=ChIJrS23XwDxiwcRJ6MdTjREZR4" TargetMode="External"/><Relationship Id="rId57" Type="http://schemas.openxmlformats.org/officeDocument/2006/relationships/hyperlink" Target="https://www.google.com/maps/search/?api=1&amp;query=Sal%C3%A3o%20Da%20Rog%C3%A9ria&amp;query_place_id=ChIJWdzP7DzziwcRPYfpBJtU1Zs" TargetMode="External"/><Relationship Id="rId56" Type="http://schemas.openxmlformats.org/officeDocument/2006/relationships/hyperlink" Target="https://www.google.com/maps/search/?api=1&amp;query=Sal%C3%A3o%20Iracema&amp;query_place_id=ChIJzSonGh7xiwcRQ1ynjeuip3M" TargetMode="External"/><Relationship Id="rId59" Type="http://schemas.openxmlformats.org/officeDocument/2006/relationships/hyperlink" Target="https://www.google.com/maps/search/?api=1&amp;query=Studio%20Gleyce%20Paiva&amp;query_place_id=ChIJ9yQF1xPxiwcRw1ObyJ3qEKE" TargetMode="External"/><Relationship Id="rId58" Type="http://schemas.openxmlformats.org/officeDocument/2006/relationships/hyperlink" Target="https://www.google.com/maps/search/?api=1&amp;query=SALAO%20NOVA%20IMAGEM&amp;query_place_id=ChIJ0WV6d1LxiwcRtYjYHxoLAj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3" t="str">
        <f>IFERROR(__xludf.DUMMYFUNCTION("IF(A2="""", """", IFS(REGEXMATCH(LOWER(A2), ""barbearia|barber""), ""Barbearia"", REGEXMATCH(LOWER(A2), ""sobrancelh|c[ií]lio|lash|micropigment|showbrancelhas""), ""Sobrancelhas e Cílios"", REGEXMATCH(LOWER(A2), ""maquia|make""), ""Maquiagem"", REGEXMATCH"&amp;"(LOWER(A2), ""depil|epil""), ""Depilação"", REGEXMATCH(LOWER(A2), ""esmalteria|unha|nail|manicur|spa dos p[eé]s|kauu_nhas""), ""Manicure - Esmalteria"", REGEXMATCH(LOWER(A2), ""est[eé]tic|bronze|massot|terap|pilates|revitalize|dra""), ""Clínica de Estétic"&amp;"a"", TRUE, ""Salão de Beleza""))"),"Salão de Beleza")</f>
        <v>Salão de Beleza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15</v>
      </c>
      <c r="H3" s="2" t="s">
        <v>23</v>
      </c>
      <c r="I3" s="3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Beleza""))"),"Salão de Beleza")</f>
        <v>Salão de Beleza</v>
      </c>
    </row>
    <row r="4">
      <c r="A4" s="1" t="s">
        <v>24</v>
      </c>
      <c r="D4" s="1" t="s">
        <v>25</v>
      </c>
      <c r="E4" s="1" t="s">
        <v>26</v>
      </c>
      <c r="F4" s="1" t="s">
        <v>27</v>
      </c>
      <c r="G4" s="1" t="s">
        <v>15</v>
      </c>
      <c r="H4" s="2" t="s">
        <v>28</v>
      </c>
      <c r="I4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15</v>
      </c>
      <c r="H5" s="2" t="s">
        <v>35</v>
      </c>
      <c r="I5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15</v>
      </c>
      <c r="H6" s="2" t="s">
        <v>42</v>
      </c>
      <c r="I6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7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15</v>
      </c>
      <c r="H7" s="2" t="s">
        <v>49</v>
      </c>
      <c r="I7" s="3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15</v>
      </c>
      <c r="H8" s="2" t="s">
        <v>56</v>
      </c>
      <c r="I8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9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15</v>
      </c>
      <c r="H9" s="2" t="s">
        <v>63</v>
      </c>
      <c r="I9" s="3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Beleza""))"),"Salão de Beleza")</f>
        <v>Salão de Beleza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15</v>
      </c>
      <c r="H10" s="2" t="s">
        <v>70</v>
      </c>
      <c r="I10" s="3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Beleza""))"),"Manicure - Esmalteria")</f>
        <v>Manicure - Esmalteria</v>
      </c>
    </row>
    <row r="11">
      <c r="A11" s="1" t="s">
        <v>71</v>
      </c>
      <c r="D11" s="1" t="s">
        <v>72</v>
      </c>
      <c r="E11" s="1" t="s">
        <v>73</v>
      </c>
      <c r="F11" s="1" t="s">
        <v>74</v>
      </c>
      <c r="G11" s="1" t="s">
        <v>15</v>
      </c>
      <c r="H11" s="2" t="s">
        <v>75</v>
      </c>
      <c r="I11" s="3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Beleza""))"),"Salão de Beleza")</f>
        <v>Salão de Beleza</v>
      </c>
    </row>
    <row r="12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15</v>
      </c>
      <c r="H12" s="2" t="s">
        <v>82</v>
      </c>
      <c r="I12" s="3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3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1" t="s">
        <v>15</v>
      </c>
      <c r="H13" s="2" t="s">
        <v>89</v>
      </c>
      <c r="I13" s="3" t="str">
        <f>IFERROR(__xludf.DUMMYFUNCTION("IF(A13="""", """", IFS(REGEXMATCH(LOWER(A13), ""barbearia|barber""), ""Barbearia"", REGEXMATCH(LOWER(A13), ""sobrancelh|c[ií]lio|lash|micropigment|showbrancelhas""), ""Sobrancelhas e Cílios"", REGEXMATCH(LOWER(A13), ""maquia|make""), ""Maquiagem"", REGEXM"&amp;"ATCH(LOWER(A13), ""depil|epil""), ""Depilação"", REGEXMATCH(LOWER(A13), ""esmalteria|unha|nail|manicur|spa dos p[eé]s|kauu_nhas""), ""Manicure - Esmalteria"", REGEXMATCH(LOWER(A13), ""est[eé]tic|bronze|massot|terap|pilates|revitalize|dra""), ""Clínica de "&amp;"Estética"", TRUE, ""Salão de Beleza""))"),"Depilação")</f>
        <v>Depilação</v>
      </c>
    </row>
    <row r="14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15</v>
      </c>
      <c r="H14" s="2" t="s">
        <v>96</v>
      </c>
      <c r="I14" s="3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Beleza""))"),"Salão de Beleza")</f>
        <v>Salão de Beleza</v>
      </c>
    </row>
    <row r="15">
      <c r="A15" s="1" t="s">
        <v>97</v>
      </c>
      <c r="D15" s="1" t="s">
        <v>98</v>
      </c>
      <c r="E15" s="1" t="s">
        <v>99</v>
      </c>
      <c r="F15" s="1" t="s">
        <v>100</v>
      </c>
      <c r="G15" s="1" t="s">
        <v>15</v>
      </c>
      <c r="H15" s="2" t="s">
        <v>101</v>
      </c>
      <c r="I15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6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 t="s">
        <v>15</v>
      </c>
      <c r="H16" s="2" t="s">
        <v>108</v>
      </c>
      <c r="I16" s="1" t="s">
        <v>109</v>
      </c>
    </row>
    <row r="17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115</v>
      </c>
      <c r="G17" s="1" t="s">
        <v>15</v>
      </c>
      <c r="H17" s="2" t="s">
        <v>116</v>
      </c>
      <c r="I17" s="3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8">
      <c r="A18" s="1" t="s">
        <v>117</v>
      </c>
      <c r="B18" s="1" t="s">
        <v>118</v>
      </c>
      <c r="C18" s="1" t="s">
        <v>119</v>
      </c>
      <c r="D18" s="1" t="s">
        <v>120</v>
      </c>
      <c r="E18" s="1" t="s">
        <v>121</v>
      </c>
      <c r="F18" s="1" t="s">
        <v>122</v>
      </c>
      <c r="G18" s="1" t="s">
        <v>15</v>
      </c>
      <c r="H18" s="2" t="s">
        <v>123</v>
      </c>
      <c r="I18" s="3" t="str">
        <f>IFERROR(__xludf.DUMMYFUNCTION("IF(A18="""", """", IFS(REGEXMATCH(LOWER(A18), ""barbearia|barber""), ""Barbearia"", REGEXMATCH(LOWER(A18), ""sobrancelh|c[ií]lio|lash|micropigment|showbrancelhas""), ""Sobrancelhas e Cílios"", REGEXMATCH(LOWER(A18), ""maquia|make""), ""Maquiagem"", REGEXM"&amp;"ATCH(LOWER(A18), ""depil|epil""), ""Depilação"", REGEXMATCH(LOWER(A18), ""esmalteria|unha|nail|manicur|spa dos p[eé]s|kauu_nhas""), ""Manicure - Esmalteria"", REGEXMATCH(LOWER(A18), ""est[eé]tic|bronze|massot|terap|pilates|revitalize|dra""), ""Clínica de "&amp;"Estética"", TRUE, ""Salão de Beleza""))"),"Depilação")</f>
        <v>Depilação</v>
      </c>
    </row>
    <row r="19">
      <c r="A19" s="1" t="s">
        <v>124</v>
      </c>
      <c r="B19" s="1" t="s">
        <v>125</v>
      </c>
      <c r="C19" s="1" t="s">
        <v>126</v>
      </c>
      <c r="D19" s="1" t="s">
        <v>127</v>
      </c>
      <c r="E19" s="1" t="s">
        <v>128</v>
      </c>
      <c r="F19" s="1" t="s">
        <v>129</v>
      </c>
      <c r="G19" s="1" t="s">
        <v>15</v>
      </c>
      <c r="H19" s="2" t="s">
        <v>130</v>
      </c>
      <c r="I19" s="3" t="str">
        <f>IFERROR(__xludf.DUMMYFUNCTION("IF(A19="""", """", IFS(REGEXMATCH(LOWER(A19), ""barbearia|barber""), ""Barbearia"", REGEXMATCH(LOWER(A19), ""sobrancelh|c[ií]lio|lash|micropigment|showbrancelhas""), ""Sobrancelhas e Cílios"", REGEXMATCH(LOWER(A19), ""maquia|make""), ""Maquiagem"", REGEXM"&amp;"ATCH(LOWER(A19), ""depil|epil""), ""Depilação"", REGEXMATCH(LOWER(A19), ""esmalteria|unha|nail|manicur|spa dos p[eé]s|kauu_nhas""), ""Manicure - Esmalteria"", REGEXMATCH(LOWER(A19), ""est[eé]tic|bronze|massot|terap|pilates|revitalize|dra""), ""Clínica de "&amp;"Estética"", TRUE, ""Salão de Beleza""))"),"Salão de Beleza")</f>
        <v>Salão de Beleza</v>
      </c>
    </row>
    <row r="20">
      <c r="A20" s="1" t="s">
        <v>131</v>
      </c>
      <c r="B20" s="1" t="s">
        <v>132</v>
      </c>
      <c r="C20" s="1" t="s">
        <v>133</v>
      </c>
      <c r="D20" s="1" t="s">
        <v>134</v>
      </c>
      <c r="E20" s="1" t="s">
        <v>135</v>
      </c>
      <c r="F20" s="1" t="s">
        <v>136</v>
      </c>
      <c r="G20" s="1" t="s">
        <v>15</v>
      </c>
      <c r="H20" s="2" t="s">
        <v>137</v>
      </c>
      <c r="I20" s="3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Beleza""))"),"Salão de Beleza")</f>
        <v>Salão de Beleza</v>
      </c>
    </row>
    <row r="21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15</v>
      </c>
      <c r="H21" s="2" t="s">
        <v>144</v>
      </c>
      <c r="I21" s="3" t="str">
        <f>IFERROR(__xludf.DUMMYFUNCTION("IF(A21="""", """", IFS(REGEXMATCH(LOWER(A21), ""barbearia|barber""), ""Barbearia"", REGEXMATCH(LOWER(A21), ""sobrancelh|c[ií]lio|lash|micropigment|showbrancelhas""), ""Sobrancelhas e Cílios"", REGEXMATCH(LOWER(A21), ""maquia|make""), ""Maquiagem"", REGEXM"&amp;"ATCH(LOWER(A21), ""depil|epil""), ""Depilação"", REGEXMATCH(LOWER(A21), ""esmalteria|unha|nail|manicur|spa dos p[eé]s|kauu_nhas""), ""Manicure - Esmalteria"", REGEXMATCH(LOWER(A21), ""est[eé]tic|bronze|massot|terap|pilates|revitalize|dra""), ""Clínica de "&amp;"Estética"", TRUE, ""Salão de Beleza""))"),"Salão de Beleza")</f>
        <v>Salão de Beleza</v>
      </c>
    </row>
    <row r="22">
      <c r="A22" s="1" t="s">
        <v>145</v>
      </c>
      <c r="B22" s="1" t="s">
        <v>146</v>
      </c>
      <c r="C22" s="1" t="s">
        <v>147</v>
      </c>
      <c r="D22" s="1" t="s">
        <v>148</v>
      </c>
      <c r="E22" s="1" t="s">
        <v>149</v>
      </c>
      <c r="F22" s="1" t="s">
        <v>150</v>
      </c>
      <c r="G22" s="1" t="s">
        <v>15</v>
      </c>
      <c r="H22" s="2" t="s">
        <v>151</v>
      </c>
      <c r="I22" s="3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Beleza""))"),"Salão de Beleza")</f>
        <v>Salão de Beleza</v>
      </c>
    </row>
    <row r="23">
      <c r="A23" s="1" t="s">
        <v>152</v>
      </c>
      <c r="B23" s="1" t="s">
        <v>153</v>
      </c>
      <c r="C23" s="1" t="s">
        <v>154</v>
      </c>
      <c r="D23" s="1" t="s">
        <v>155</v>
      </c>
      <c r="E23" s="1" t="s">
        <v>156</v>
      </c>
      <c r="F23" s="1" t="s">
        <v>157</v>
      </c>
      <c r="G23" s="1" t="s">
        <v>15</v>
      </c>
      <c r="H23" s="2" t="s">
        <v>158</v>
      </c>
      <c r="I23" s="3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Beleza""))"),"Salão de Beleza")</f>
        <v>Salão de Beleza</v>
      </c>
    </row>
    <row r="24">
      <c r="A24" s="1" t="s">
        <v>159</v>
      </c>
      <c r="D24" s="1" t="s">
        <v>160</v>
      </c>
      <c r="E24" s="1" t="s">
        <v>161</v>
      </c>
      <c r="F24" s="1" t="s">
        <v>162</v>
      </c>
      <c r="G24" s="1" t="s">
        <v>15</v>
      </c>
      <c r="H24" s="2" t="s">
        <v>163</v>
      </c>
      <c r="I24" s="3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Beleza""))"),"Salão de Beleza")</f>
        <v>Salão de Beleza</v>
      </c>
    </row>
    <row r="25">
      <c r="A25" s="1" t="s">
        <v>164</v>
      </c>
      <c r="B25" s="1" t="s">
        <v>165</v>
      </c>
      <c r="C25" s="1" t="s">
        <v>166</v>
      </c>
      <c r="D25" s="1" t="s">
        <v>167</v>
      </c>
      <c r="E25" s="1" t="s">
        <v>168</v>
      </c>
      <c r="F25" s="1" t="s">
        <v>169</v>
      </c>
      <c r="G25" s="1" t="s">
        <v>15</v>
      </c>
      <c r="H25" s="2" t="s">
        <v>170</v>
      </c>
      <c r="I25" s="3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Beleza""))"),"Salão de Beleza")</f>
        <v>Salão de Beleza</v>
      </c>
    </row>
    <row r="26">
      <c r="A26" s="1" t="s">
        <v>171</v>
      </c>
      <c r="B26" s="1" t="s">
        <v>172</v>
      </c>
      <c r="C26" s="1" t="s">
        <v>173</v>
      </c>
      <c r="D26" s="1" t="s">
        <v>174</v>
      </c>
      <c r="E26" s="1" t="s">
        <v>175</v>
      </c>
      <c r="F26" s="1" t="s">
        <v>176</v>
      </c>
      <c r="G26" s="1" t="s">
        <v>15</v>
      </c>
      <c r="H26" s="2" t="s">
        <v>177</v>
      </c>
      <c r="I26" s="3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Beleza""))"),"Salão de Beleza")</f>
        <v>Salão de Beleza</v>
      </c>
    </row>
    <row r="27">
      <c r="A27" s="1" t="s">
        <v>178</v>
      </c>
      <c r="D27" s="1" t="s">
        <v>155</v>
      </c>
      <c r="E27" s="1" t="s">
        <v>179</v>
      </c>
      <c r="F27" s="1" t="s">
        <v>180</v>
      </c>
      <c r="G27" s="1" t="s">
        <v>15</v>
      </c>
      <c r="H27" s="2" t="s">
        <v>181</v>
      </c>
      <c r="I27" s="3" t="str">
        <f>IFERROR(__xludf.DUMMYFUNCTION("IF(A27="""", """", IFS(REGEXMATCH(LOWER(A27), ""barbearia|barber""), ""Barbearia"", REGEXMATCH(LOWER(A27), ""sobrancelh|c[ií]lio|lash|micropigment|showbrancelhas""), ""Sobrancelhas e Cílios"", REGEXMATCH(LOWER(A27), ""maquia|make""), ""Maquiagem"", REGEXM"&amp;"ATCH(LOWER(A27), ""depil|epil""), ""Depilação"", REGEXMATCH(LOWER(A27), ""esmalteria|unha|nail|manicur|spa dos p[eé]s|kauu_nhas""), ""Manicure - Esmalteria"", REGEXMATCH(LOWER(A27), ""est[eé]tic|bronze|massot|terap|pilates|revitalize|dra""), ""Clínica de "&amp;"Estética"", TRUE, ""Salão de Beleza""))"),"Salão de Beleza")</f>
        <v>Salão de Beleza</v>
      </c>
    </row>
    <row r="28">
      <c r="A28" s="1" t="s">
        <v>182</v>
      </c>
      <c r="D28" s="1" t="s">
        <v>183</v>
      </c>
      <c r="E28" s="1" t="s">
        <v>184</v>
      </c>
      <c r="F28" s="1" t="s">
        <v>185</v>
      </c>
      <c r="G28" s="1" t="s">
        <v>15</v>
      </c>
      <c r="H28" s="2" t="s">
        <v>186</v>
      </c>
      <c r="I28" s="3" t="str">
        <f>IFERROR(__xludf.DUMMYFUNCTION("IF(A28="""", """", IFS(REGEXMATCH(LOWER(A28), ""barbearia|barber""), ""Barbearia"", REGEXMATCH(LOWER(A28), ""sobrancelh|c[ií]lio|lash|micropigment|showbrancelhas""), ""Sobrancelhas e Cílios"", REGEXMATCH(LOWER(A28), ""maquia|make""), ""Maquiagem"", REGEXM"&amp;"ATCH(LOWER(A28), ""depil|epil""), ""Depilação"", REGEXMATCH(LOWER(A28), ""esmalteria|unha|nail|manicur|spa dos p[eé]s|kauu_nhas""), ""Manicure - Esmalteria"", REGEXMATCH(LOWER(A28), ""est[eé]tic|bronze|massot|terap|pilates|revitalize|dra""), ""Clínica de "&amp;"Estética"", TRUE, ""Salão de Beleza""))"),"Salão de Beleza")</f>
        <v>Salão de Beleza</v>
      </c>
    </row>
    <row r="29">
      <c r="A29" s="1" t="s">
        <v>187</v>
      </c>
      <c r="D29" s="1" t="s">
        <v>188</v>
      </c>
      <c r="E29" s="1" t="s">
        <v>189</v>
      </c>
      <c r="F29" s="1" t="s">
        <v>190</v>
      </c>
      <c r="G29" s="1" t="s">
        <v>15</v>
      </c>
      <c r="H29" s="2" t="s">
        <v>191</v>
      </c>
      <c r="I29" s="3" t="str">
        <f>IFERROR(__xludf.DUMMYFUNCTION("IF(A29="""", """", IFS(REGEXMATCH(LOWER(A29), ""barbearia|barber""), ""Barbearia"", REGEXMATCH(LOWER(A29), ""sobrancelh|c[ií]lio|lash|micropigment|showbrancelhas""), ""Sobrancelhas e Cílios"", REGEXMATCH(LOWER(A29), ""maquia|make""), ""Maquiagem"", REGEXM"&amp;"ATCH(LOWER(A29), ""depil|epil""), ""Depilação"", REGEXMATCH(LOWER(A29), ""esmalteria|unha|nail|manicur|spa dos p[eé]s|kauu_nhas""), ""Manicure - Esmalteria"", REGEXMATCH(LOWER(A29), ""est[eé]tic|bronze|massot|terap|pilates|revitalize|dra""), ""Clínica de "&amp;"Estética"", TRUE, ""Salão de Beleza""))"),"Salão de Beleza")</f>
        <v>Salão de Beleza</v>
      </c>
    </row>
    <row r="30">
      <c r="A30" s="1" t="s">
        <v>192</v>
      </c>
      <c r="B30" s="1" t="s">
        <v>193</v>
      </c>
      <c r="C30" s="1" t="s">
        <v>194</v>
      </c>
      <c r="D30" s="1" t="s">
        <v>195</v>
      </c>
      <c r="E30" s="1" t="s">
        <v>196</v>
      </c>
      <c r="F30" s="1" t="s">
        <v>197</v>
      </c>
      <c r="G30" s="1" t="s">
        <v>15</v>
      </c>
      <c r="H30" s="2" t="s">
        <v>198</v>
      </c>
      <c r="I30" s="3" t="str">
        <f>IFERROR(__xludf.DUMMYFUNCTION("IF(A30="""", """", IFS(REGEXMATCH(LOWER(A30), ""barbearia|barber""), ""Barbearia"", REGEXMATCH(LOWER(A30), ""sobrancelh|c[ií]lio|lash|micropigment|showbrancelhas""), ""Sobrancelhas e Cílios"", REGEXMATCH(LOWER(A30), ""maquia|make""), ""Maquiagem"", REGEXM"&amp;"ATCH(LOWER(A30), ""depil|epil""), ""Depilação"", REGEXMATCH(LOWER(A30), ""esmalteria|unha|nail|manicur|spa dos p[eé]s|kauu_nhas""), ""Manicure - Esmalteria"", REGEXMATCH(LOWER(A30), ""est[eé]tic|bronze|massot|terap|pilates|revitalize|dra""), ""Clínica de "&amp;"Estética"", TRUE, ""Salão de Beleza""))"),"Depilação")</f>
        <v>Depilação</v>
      </c>
    </row>
    <row r="31">
      <c r="A31" s="1" t="s">
        <v>199</v>
      </c>
      <c r="D31" s="1" t="s">
        <v>200</v>
      </c>
      <c r="E31" s="1" t="s">
        <v>201</v>
      </c>
      <c r="F31" s="1" t="s">
        <v>202</v>
      </c>
      <c r="G31" s="1" t="s">
        <v>15</v>
      </c>
      <c r="H31" s="2" t="s">
        <v>203</v>
      </c>
      <c r="I31" s="3" t="str">
        <f>IFERROR(__xludf.DUMMYFUNCTION("IF(A31="""", """", IFS(REGEXMATCH(LOWER(A31), ""barbearia|barber""), ""Barbearia"", REGEXMATCH(LOWER(A31), ""sobrancelh|c[ií]lio|lash|micropigment|showbrancelhas""), ""Sobrancelhas e Cílios"", REGEXMATCH(LOWER(A31), ""maquia|make""), ""Maquiagem"", REGEXM"&amp;"ATCH(LOWER(A31), ""depil|epil""), ""Depilação"", REGEXMATCH(LOWER(A31), ""esmalteria|unha|nail|manicur|spa dos p[eé]s|kauu_nhas""), ""Manicure - Esmalteria"", REGEXMATCH(LOWER(A31), ""est[eé]tic|bronze|massot|terap|pilates|revitalize|dra""), ""Clínica de "&amp;"Estética"", TRUE, ""Salão de Beleza""))"),"Depilação")</f>
        <v>Depilação</v>
      </c>
    </row>
    <row r="32">
      <c r="A32" s="1" t="s">
        <v>204</v>
      </c>
      <c r="D32" s="1" t="s">
        <v>205</v>
      </c>
      <c r="E32" s="1" t="s">
        <v>206</v>
      </c>
      <c r="F32" s="1" t="s">
        <v>207</v>
      </c>
      <c r="G32" s="1" t="s">
        <v>15</v>
      </c>
      <c r="H32" s="2" t="s">
        <v>208</v>
      </c>
      <c r="I32" s="3" t="str">
        <f>IFERROR(__xludf.DUMMYFUNCTION("IF(A32="""", """", IFS(REGEXMATCH(LOWER(A32), ""barbearia|barber""), ""Barbearia"", REGEXMATCH(LOWER(A32), ""sobrancelh|c[ií]lio|lash|micropigment|showbrancelhas""), ""Sobrancelhas e Cílios"", REGEXMATCH(LOWER(A32), ""maquia|make""), ""Maquiagem"", REGEXM"&amp;"ATCH(LOWER(A32), ""depil|epil""), ""Depilação"", REGEXMATCH(LOWER(A32), ""esmalteria|unha|nail|manicur|spa dos p[eé]s|kauu_nhas""), ""Manicure - Esmalteria"", REGEXMATCH(LOWER(A32), ""est[eé]tic|bronze|massot|terap|pilates|revitalize|dra""), ""Clínica de "&amp;"Estética"", TRUE, ""Salão de Beleza""))"),"Salão de Beleza")</f>
        <v>Salão de Beleza</v>
      </c>
    </row>
    <row r="33">
      <c r="A33" s="1" t="s">
        <v>209</v>
      </c>
      <c r="B33" s="1" t="s">
        <v>210</v>
      </c>
      <c r="C33" s="1" t="s">
        <v>211</v>
      </c>
      <c r="D33" s="1" t="s">
        <v>212</v>
      </c>
      <c r="E33" s="1" t="s">
        <v>213</v>
      </c>
      <c r="F33" s="1" t="s">
        <v>214</v>
      </c>
      <c r="G33" s="1" t="s">
        <v>15</v>
      </c>
      <c r="H33" s="2" t="s">
        <v>215</v>
      </c>
      <c r="I33" s="3" t="str">
        <f>IFERROR(__xludf.DUMMYFUNCTION("IF(A33="""", """", IFS(REGEXMATCH(LOWER(A33), ""barbearia|barber""), ""Barbearia"", REGEXMATCH(LOWER(A33), ""sobrancelh|c[ií]lio|lash|micropigment|showbrancelhas""), ""Sobrancelhas e Cílios"", REGEXMATCH(LOWER(A33), ""maquia|make""), ""Maquiagem"", REGEXM"&amp;"ATCH(LOWER(A33), ""depil|epil""), ""Depilação"", REGEXMATCH(LOWER(A33), ""esmalteria|unha|nail|manicur|spa dos p[eé]s|kauu_nhas""), ""Manicure - Esmalteria"", REGEXMATCH(LOWER(A33), ""est[eé]tic|bronze|massot|terap|pilates|revitalize|dra""), ""Clínica de "&amp;"Estética"", TRUE, ""Salão de Beleza""))"),"Salão de Beleza")</f>
        <v>Salão de Beleza</v>
      </c>
    </row>
    <row r="34">
      <c r="A34" s="1" t="s">
        <v>216</v>
      </c>
      <c r="B34" s="1" t="s">
        <v>217</v>
      </c>
      <c r="C34" s="1" t="s">
        <v>218</v>
      </c>
      <c r="D34" s="1" t="s">
        <v>219</v>
      </c>
      <c r="E34" s="1" t="s">
        <v>220</v>
      </c>
      <c r="F34" s="1" t="s">
        <v>221</v>
      </c>
      <c r="G34" s="1" t="s">
        <v>15</v>
      </c>
      <c r="H34" s="2" t="s">
        <v>222</v>
      </c>
      <c r="I34" s="3" t="str">
        <f>IFERROR(__xludf.DUMMYFUNCTION("IF(A34="""", """", IFS(REGEXMATCH(LOWER(A34), ""barbearia|barber""), ""Barbearia"", REGEXMATCH(LOWER(A34), ""sobrancelh|c[ií]lio|lash|micropigment|showbrancelhas""), ""Sobrancelhas e Cílios"", REGEXMATCH(LOWER(A34), ""maquia|make""), ""Maquiagem"", REGEXM"&amp;"ATCH(LOWER(A34), ""depil|epil""), ""Depilação"", REGEXMATCH(LOWER(A34), ""esmalteria|unha|nail|manicur|spa dos p[eé]s|kauu_nhas""), ""Manicure - Esmalteria"", REGEXMATCH(LOWER(A34), ""est[eé]tic|bronze|massot|terap|pilates|revitalize|dra""), ""Clínica de "&amp;"Estética"", TRUE, ""Salão de Beleza""))"),"Salão de Beleza")</f>
        <v>Salão de Beleza</v>
      </c>
    </row>
    <row r="35">
      <c r="A35" s="1" t="s">
        <v>223</v>
      </c>
      <c r="D35" s="1" t="s">
        <v>224</v>
      </c>
      <c r="E35" s="1" t="s">
        <v>225</v>
      </c>
      <c r="F35" s="1" t="s">
        <v>226</v>
      </c>
      <c r="G35" s="1" t="s">
        <v>15</v>
      </c>
      <c r="H35" s="2" t="s">
        <v>227</v>
      </c>
      <c r="I35" s="3" t="str">
        <f>IFERROR(__xludf.DUMMYFUNCTION("IF(A35="""", """", IFS(REGEXMATCH(LOWER(A35), ""barbearia|barber""), ""Barbearia"", REGEXMATCH(LOWER(A35), ""sobrancelh|c[ií]lio|lash|micropigment|showbrancelhas""), ""Sobrancelhas e Cílios"", REGEXMATCH(LOWER(A35), ""maquia|make""), ""Maquiagem"", REGEXM"&amp;"ATCH(LOWER(A35), ""depil|epil""), ""Depilação"", REGEXMATCH(LOWER(A35), ""esmalteria|unha|nail|manicur|spa dos p[eé]s|kauu_nhas""), ""Manicure - Esmalteria"", REGEXMATCH(LOWER(A35), ""est[eé]tic|bronze|massot|terap|pilates|revitalize|dra""), ""Clínica de "&amp;"Estética"", TRUE, ""Salão de Beleza""))"),"Salão de Beleza")</f>
        <v>Salão de Beleza</v>
      </c>
    </row>
    <row r="36">
      <c r="A36" s="1" t="s">
        <v>228</v>
      </c>
      <c r="B36" s="1" t="s">
        <v>229</v>
      </c>
      <c r="C36" s="1" t="s">
        <v>230</v>
      </c>
      <c r="D36" s="1" t="s">
        <v>155</v>
      </c>
      <c r="E36" s="1" t="s">
        <v>231</v>
      </c>
      <c r="F36" s="1" t="s">
        <v>232</v>
      </c>
      <c r="G36" s="1" t="s">
        <v>15</v>
      </c>
      <c r="H36" s="2" t="s">
        <v>233</v>
      </c>
      <c r="I36" s="3" t="str">
        <f>IFERROR(__xludf.DUMMYFUNCTION("IF(A36="""", """", IFS(REGEXMATCH(LOWER(A36), ""barbearia|barber""), ""Barbearia"", REGEXMATCH(LOWER(A36), ""sobrancelh|c[ií]lio|lash|micropigment|showbrancelhas""), ""Sobrancelhas e Cílios"", REGEXMATCH(LOWER(A36), ""maquia|make""), ""Maquiagem"", REGEXM"&amp;"ATCH(LOWER(A36), ""depil|epil""), ""Depilação"", REGEXMATCH(LOWER(A36), ""esmalteria|unha|nail|manicur|spa dos p[eé]s|kauu_nhas""), ""Manicure - Esmalteria"", REGEXMATCH(LOWER(A36), ""est[eé]tic|bronze|massot|terap|pilates|revitalize|dra""), ""Clínica de "&amp;"Estética"", TRUE, ""Salão de Beleza""))"),"Salão de Beleza")</f>
        <v>Salão de Beleza</v>
      </c>
    </row>
    <row r="37">
      <c r="A37" s="1" t="s">
        <v>234</v>
      </c>
      <c r="B37" s="1" t="s">
        <v>235</v>
      </c>
      <c r="C37" s="1" t="s">
        <v>236</v>
      </c>
      <c r="D37" s="1" t="s">
        <v>237</v>
      </c>
      <c r="E37" s="1" t="s">
        <v>238</v>
      </c>
      <c r="F37" s="1" t="s">
        <v>239</v>
      </c>
      <c r="G37" s="1" t="s">
        <v>15</v>
      </c>
      <c r="H37" s="2" t="s">
        <v>240</v>
      </c>
      <c r="I37" s="3" t="str">
        <f>IFERROR(__xludf.DUMMYFUNCTION("IF(A37="""", """", IFS(REGEXMATCH(LOWER(A37), ""barbearia|barber""), ""Barbearia"", REGEXMATCH(LOWER(A37), ""sobrancelh|c[ií]lio|lash|micropigment|showbrancelhas""), ""Sobrancelhas e Cílios"", REGEXMATCH(LOWER(A37), ""maquia|make""), ""Maquiagem"", REGEXM"&amp;"ATCH(LOWER(A37), ""depil|epil""), ""Depilação"", REGEXMATCH(LOWER(A37), ""esmalteria|unha|nail|manicur|spa dos p[eé]s|kauu_nhas""), ""Manicure - Esmalteria"", REGEXMATCH(LOWER(A37), ""est[eé]tic|bronze|massot|terap|pilates|revitalize|dra""), ""Clínica de "&amp;"Estética"", TRUE, ""Salão de Beleza""))"),"Salão de Beleza")</f>
        <v>Salão de Beleza</v>
      </c>
    </row>
    <row r="38">
      <c r="A38" s="1" t="s">
        <v>241</v>
      </c>
      <c r="D38" s="1" t="s">
        <v>242</v>
      </c>
      <c r="E38" s="1" t="s">
        <v>243</v>
      </c>
      <c r="F38" s="1" t="s">
        <v>244</v>
      </c>
      <c r="G38" s="1" t="s">
        <v>15</v>
      </c>
      <c r="H38" s="2" t="s">
        <v>245</v>
      </c>
      <c r="I38" s="3" t="str">
        <f>IFERROR(__xludf.DUMMYFUNCTION("IF(A38="""", """", IFS(REGEXMATCH(LOWER(A38), ""barbearia|barber""), ""Barbearia"", REGEXMATCH(LOWER(A38), ""sobrancelh|c[ií]lio|lash|micropigment|showbrancelhas""), ""Sobrancelhas e Cílios"", REGEXMATCH(LOWER(A38), ""maquia|make""), ""Maquiagem"", REGEXM"&amp;"ATCH(LOWER(A38), ""depil|epil""), ""Depilação"", REGEXMATCH(LOWER(A38), ""esmalteria|unha|nail|manicur|spa dos p[eé]s|kauu_nhas""), ""Manicure - Esmalteria"", REGEXMATCH(LOWER(A38), ""est[eé]tic|bronze|massot|terap|pilates|revitalize|dra""), ""Clínica de "&amp;"Estética"", TRUE, ""Salão de Beleza""))"),"Salão de Beleza")</f>
        <v>Salão de Beleza</v>
      </c>
    </row>
    <row r="39">
      <c r="A39" s="1" t="s">
        <v>246</v>
      </c>
      <c r="B39" s="1" t="s">
        <v>247</v>
      </c>
      <c r="C39" s="1" t="s">
        <v>248</v>
      </c>
      <c r="D39" s="1" t="s">
        <v>249</v>
      </c>
      <c r="E39" s="1" t="s">
        <v>250</v>
      </c>
      <c r="F39" s="1" t="s">
        <v>251</v>
      </c>
      <c r="G39" s="1" t="s">
        <v>15</v>
      </c>
      <c r="H39" s="2" t="s">
        <v>252</v>
      </c>
      <c r="I39" s="3" t="str">
        <f>IFERROR(__xludf.DUMMYFUNCTION("IF(A39="""", """", IFS(REGEXMATCH(LOWER(A39), ""barbearia|barber""), ""Barbearia"", REGEXMATCH(LOWER(A39), ""sobrancelh|c[ií]lio|lash|micropigment|showbrancelhas""), ""Sobrancelhas e Cílios"", REGEXMATCH(LOWER(A39), ""maquia|make""), ""Maquiagem"", REGEXM"&amp;"ATCH(LOWER(A39), ""depil|epil""), ""Depilação"", REGEXMATCH(LOWER(A39), ""esmalteria|unha|nail|manicur|spa dos p[eé]s|kauu_nhas""), ""Manicure - Esmalteria"", REGEXMATCH(LOWER(A39), ""est[eé]tic|bronze|massot|terap|pilates|revitalize|dra""), ""Clínica de "&amp;"Estética"", TRUE, ""Salão de Beleza""))"),"Salão de Beleza")</f>
        <v>Salão de Beleza</v>
      </c>
    </row>
    <row r="40">
      <c r="A40" s="1" t="s">
        <v>253</v>
      </c>
      <c r="B40" s="1" t="s">
        <v>254</v>
      </c>
      <c r="C40" s="1" t="s">
        <v>255</v>
      </c>
      <c r="D40" s="1" t="s">
        <v>256</v>
      </c>
      <c r="E40" s="1" t="s">
        <v>257</v>
      </c>
      <c r="F40" s="1" t="s">
        <v>258</v>
      </c>
      <c r="G40" s="1" t="s">
        <v>15</v>
      </c>
      <c r="H40" s="2" t="s">
        <v>259</v>
      </c>
      <c r="I40" s="3" t="str">
        <f>IFERROR(__xludf.DUMMYFUNCTION("IF(A40="""", """", IFS(REGEXMATCH(LOWER(A40), ""barbearia|barber""), ""Barbearia"", REGEXMATCH(LOWER(A40), ""sobrancelh|c[ií]lio|lash|micropigment|showbrancelhas""), ""Sobrancelhas e Cílios"", REGEXMATCH(LOWER(A40), ""maquia|make""), ""Maquiagem"", REGEXM"&amp;"ATCH(LOWER(A40), ""depil|epil""), ""Depilação"", REGEXMATCH(LOWER(A40), ""esmalteria|unha|nail|manicur|spa dos p[eé]s|kauu_nhas""), ""Manicure - Esmalteria"", REGEXMATCH(LOWER(A40), ""est[eé]tic|bronze|massot|terap|pilates|revitalize|dra""), ""Clínica de "&amp;"Estética"", TRUE, ""Salão de Beleza""))"),"Salão de Beleza")</f>
        <v>Salão de Beleza</v>
      </c>
    </row>
    <row r="41">
      <c r="A41" s="1" t="s">
        <v>260</v>
      </c>
      <c r="D41" s="1" t="s">
        <v>261</v>
      </c>
      <c r="E41" s="1" t="s">
        <v>262</v>
      </c>
      <c r="F41" s="1" t="s">
        <v>263</v>
      </c>
      <c r="G41" s="1" t="s">
        <v>15</v>
      </c>
      <c r="H41" s="2" t="s">
        <v>264</v>
      </c>
      <c r="I41" s="3" t="str">
        <f>IFERROR(__xludf.DUMMYFUNCTION("IF(A41="""", """", IFS(REGEXMATCH(LOWER(A41), ""barbearia|barber""), ""Barbearia"", REGEXMATCH(LOWER(A41), ""sobrancelh|c[ií]lio|lash|micropigment|showbrancelhas""), ""Sobrancelhas e Cílios"", REGEXMATCH(LOWER(A41), ""maquia|make""), ""Maquiagem"", REGEXM"&amp;"ATCH(LOWER(A41), ""depil|epil""), ""Depilação"", REGEXMATCH(LOWER(A41), ""esmalteria|unha|nail|manicur|spa dos p[eé]s|kauu_nhas""), ""Manicure - Esmalteria"", REGEXMATCH(LOWER(A41), ""est[eé]tic|bronze|massot|terap|pilates|revitalize|dra""), ""Clínica de "&amp;"Estética"", TRUE, ""Salão de Beleza""))"),"Salão de Beleza")</f>
        <v>Salão de Beleza</v>
      </c>
    </row>
    <row r="42">
      <c r="A42" s="1" t="s">
        <v>265</v>
      </c>
      <c r="B42" s="1" t="s">
        <v>266</v>
      </c>
      <c r="C42" s="1" t="s">
        <v>267</v>
      </c>
      <c r="D42" s="1" t="s">
        <v>268</v>
      </c>
      <c r="E42" s="1" t="s">
        <v>269</v>
      </c>
      <c r="F42" s="1" t="s">
        <v>270</v>
      </c>
      <c r="G42" s="1" t="s">
        <v>15</v>
      </c>
      <c r="H42" s="2" t="s">
        <v>271</v>
      </c>
      <c r="I42" s="3" t="str">
        <f>IFERROR(__xludf.DUMMYFUNCTION("IF(A42="""", """", IFS(REGEXMATCH(LOWER(A42), ""barbearia|barber""), ""Barbearia"", REGEXMATCH(LOWER(A42), ""sobrancelh|c[ií]lio|lash|micropigment|showbrancelhas""), ""Sobrancelhas e Cílios"", REGEXMATCH(LOWER(A42), ""maquia|make""), ""Maquiagem"", REGEXM"&amp;"ATCH(LOWER(A42), ""depil|epil""), ""Depilação"", REGEXMATCH(LOWER(A42), ""esmalteria|unha|nail|manicur|spa dos p[eé]s|kauu_nhas""), ""Manicure - Esmalteria"", REGEXMATCH(LOWER(A42), ""est[eé]tic|bronze|massot|terap|pilates|revitalize|dra""), ""Clínica de "&amp;"Estética"", TRUE, ""Salão de Beleza""))"),"Salão de Beleza")</f>
        <v>Salão de Beleza</v>
      </c>
    </row>
    <row r="43">
      <c r="A43" s="1" t="s">
        <v>272</v>
      </c>
      <c r="D43" s="1" t="s">
        <v>273</v>
      </c>
      <c r="E43" s="1" t="s">
        <v>274</v>
      </c>
      <c r="F43" s="1" t="s">
        <v>275</v>
      </c>
      <c r="G43" s="1" t="s">
        <v>15</v>
      </c>
      <c r="H43" s="2" t="s">
        <v>276</v>
      </c>
      <c r="I43" s="3" t="str">
        <f>IFERROR(__xludf.DUMMYFUNCTION("IF(A43="""", """", IFS(REGEXMATCH(LOWER(A43), ""barbearia|barber""), ""Barbearia"", REGEXMATCH(LOWER(A43), ""sobrancelh|c[ií]lio|lash|micropigment|showbrancelhas""), ""Sobrancelhas e Cílios"", REGEXMATCH(LOWER(A43), ""maquia|make""), ""Maquiagem"", REGEXM"&amp;"ATCH(LOWER(A43), ""depil|epil""), ""Depilação"", REGEXMATCH(LOWER(A43), ""esmalteria|unha|nail|manicur|spa dos p[eé]s|kauu_nhas""), ""Manicure - Esmalteria"", REGEXMATCH(LOWER(A43), ""est[eé]tic|bronze|massot|terap|pilates|revitalize|dra""), ""Clínica de "&amp;"Estética"", TRUE, ""Salão de Beleza""))"),"Salão de Beleza")</f>
        <v>Salão de Beleza</v>
      </c>
    </row>
    <row r="44">
      <c r="A44" s="1" t="s">
        <v>277</v>
      </c>
      <c r="B44" s="1" t="s">
        <v>278</v>
      </c>
      <c r="C44" s="1" t="s">
        <v>279</v>
      </c>
      <c r="D44" s="1" t="s">
        <v>280</v>
      </c>
      <c r="E44" s="1" t="s">
        <v>281</v>
      </c>
      <c r="F44" s="1" t="s">
        <v>282</v>
      </c>
      <c r="G44" s="1" t="s">
        <v>15</v>
      </c>
      <c r="H44" s="2" t="s">
        <v>283</v>
      </c>
      <c r="I44" s="3" t="str">
        <f>IFERROR(__xludf.DUMMYFUNCTION("IF(A44="""", """", IFS(REGEXMATCH(LOWER(A44), ""barbearia|barber""), ""Barbearia"", REGEXMATCH(LOWER(A44), ""sobrancelh|c[ií]lio|lash|micropigment|showbrancelhas""), ""Sobrancelhas e Cílios"", REGEXMATCH(LOWER(A44), ""maquia|make""), ""Maquiagem"", REGEXM"&amp;"ATCH(LOWER(A44), ""depil|epil""), ""Depilação"", REGEXMATCH(LOWER(A44), ""esmalteria|unha|nail|manicur|spa dos p[eé]s|kauu_nhas""), ""Manicure - Esmalteria"", REGEXMATCH(LOWER(A44), ""est[eé]tic|bronze|massot|terap|pilates|revitalize|dra""), ""Clínica de "&amp;"Estética"", TRUE, ""Salão de Beleza""))"),"Manicure - Esmalteria")</f>
        <v>Manicure - Esmalteria</v>
      </c>
    </row>
    <row r="45">
      <c r="A45" s="1" t="s">
        <v>284</v>
      </c>
      <c r="D45" s="1" t="s">
        <v>285</v>
      </c>
      <c r="E45" s="1" t="s">
        <v>286</v>
      </c>
      <c r="F45" s="1" t="s">
        <v>287</v>
      </c>
      <c r="G45" s="1" t="s">
        <v>15</v>
      </c>
      <c r="H45" s="2" t="s">
        <v>288</v>
      </c>
      <c r="I45" s="3" t="str">
        <f>IFERROR(__xludf.DUMMYFUNCTION("IF(A45="""", """", IFS(REGEXMATCH(LOWER(A45), ""barbearia|barber""), ""Barbearia"", REGEXMATCH(LOWER(A45), ""sobrancelh|c[ií]lio|lash|micropigment|showbrancelhas""), ""Sobrancelhas e Cílios"", REGEXMATCH(LOWER(A45), ""maquia|make""), ""Maquiagem"", REGEXM"&amp;"ATCH(LOWER(A45), ""depil|epil""), ""Depilação"", REGEXMATCH(LOWER(A45), ""esmalteria|unha|nail|manicur|spa dos p[eé]s|kauu_nhas""), ""Manicure - Esmalteria"", REGEXMATCH(LOWER(A45), ""est[eé]tic|bronze|massot|terap|pilates|revitalize|dra""), ""Clínica de "&amp;"Estética"", TRUE, ""Salão de Beleza""))"),"Salão de Beleza")</f>
        <v>Salão de Beleza</v>
      </c>
    </row>
    <row r="46">
      <c r="A46" s="1" t="s">
        <v>289</v>
      </c>
      <c r="D46" s="1" t="s">
        <v>155</v>
      </c>
      <c r="E46" s="1" t="s">
        <v>290</v>
      </c>
      <c r="F46" s="1" t="s">
        <v>291</v>
      </c>
      <c r="G46" s="1" t="s">
        <v>15</v>
      </c>
      <c r="H46" s="2" t="s">
        <v>292</v>
      </c>
      <c r="I46" s="3" t="str">
        <f>IFERROR(__xludf.DUMMYFUNCTION("IF(A46="""", """", IFS(REGEXMATCH(LOWER(A46), ""barbearia|barber""), ""Barbearia"", REGEXMATCH(LOWER(A46), ""sobrancelh|c[ií]lio|lash|micropigment|showbrancelhas""), ""Sobrancelhas e Cílios"", REGEXMATCH(LOWER(A46), ""maquia|make""), ""Maquiagem"", REGEXM"&amp;"ATCH(LOWER(A46), ""depil|epil""), ""Depilação"", REGEXMATCH(LOWER(A46), ""esmalteria|unha|nail|manicur|spa dos p[eé]s|kauu_nhas""), ""Manicure - Esmalteria"", REGEXMATCH(LOWER(A46), ""est[eé]tic|bronze|massot|terap|pilates|revitalize|dra""), ""Clínica de "&amp;"Estética"", TRUE, ""Salão de Beleza""))"),"Salão de Beleza")</f>
        <v>Salão de Beleza</v>
      </c>
    </row>
    <row r="47">
      <c r="A47" s="1" t="s">
        <v>293</v>
      </c>
      <c r="B47" s="1" t="s">
        <v>294</v>
      </c>
      <c r="C47" s="1" t="s">
        <v>295</v>
      </c>
      <c r="D47" s="1" t="s">
        <v>296</v>
      </c>
      <c r="E47" s="1" t="s">
        <v>297</v>
      </c>
      <c r="F47" s="1" t="s">
        <v>298</v>
      </c>
      <c r="G47" s="1" t="s">
        <v>15</v>
      </c>
      <c r="H47" s="2" t="s">
        <v>299</v>
      </c>
      <c r="I47" s="3" t="str">
        <f>IFERROR(__xludf.DUMMYFUNCTION("IF(A47="""", """", IFS(REGEXMATCH(LOWER(A47), ""barbearia|barber""), ""Barbearia"", REGEXMATCH(LOWER(A47), ""sobrancelh|c[ií]lio|lash|micropigment|showbrancelhas""), ""Sobrancelhas e Cílios"", REGEXMATCH(LOWER(A47), ""maquia|make""), ""Maquiagem"", REGEXM"&amp;"ATCH(LOWER(A47), ""depil|epil""), ""Depilação"", REGEXMATCH(LOWER(A47), ""esmalteria|unha|nail|manicur|spa dos p[eé]s|kauu_nhas""), ""Manicure - Esmalteria"", REGEXMATCH(LOWER(A47), ""est[eé]tic|bronze|massot|terap|pilates|revitalize|dra""), ""Clínica de "&amp;"Estética"", TRUE, ""Salão de Beleza""))"),"Sobrancelhas e Cílios")</f>
        <v>Sobrancelhas e Cílios</v>
      </c>
    </row>
    <row r="48">
      <c r="A48" s="1" t="s">
        <v>300</v>
      </c>
      <c r="D48" s="1" t="s">
        <v>301</v>
      </c>
      <c r="E48" s="1" t="s">
        <v>302</v>
      </c>
      <c r="F48" s="1" t="s">
        <v>303</v>
      </c>
      <c r="G48" s="1" t="s">
        <v>15</v>
      </c>
      <c r="H48" s="2" t="s">
        <v>304</v>
      </c>
      <c r="I48" s="3" t="str">
        <f>IFERROR(__xludf.DUMMYFUNCTION("IF(A48="""", """", IFS(REGEXMATCH(LOWER(A48), ""barbearia|barber""), ""Barbearia"", REGEXMATCH(LOWER(A48), ""sobrancelh|c[ií]lio|lash|micropigment|showbrancelhas""), ""Sobrancelhas e Cílios"", REGEXMATCH(LOWER(A48), ""maquia|make""), ""Maquiagem"", REGEXM"&amp;"ATCH(LOWER(A48), ""depil|epil""), ""Depilação"", REGEXMATCH(LOWER(A48), ""esmalteria|unha|nail|manicur|spa dos p[eé]s|kauu_nhas""), ""Manicure - Esmalteria"", REGEXMATCH(LOWER(A48), ""est[eé]tic|bronze|massot|terap|pilates|revitalize|dra""), ""Clínica de "&amp;"Estética"", TRUE, ""Salão de Beleza""))"),"Salão de Beleza")</f>
        <v>Salão de Beleza</v>
      </c>
    </row>
    <row r="49">
      <c r="A49" s="1" t="s">
        <v>305</v>
      </c>
      <c r="B49" s="1" t="s">
        <v>306</v>
      </c>
      <c r="C49" s="1" t="s">
        <v>307</v>
      </c>
      <c r="D49" s="1" t="s">
        <v>308</v>
      </c>
      <c r="E49" s="1" t="s">
        <v>309</v>
      </c>
      <c r="F49" s="1" t="s">
        <v>310</v>
      </c>
      <c r="G49" s="1" t="s">
        <v>15</v>
      </c>
      <c r="H49" s="2" t="s">
        <v>311</v>
      </c>
      <c r="I49" s="3" t="str">
        <f>IFERROR(__xludf.DUMMYFUNCTION("IF(A49="""", """", IFS(REGEXMATCH(LOWER(A49), ""barbearia|barber""), ""Barbearia"", REGEXMATCH(LOWER(A49), ""sobrancelh|c[ií]lio|lash|micropigment|showbrancelhas""), ""Sobrancelhas e Cílios"", REGEXMATCH(LOWER(A49), ""maquia|make""), ""Maquiagem"", REGEXM"&amp;"ATCH(LOWER(A49), ""depil|epil""), ""Depilação"", REGEXMATCH(LOWER(A49), ""esmalteria|unha|nail|manicur|spa dos p[eé]s|kauu_nhas""), ""Manicure - Esmalteria"", REGEXMATCH(LOWER(A49), ""est[eé]tic|bronze|massot|terap|pilates|revitalize|dra""), ""Clínica de "&amp;"Estética"", TRUE, ""Salão de Beleza""))"),"Manicure - Esmalteria")</f>
        <v>Manicure - Esmalteria</v>
      </c>
    </row>
    <row r="50">
      <c r="A50" s="1" t="s">
        <v>312</v>
      </c>
      <c r="B50" s="1" t="s">
        <v>313</v>
      </c>
      <c r="C50" s="1" t="s">
        <v>314</v>
      </c>
      <c r="D50" s="1" t="s">
        <v>315</v>
      </c>
      <c r="E50" s="1" t="s">
        <v>316</v>
      </c>
      <c r="F50" s="1" t="s">
        <v>317</v>
      </c>
      <c r="G50" s="1" t="s">
        <v>15</v>
      </c>
      <c r="H50" s="2" t="s">
        <v>318</v>
      </c>
      <c r="I50" s="3" t="str">
        <f>IFERROR(__xludf.DUMMYFUNCTION("IF(A50="""", """", IFS(REGEXMATCH(LOWER(A50), ""barbearia|barber""), ""Barbearia"", REGEXMATCH(LOWER(A50), ""sobrancelh|c[ií]lio|lash|micropigment|showbrancelhas""), ""Sobrancelhas e Cílios"", REGEXMATCH(LOWER(A50), ""maquia|make""), ""Maquiagem"", REGEXM"&amp;"ATCH(LOWER(A50), ""depil|epil""), ""Depilação"", REGEXMATCH(LOWER(A50), ""esmalteria|unha|nail|manicur|spa dos p[eé]s|kauu_nhas""), ""Manicure - Esmalteria"", REGEXMATCH(LOWER(A50), ""est[eé]tic|bronze|massot|terap|pilates|revitalize|dra""), ""Clínica de "&amp;"Estética"", TRUE, ""Salão de Beleza""))"),"Salão de Beleza")</f>
        <v>Salão de Beleza</v>
      </c>
    </row>
    <row r="51">
      <c r="A51" s="1" t="s">
        <v>319</v>
      </c>
      <c r="D51" s="1" t="s">
        <v>320</v>
      </c>
      <c r="E51" s="1" t="s">
        <v>321</v>
      </c>
      <c r="F51" s="1" t="s">
        <v>322</v>
      </c>
      <c r="G51" s="1" t="s">
        <v>15</v>
      </c>
      <c r="H51" s="2" t="s">
        <v>323</v>
      </c>
      <c r="I51" s="3" t="str">
        <f>IFERROR(__xludf.DUMMYFUNCTION("IF(A51="""", """", IFS(REGEXMATCH(LOWER(A51), ""barbearia|barber""), ""Barbearia"", REGEXMATCH(LOWER(A51), ""sobrancelh|c[ií]lio|lash|micropigment|showbrancelhas""), ""Sobrancelhas e Cílios"", REGEXMATCH(LOWER(A51), ""maquia|make""), ""Maquiagem"", REGEXM"&amp;"ATCH(LOWER(A51), ""depil|epil""), ""Depilação"", REGEXMATCH(LOWER(A51), ""esmalteria|unha|nail|manicur|spa dos p[eé]s|kauu_nhas""), ""Manicure - Esmalteria"", REGEXMATCH(LOWER(A51), ""est[eé]tic|bronze|massot|terap|pilates|revitalize|dra""), ""Clínica de "&amp;"Estética"", TRUE, ""Salão de Beleza""))"),"Salão de Beleza")</f>
        <v>Salão de Beleza</v>
      </c>
    </row>
    <row r="52">
      <c r="A52" s="1" t="s">
        <v>324</v>
      </c>
      <c r="B52" s="1" t="s">
        <v>325</v>
      </c>
      <c r="C52" s="1" t="s">
        <v>326</v>
      </c>
      <c r="D52" s="1" t="s">
        <v>327</v>
      </c>
      <c r="E52" s="1" t="s">
        <v>328</v>
      </c>
      <c r="F52" s="1" t="s">
        <v>329</v>
      </c>
      <c r="G52" s="1" t="s">
        <v>15</v>
      </c>
      <c r="H52" s="2" t="s">
        <v>330</v>
      </c>
      <c r="I52" s="3" t="str">
        <f>IFERROR(__xludf.DUMMYFUNCTION("IF(A52="""", """", IFS(REGEXMATCH(LOWER(A52), ""barbearia|barber""), ""Barbearia"", REGEXMATCH(LOWER(A52), ""sobrancelh|c[ií]lio|lash|micropigment|showbrancelhas""), ""Sobrancelhas e Cílios"", REGEXMATCH(LOWER(A52), ""maquia|make""), ""Maquiagem"", REGEXM"&amp;"ATCH(LOWER(A52), ""depil|epil""), ""Depilação"", REGEXMATCH(LOWER(A52), ""esmalteria|unha|nail|manicur|spa dos p[eé]s|kauu_nhas""), ""Manicure - Esmalteria"", REGEXMATCH(LOWER(A52), ""est[eé]tic|bronze|massot|terap|pilates|revitalize|dra""), ""Clínica de "&amp;"Estética"", TRUE, ""Salão de Beleza""))"),"Salão de Beleza")</f>
        <v>Salão de Beleza</v>
      </c>
    </row>
    <row r="53">
      <c r="A53" s="1" t="s">
        <v>331</v>
      </c>
      <c r="B53" s="1" t="s">
        <v>332</v>
      </c>
      <c r="C53" s="1" t="s">
        <v>333</v>
      </c>
      <c r="D53" s="1" t="s">
        <v>334</v>
      </c>
      <c r="E53" s="1" t="s">
        <v>335</v>
      </c>
      <c r="F53" s="1" t="s">
        <v>336</v>
      </c>
      <c r="G53" s="1" t="s">
        <v>15</v>
      </c>
      <c r="H53" s="2" t="s">
        <v>337</v>
      </c>
      <c r="I53" s="3" t="str">
        <f>IFERROR(__xludf.DUMMYFUNCTION("IF(A53="""", """", IFS(REGEXMATCH(LOWER(A53), ""barbearia|barber""), ""Barbearia"", REGEXMATCH(LOWER(A53), ""sobrancelh|c[ií]lio|lash|micropigment|showbrancelhas""), ""Sobrancelhas e Cílios"", REGEXMATCH(LOWER(A53), ""maquia|make""), ""Maquiagem"", REGEXM"&amp;"ATCH(LOWER(A53), ""depil|epil""), ""Depilação"", REGEXMATCH(LOWER(A53), ""esmalteria|unha|nail|manicur|spa dos p[eé]s|kauu_nhas""), ""Manicure - Esmalteria"", REGEXMATCH(LOWER(A53), ""est[eé]tic|bronze|massot|terap|pilates|revitalize|dra""), ""Clínica de "&amp;"Estética"", TRUE, ""Salão de Beleza""))"),"Salão de Beleza")</f>
        <v>Salão de Beleza</v>
      </c>
    </row>
    <row r="54">
      <c r="A54" s="1" t="s">
        <v>338</v>
      </c>
      <c r="B54" s="1" t="s">
        <v>339</v>
      </c>
      <c r="C54" s="1" t="s">
        <v>340</v>
      </c>
      <c r="D54" s="1" t="s">
        <v>341</v>
      </c>
      <c r="E54" s="1" t="s">
        <v>342</v>
      </c>
      <c r="F54" s="1" t="s">
        <v>343</v>
      </c>
      <c r="G54" s="1" t="s">
        <v>15</v>
      </c>
      <c r="H54" s="2" t="s">
        <v>344</v>
      </c>
      <c r="I54" s="3" t="str">
        <f>IFERROR(__xludf.DUMMYFUNCTION("IF(A54="""", """", IFS(REGEXMATCH(LOWER(A54), ""barbearia|barber""), ""Barbearia"", REGEXMATCH(LOWER(A54), ""sobrancelh|c[ií]lio|lash|micropigment|showbrancelhas""), ""Sobrancelhas e Cílios"", REGEXMATCH(LOWER(A54), ""maquia|make""), ""Maquiagem"", REGEXM"&amp;"ATCH(LOWER(A54), ""depil|epil""), ""Depilação"", REGEXMATCH(LOWER(A54), ""esmalteria|unha|nail|manicur|spa dos p[eé]s|kauu_nhas""), ""Manicure - Esmalteria"", REGEXMATCH(LOWER(A54), ""est[eé]tic|bronze|massot|terap|pilates|revitalize|dra""), ""Clínica de "&amp;"Estética"", TRUE, ""Salão de Beleza""))"),"Salão de Beleza")</f>
        <v>Salão de Beleza</v>
      </c>
    </row>
    <row r="55">
      <c r="A55" s="1" t="s">
        <v>345</v>
      </c>
      <c r="B55" s="1" t="s">
        <v>332</v>
      </c>
      <c r="C55" s="1" t="s">
        <v>333</v>
      </c>
      <c r="D55" s="1" t="s">
        <v>334</v>
      </c>
      <c r="E55" s="1" t="s">
        <v>346</v>
      </c>
      <c r="F55" s="1" t="s">
        <v>347</v>
      </c>
      <c r="G55" s="1" t="s">
        <v>15</v>
      </c>
      <c r="H55" s="2" t="s">
        <v>348</v>
      </c>
      <c r="I55" s="3" t="str">
        <f>IFERROR(__xludf.DUMMYFUNCTION("IF(A55="""", """", IFS(REGEXMATCH(LOWER(A55), ""barbearia|barber""), ""Barbearia"", REGEXMATCH(LOWER(A55), ""sobrancelh|c[ií]lio|lash|micropigment|showbrancelhas""), ""Sobrancelhas e Cílios"", REGEXMATCH(LOWER(A55), ""maquia|make""), ""Maquiagem"", REGEXM"&amp;"ATCH(LOWER(A55), ""depil|epil""), ""Depilação"", REGEXMATCH(LOWER(A55), ""esmalteria|unha|nail|manicur|spa dos p[eé]s|kauu_nhas""), ""Manicure - Esmalteria"", REGEXMATCH(LOWER(A55), ""est[eé]tic|bronze|massot|terap|pilates|revitalize|dra""), ""Clínica de "&amp;"Estética"", TRUE, ""Salão de Beleza""))"),"Salão de Beleza")</f>
        <v>Salão de Beleza</v>
      </c>
    </row>
    <row r="56">
      <c r="A56" s="1" t="s">
        <v>349</v>
      </c>
      <c r="B56" s="1" t="s">
        <v>350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15</v>
      </c>
      <c r="H56" s="2" t="s">
        <v>355</v>
      </c>
      <c r="I56" s="3" t="str">
        <f>IFERROR(__xludf.DUMMYFUNCTION("IF(A56="""", """", IFS(REGEXMATCH(LOWER(A56), ""barbearia|barber""), ""Barbearia"", REGEXMATCH(LOWER(A56), ""sobrancelh|c[ií]lio|lash|micropigment|showbrancelhas""), ""Sobrancelhas e Cílios"", REGEXMATCH(LOWER(A56), ""maquia|make""), ""Maquiagem"", REGEXM"&amp;"ATCH(LOWER(A56), ""depil|epil""), ""Depilação"", REGEXMATCH(LOWER(A56), ""esmalteria|unha|nail|manicur|spa dos p[eé]s|kauu_nhas""), ""Manicure - Esmalteria"", REGEXMATCH(LOWER(A56), ""est[eé]tic|bronze|massot|terap|pilates|revitalize|dra""), ""Clínica de "&amp;"Estética"", TRUE, ""Salão de Beleza""))"),"Salão de Beleza")</f>
        <v>Salão de Beleza</v>
      </c>
    </row>
    <row r="57">
      <c r="A57" s="1" t="s">
        <v>356</v>
      </c>
      <c r="D57" s="1" t="s">
        <v>357</v>
      </c>
      <c r="E57" s="1" t="s">
        <v>358</v>
      </c>
      <c r="F57" s="1" t="s">
        <v>359</v>
      </c>
      <c r="G57" s="1" t="s">
        <v>15</v>
      </c>
      <c r="H57" s="2" t="s">
        <v>360</v>
      </c>
      <c r="I57" s="3" t="str">
        <f>IFERROR(__xludf.DUMMYFUNCTION("IF(A57="""", """", IFS(REGEXMATCH(LOWER(A57), ""barbearia|barber""), ""Barbearia"", REGEXMATCH(LOWER(A57), ""sobrancelh|c[ií]lio|lash|micropigment|showbrancelhas""), ""Sobrancelhas e Cílios"", REGEXMATCH(LOWER(A57), ""maquia|make""), ""Maquiagem"", REGEXM"&amp;"ATCH(LOWER(A57), ""depil|epil""), ""Depilação"", REGEXMATCH(LOWER(A57), ""esmalteria|unha|nail|manicur|spa dos p[eé]s|kauu_nhas""), ""Manicure - Esmalteria"", REGEXMATCH(LOWER(A57), ""est[eé]tic|bronze|massot|terap|pilates|revitalize|dra""), ""Clínica de "&amp;"Estética"", TRUE, ""Salão de Beleza""))"),"Salão de Beleza")</f>
        <v>Salão de Beleza</v>
      </c>
    </row>
    <row r="58">
      <c r="A58" s="1" t="s">
        <v>361</v>
      </c>
      <c r="B58" s="1" t="s">
        <v>362</v>
      </c>
      <c r="C58" s="1" t="s">
        <v>363</v>
      </c>
      <c r="D58" s="1" t="s">
        <v>364</v>
      </c>
      <c r="E58" s="1" t="s">
        <v>365</v>
      </c>
      <c r="F58" s="1" t="s">
        <v>366</v>
      </c>
      <c r="G58" s="1" t="s">
        <v>15</v>
      </c>
      <c r="H58" s="2" t="s">
        <v>367</v>
      </c>
      <c r="I58" s="3" t="str">
        <f>IFERROR(__xludf.DUMMYFUNCTION("IF(A58="""", """", IFS(REGEXMATCH(LOWER(A58), ""barbearia|barber""), ""Barbearia"", REGEXMATCH(LOWER(A58), ""sobrancelh|c[ií]lio|lash|micropigment|showbrancelhas""), ""Sobrancelhas e Cílios"", REGEXMATCH(LOWER(A58), ""maquia|make""), ""Maquiagem"", REGEXM"&amp;"ATCH(LOWER(A58), ""depil|epil""), ""Depilação"", REGEXMATCH(LOWER(A58), ""esmalteria|unha|nail|manicur|spa dos p[eé]s|kauu_nhas""), ""Manicure - Esmalteria"", REGEXMATCH(LOWER(A58), ""est[eé]tic|bronze|massot|terap|pilates|revitalize|dra""), ""Clínica de "&amp;"Estética"", TRUE, ""Salão de Beleza""))"),"Salão de Beleza")</f>
        <v>Salão de Beleza</v>
      </c>
    </row>
    <row r="59">
      <c r="A59" s="1" t="s">
        <v>368</v>
      </c>
      <c r="D59" s="1" t="s">
        <v>369</v>
      </c>
      <c r="E59" s="1" t="s">
        <v>370</v>
      </c>
      <c r="F59" s="1" t="s">
        <v>371</v>
      </c>
      <c r="G59" s="1" t="s">
        <v>15</v>
      </c>
      <c r="H59" s="2" t="s">
        <v>372</v>
      </c>
      <c r="I59" s="3" t="str">
        <f>IFERROR(__xludf.DUMMYFUNCTION("IF(A59="""", """", IFS(REGEXMATCH(LOWER(A59), ""barbearia|barber""), ""Barbearia"", REGEXMATCH(LOWER(A59), ""sobrancelh|c[ií]lio|lash|micropigment|showbrancelhas""), ""Sobrancelhas e Cílios"", REGEXMATCH(LOWER(A59), ""maquia|make""), ""Maquiagem"", REGEXM"&amp;"ATCH(LOWER(A59), ""depil|epil""), ""Depilação"", REGEXMATCH(LOWER(A59), ""esmalteria|unha|nail|manicur|spa dos p[eé]s|kauu_nhas""), ""Manicure - Esmalteria"", REGEXMATCH(LOWER(A59), ""est[eé]tic|bronze|massot|terap|pilates|revitalize|dra""), ""Clínica de "&amp;"Estética"", TRUE, ""Salão de Beleza""))"),"Salão de Beleza")</f>
        <v>Salão de Beleza</v>
      </c>
    </row>
    <row r="60">
      <c r="A60" s="1" t="s">
        <v>373</v>
      </c>
      <c r="D60" s="1" t="s">
        <v>374</v>
      </c>
      <c r="E60" s="1" t="s">
        <v>375</v>
      </c>
      <c r="F60" s="1" t="s">
        <v>376</v>
      </c>
      <c r="G60" s="1" t="s">
        <v>15</v>
      </c>
      <c r="H60" s="2" t="s">
        <v>377</v>
      </c>
      <c r="I60" s="3" t="str">
        <f>IFERROR(__xludf.DUMMYFUNCTION("IF(A60="""", """", IFS(REGEXMATCH(LOWER(A60), ""barbearia|barber""), ""Barbearia"", REGEXMATCH(LOWER(A60), ""sobrancelh|c[ií]lio|lash|micropigment|showbrancelhas""), ""Sobrancelhas e Cílios"", REGEXMATCH(LOWER(A60), ""maquia|make""), ""Maquiagem"", REGEXM"&amp;"ATCH(LOWER(A60), ""depil|epil""), ""Depilação"", REGEXMATCH(LOWER(A60), ""esmalteria|unha|nail|manicur|spa dos p[eé]s|kauu_nhas""), ""Manicure - Esmalteria"", REGEXMATCH(LOWER(A60), ""est[eé]tic|bronze|massot|terap|pilates|revitalize|dra""), ""Clínica de "&amp;"Estética"", TRUE, ""Salão de Beleza""))"),"Salão de Beleza")</f>
        <v>Salão de Beleza</v>
      </c>
    </row>
    <row r="61">
      <c r="A61" s="1" t="s">
        <v>378</v>
      </c>
      <c r="B61" s="1" t="s">
        <v>379</v>
      </c>
      <c r="C61" s="1" t="s">
        <v>380</v>
      </c>
      <c r="D61" s="1" t="s">
        <v>381</v>
      </c>
      <c r="E61" s="1" t="s">
        <v>382</v>
      </c>
      <c r="F61" s="1" t="s">
        <v>383</v>
      </c>
      <c r="G61" s="1" t="s">
        <v>15</v>
      </c>
      <c r="H61" s="2" t="s">
        <v>384</v>
      </c>
      <c r="I61" s="3" t="str">
        <f>IFERROR(__xludf.DUMMYFUNCTION("IF(A61="""", """", IFS(REGEXMATCH(LOWER(A61), ""barbearia|barber""), ""Barbearia"", REGEXMATCH(LOWER(A61), ""sobrancelh|c[ií]lio|lash|micropigment|showbrancelhas""), ""Sobrancelhas e Cílios"", REGEXMATCH(LOWER(A61), ""maquia|make""), ""Maquiagem"", REGEXM"&amp;"ATCH(LOWER(A61), ""depil|epil""), ""Depilação"", REGEXMATCH(LOWER(A61), ""esmalteria|unha|nail|manicur|spa dos p[eé]s|kauu_nhas""), ""Manicure - Esmalteria"", REGEXMATCH(LOWER(A61), ""est[eé]tic|bronze|massot|terap|pilates|revitalize|dra""), ""Clínica de "&amp;"Estética"", TRUE, ""Salão de Beleza""))"),"Manicure - Esmalteria")</f>
        <v>Manicure - Esmalteria</v>
      </c>
    </row>
    <row r="62">
      <c r="A62" s="1" t="s">
        <v>385</v>
      </c>
      <c r="B62" s="1" t="s">
        <v>386</v>
      </c>
      <c r="C62" s="1" t="s">
        <v>387</v>
      </c>
      <c r="D62" s="1" t="s">
        <v>388</v>
      </c>
      <c r="E62" s="1" t="s">
        <v>389</v>
      </c>
      <c r="F62" s="1" t="s">
        <v>390</v>
      </c>
      <c r="G62" s="1" t="s">
        <v>15</v>
      </c>
      <c r="H62" s="2" t="s">
        <v>391</v>
      </c>
      <c r="I62" s="3" t="str">
        <f>IFERROR(__xludf.DUMMYFUNCTION("IF(A62="""", """", IFS(REGEXMATCH(LOWER(A62), ""barbearia|barber""), ""Barbearia"", REGEXMATCH(LOWER(A62), ""sobrancelh|c[ií]lio|lash|micropigment|showbrancelhas""), ""Sobrancelhas e Cílios"", REGEXMATCH(LOWER(A62), ""maquia|make""), ""Maquiagem"", REGEXM"&amp;"ATCH(LOWER(A62), ""depil|epil""), ""Depilação"", REGEXMATCH(LOWER(A62), ""esmalteria|unha|nail|manicur|spa dos p[eé]s|kauu_nhas""), ""Manicure - Esmalteria"", REGEXMATCH(LOWER(A62), ""est[eé]tic|bronze|massot|terap|pilates|revitalize|dra""), ""Clínica de "&amp;"Estética"", TRUE, ""Salão de Beleza""))"),"Salão de Beleza")</f>
        <v>Salão de Beleza</v>
      </c>
    </row>
    <row r="63">
      <c r="A63" s="1" t="s">
        <v>392</v>
      </c>
      <c r="D63" s="1" t="s">
        <v>393</v>
      </c>
      <c r="E63" s="1" t="s">
        <v>394</v>
      </c>
      <c r="F63" s="1" t="s">
        <v>395</v>
      </c>
      <c r="G63" s="1" t="s">
        <v>15</v>
      </c>
      <c r="H63" s="2" t="s">
        <v>396</v>
      </c>
      <c r="I63" s="3" t="str">
        <f>IFERROR(__xludf.DUMMYFUNCTION("IF(A63="""", """", IFS(REGEXMATCH(LOWER(A63), ""barbearia|barber""), ""Barbearia"", REGEXMATCH(LOWER(A63), ""sobrancelh|c[ií]lio|lash|micropigment|showbrancelhas""), ""Sobrancelhas e Cílios"", REGEXMATCH(LOWER(A63), ""maquia|make""), ""Maquiagem"", REGEXM"&amp;"ATCH(LOWER(A63), ""depil|epil""), ""Depilação"", REGEXMATCH(LOWER(A63), ""esmalteria|unha|nail|manicur|spa dos p[eé]s|kauu_nhas""), ""Manicure - Esmalteria"", REGEXMATCH(LOWER(A63), ""est[eé]tic|bronze|massot|terap|pilates|revitalize|dra""), ""Clínica de "&amp;"Estética"", TRUE, ""Salão de Beleza""))"),"Salão de Beleza")</f>
        <v>Salão de Beleza</v>
      </c>
    </row>
    <row r="64">
      <c r="A64" s="1" t="s">
        <v>397</v>
      </c>
      <c r="D64" s="1" t="s">
        <v>398</v>
      </c>
      <c r="E64" s="1" t="s">
        <v>399</v>
      </c>
      <c r="F64" s="1" t="s">
        <v>400</v>
      </c>
      <c r="G64" s="1" t="s">
        <v>15</v>
      </c>
      <c r="H64" s="2" t="s">
        <v>401</v>
      </c>
      <c r="I64" s="3" t="str">
        <f>IFERROR(__xludf.DUMMYFUNCTION("IF(A64="""", """", IFS(REGEXMATCH(LOWER(A64), ""barbearia|barber""), ""Barbearia"", REGEXMATCH(LOWER(A64), ""sobrancelh|c[ií]lio|lash|micropigment|showbrancelhas""), ""Sobrancelhas e Cílios"", REGEXMATCH(LOWER(A64), ""maquia|make""), ""Maquiagem"", REGEXM"&amp;"ATCH(LOWER(A64), ""depil|epil""), ""Depilação"", REGEXMATCH(LOWER(A64), ""esmalteria|unha|nail|manicur|spa dos p[eé]s|kauu_nhas""), ""Manicure - Esmalteria"", REGEXMATCH(LOWER(A64), ""est[eé]tic|bronze|massot|terap|pilates|revitalize|dra""), ""Clínica de "&amp;"Estética"", TRUE, ""Salão de Beleza""))"),"Salão de Beleza")</f>
        <v>Salão de Beleza</v>
      </c>
    </row>
    <row r="65">
      <c r="A65" s="1" t="s">
        <v>402</v>
      </c>
      <c r="B65" s="1" t="s">
        <v>403</v>
      </c>
      <c r="C65" s="1" t="s">
        <v>404</v>
      </c>
      <c r="D65" s="1" t="s">
        <v>405</v>
      </c>
      <c r="E65" s="1" t="s">
        <v>406</v>
      </c>
      <c r="F65" s="1" t="s">
        <v>407</v>
      </c>
      <c r="G65" s="1" t="s">
        <v>15</v>
      </c>
      <c r="H65" s="2" t="s">
        <v>408</v>
      </c>
      <c r="I65" s="3" t="str">
        <f>IFERROR(__xludf.DUMMYFUNCTION("IF(A65="""", """", IFS(REGEXMATCH(LOWER(A65), ""barbearia|barber""), ""Barbearia"", REGEXMATCH(LOWER(A65), ""sobrancelh|c[ií]lio|lash|micropigment|showbrancelhas""), ""Sobrancelhas e Cílios"", REGEXMATCH(LOWER(A65), ""maquia|make""), ""Maquiagem"", REGEXM"&amp;"ATCH(LOWER(A65), ""depil|epil""), ""Depilação"", REGEXMATCH(LOWER(A65), ""esmalteria|unha|nail|manicur|spa dos p[eé]s|kauu_nhas""), ""Manicure - Esmalteria"", REGEXMATCH(LOWER(A65), ""est[eé]tic|bronze|massot|terap|pilates|revitalize|dra""), ""Clínica de "&amp;"Estética"", TRUE, ""Salão de Beleza""))"),"Salão de Beleza")</f>
        <v>Salão de Beleza</v>
      </c>
    </row>
    <row r="66">
      <c r="A66" s="1" t="s">
        <v>409</v>
      </c>
      <c r="D66" s="1" t="s">
        <v>410</v>
      </c>
      <c r="E66" s="1" t="s">
        <v>411</v>
      </c>
      <c r="F66" s="1" t="s">
        <v>412</v>
      </c>
      <c r="G66" s="1" t="s">
        <v>15</v>
      </c>
      <c r="H66" s="2" t="s">
        <v>413</v>
      </c>
      <c r="I66" s="3" t="str">
        <f>IFERROR(__xludf.DUMMYFUNCTION("IF(A66="""", """", IFS(REGEXMATCH(LOWER(A66), ""barbearia|barber""), ""Barbearia"", REGEXMATCH(LOWER(A66), ""sobrancelh|c[ií]lio|lash|micropigment|showbrancelhas""), ""Sobrancelhas e Cílios"", REGEXMATCH(LOWER(A66), ""maquia|make""), ""Maquiagem"", REGEXM"&amp;"ATCH(LOWER(A66), ""depil|epil""), ""Depilação"", REGEXMATCH(LOWER(A66), ""esmalteria|unha|nail|manicur|spa dos p[eé]s|kauu_nhas""), ""Manicure - Esmalteria"", REGEXMATCH(LOWER(A66), ""est[eé]tic|bronze|massot|terap|pilates|revitalize|dra""), ""Clínica de "&amp;"Estética"", TRUE, ""Salão de Beleza""))"),"Salão de Beleza")</f>
        <v>Salão de Beleza</v>
      </c>
    </row>
    <row r="67">
      <c r="A67" s="1" t="s">
        <v>414</v>
      </c>
      <c r="B67" s="1" t="s">
        <v>415</v>
      </c>
      <c r="C67" s="1" t="s">
        <v>416</v>
      </c>
      <c r="D67" s="1" t="s">
        <v>417</v>
      </c>
      <c r="E67" s="1" t="s">
        <v>418</v>
      </c>
      <c r="F67" s="1" t="s">
        <v>419</v>
      </c>
      <c r="G67" s="1" t="s">
        <v>15</v>
      </c>
      <c r="H67" s="2" t="s">
        <v>420</v>
      </c>
      <c r="I67" s="3" t="str">
        <f>IFERROR(__xludf.DUMMYFUNCTION("IF(A67="""", """", IFS(REGEXMATCH(LOWER(A67), ""barbearia|barber""), ""Barbearia"", REGEXMATCH(LOWER(A67), ""sobrancelh|c[ií]lio|lash|micropigment|showbrancelhas""), ""Sobrancelhas e Cílios"", REGEXMATCH(LOWER(A67), ""maquia|make""), ""Maquiagem"", REGEXM"&amp;"ATCH(LOWER(A67), ""depil|epil""), ""Depilação"", REGEXMATCH(LOWER(A67), ""esmalteria|unha|nail|manicur|spa dos p[eé]s|kauu_nhas""), ""Manicure - Esmalteria"", REGEXMATCH(LOWER(A67), ""est[eé]tic|bronze|massot|terap|pilates|revitalize|dra""), ""Clínica de "&amp;"Estética"", TRUE, ""Salão de Beleza""))"),"Salão de Beleza")</f>
        <v>Salão de Beleza</v>
      </c>
    </row>
    <row r="68">
      <c r="A68" s="1" t="s">
        <v>421</v>
      </c>
      <c r="D68" s="1" t="s">
        <v>422</v>
      </c>
      <c r="E68" s="1" t="s">
        <v>423</v>
      </c>
      <c r="F68" s="1" t="s">
        <v>424</v>
      </c>
      <c r="G68" s="1" t="s">
        <v>15</v>
      </c>
      <c r="H68" s="2" t="s">
        <v>425</v>
      </c>
      <c r="I68" s="3" t="str">
        <f>IFERROR(__xludf.DUMMYFUNCTION("IF(A68="""", """", IFS(REGEXMATCH(LOWER(A68), ""barbearia|barber""), ""Barbearia"", REGEXMATCH(LOWER(A68), ""sobrancelh|c[ií]lio|lash|micropigment|showbrancelhas""), ""Sobrancelhas e Cílios"", REGEXMATCH(LOWER(A68), ""maquia|make""), ""Maquiagem"", REGEXM"&amp;"ATCH(LOWER(A68), ""depil|epil""), ""Depilação"", REGEXMATCH(LOWER(A68), ""esmalteria|unha|nail|manicur|spa dos p[eé]s|kauu_nhas""), ""Manicure - Esmalteria"", REGEXMATCH(LOWER(A68), ""est[eé]tic|bronze|massot|terap|pilates|revitalize|dra""), ""Clínica de "&amp;"Estética"", TRUE, ""Salão de Beleza""))"),"Salão de Beleza")</f>
        <v>Salão de Beleza</v>
      </c>
    </row>
    <row r="69">
      <c r="A69" s="1" t="s">
        <v>426</v>
      </c>
      <c r="D69" s="1" t="s">
        <v>427</v>
      </c>
      <c r="E69" s="1" t="s">
        <v>428</v>
      </c>
      <c r="F69" s="1" t="s">
        <v>429</v>
      </c>
      <c r="G69" s="1" t="s">
        <v>15</v>
      </c>
      <c r="H69" s="2" t="s">
        <v>430</v>
      </c>
      <c r="I69" s="3" t="str">
        <f>IFERROR(__xludf.DUMMYFUNCTION("IF(A69="""", """", IFS(REGEXMATCH(LOWER(A69), ""barbearia|barber""), ""Barbearia"", REGEXMATCH(LOWER(A69), ""sobrancelh|c[ií]lio|lash|micropigment|showbrancelhas""), ""Sobrancelhas e Cílios"", REGEXMATCH(LOWER(A69), ""maquia|make""), ""Maquiagem"", REGEXM"&amp;"ATCH(LOWER(A69), ""depil|epil""), ""Depilação"", REGEXMATCH(LOWER(A69), ""esmalteria|unha|nail|manicur|spa dos p[eé]s|kauu_nhas""), ""Manicure - Esmalteria"", REGEXMATCH(LOWER(A69), ""est[eé]tic|bronze|massot|terap|pilates|revitalize|dra""), ""Clínica de "&amp;"Estética"", TRUE, ""Salão de Beleza""))"),"Manicure - Esmalteria")</f>
        <v>Manicure - Esmalteria</v>
      </c>
    </row>
    <row r="70">
      <c r="A70" s="1" t="s">
        <v>431</v>
      </c>
      <c r="D70" s="1" t="s">
        <v>432</v>
      </c>
      <c r="E70" s="1" t="s">
        <v>433</v>
      </c>
      <c r="F70" s="1" t="s">
        <v>434</v>
      </c>
      <c r="G70" s="1" t="s">
        <v>15</v>
      </c>
      <c r="H70" s="2" t="s">
        <v>435</v>
      </c>
      <c r="I70" s="3" t="str">
        <f>IFERROR(__xludf.DUMMYFUNCTION("IF(A70="""", """", IFS(REGEXMATCH(LOWER(A70), ""barbearia|barber""), ""Barbearia"", REGEXMATCH(LOWER(A70), ""sobrancelh|c[ií]lio|lash|micropigment|showbrancelhas""), ""Sobrancelhas e Cílios"", REGEXMATCH(LOWER(A70), ""maquia|make""), ""Maquiagem"", REGEXM"&amp;"ATCH(LOWER(A70), ""depil|epil""), ""Depilação"", REGEXMATCH(LOWER(A70), ""esmalteria|unha|nail|manicur|spa dos p[eé]s|kauu_nhas""), ""Manicure - Esmalteria"", REGEXMATCH(LOWER(A70), ""est[eé]tic|bronze|massot|terap|pilates|revitalize|dra""), ""Clínica de "&amp;"Estética"", TRUE, ""Salão de Beleza""))"),"Salão de Beleza")</f>
        <v>Salão de Beleza</v>
      </c>
    </row>
    <row r="71">
      <c r="A71" s="1" t="s">
        <v>436</v>
      </c>
      <c r="D71" s="1" t="s">
        <v>437</v>
      </c>
      <c r="E71" s="1" t="s">
        <v>438</v>
      </c>
      <c r="F71" s="1" t="s">
        <v>439</v>
      </c>
      <c r="G71" s="1" t="s">
        <v>15</v>
      </c>
      <c r="H71" s="2" t="s">
        <v>440</v>
      </c>
      <c r="I71" s="3" t="str">
        <f>IFERROR(__xludf.DUMMYFUNCTION("IF(A71="""", """", IFS(REGEXMATCH(LOWER(A71), ""barbearia|barber""), ""Barbearia"", REGEXMATCH(LOWER(A71), ""sobrancelh|c[ií]lio|lash|micropigment|showbrancelhas""), ""Sobrancelhas e Cílios"", REGEXMATCH(LOWER(A71), ""maquia|make""), ""Maquiagem"", REGEXM"&amp;"ATCH(LOWER(A71), ""depil|epil""), ""Depilação"", REGEXMATCH(LOWER(A71), ""esmalteria|unha|nail|manicur|spa dos p[eé]s|kauu_nhas""), ""Manicure - Esmalteria"", REGEXMATCH(LOWER(A71), ""est[eé]tic|bronze|massot|terap|pilates|revitalize|dra""), ""Clínica de "&amp;"Estética"", TRUE, ""Salão de Beleza""))"),"Manicure - Esmalteria")</f>
        <v>Manicure - Esmalteria</v>
      </c>
    </row>
    <row r="72">
      <c r="A72" s="1" t="s">
        <v>441</v>
      </c>
      <c r="D72" s="1" t="s">
        <v>155</v>
      </c>
      <c r="E72" s="1" t="s">
        <v>442</v>
      </c>
      <c r="F72" s="1" t="s">
        <v>443</v>
      </c>
      <c r="G72" s="1" t="s">
        <v>15</v>
      </c>
      <c r="H72" s="2" t="s">
        <v>444</v>
      </c>
      <c r="I72" s="3" t="str">
        <f>IFERROR(__xludf.DUMMYFUNCTION("IF(A72="""", """", IFS(REGEXMATCH(LOWER(A72), ""barbearia|barber""), ""Barbearia"", REGEXMATCH(LOWER(A72), ""sobrancelh|c[ií]lio|lash|micropigment|showbrancelhas""), ""Sobrancelhas e Cílios"", REGEXMATCH(LOWER(A72), ""maquia|make""), ""Maquiagem"", REGEXM"&amp;"ATCH(LOWER(A72), ""depil|epil""), ""Depilação"", REGEXMATCH(LOWER(A72), ""esmalteria|unha|nail|manicur|spa dos p[eé]s|kauu_nhas""), ""Manicure - Esmalteria"", REGEXMATCH(LOWER(A72), ""est[eé]tic|bronze|massot|terap|pilates|revitalize|dra""), ""Clínica de "&amp;"Estética"", TRUE, ""Salão de Beleza""))"),"Salão de Beleza")</f>
        <v>Salão de Beleza</v>
      </c>
    </row>
    <row r="73">
      <c r="A73" s="1" t="s">
        <v>445</v>
      </c>
      <c r="D73" s="1" t="s">
        <v>446</v>
      </c>
      <c r="E73" s="1" t="s">
        <v>447</v>
      </c>
      <c r="F73" s="1" t="s">
        <v>448</v>
      </c>
      <c r="G73" s="1" t="s">
        <v>15</v>
      </c>
      <c r="H73" s="2" t="s">
        <v>449</v>
      </c>
      <c r="I73" s="3" t="str">
        <f>IFERROR(__xludf.DUMMYFUNCTION("IF(A73="""", """", IFS(REGEXMATCH(LOWER(A73), ""barbearia|barber""), ""Barbearia"", REGEXMATCH(LOWER(A73), ""sobrancelh|c[ií]lio|lash|micropigment|showbrancelhas""), ""Sobrancelhas e Cílios"", REGEXMATCH(LOWER(A73), ""maquia|make""), ""Maquiagem"", REGEXM"&amp;"ATCH(LOWER(A73), ""depil|epil""), ""Depilação"", REGEXMATCH(LOWER(A73), ""esmalteria|unha|nail|manicur|spa dos p[eé]s|kauu_nhas""), ""Manicure - Esmalteria"", REGEXMATCH(LOWER(A73), ""est[eé]tic|bronze|massot|terap|pilates|revitalize|dra""), ""Clínica de "&amp;"Estética"", TRUE, ""Salão de Beleza""))"),"Salão de Beleza")</f>
        <v>Salão de Beleza</v>
      </c>
    </row>
    <row r="74">
      <c r="A74" s="1" t="s">
        <v>450</v>
      </c>
      <c r="D74" s="1" t="s">
        <v>451</v>
      </c>
      <c r="E74" s="1" t="s">
        <v>452</v>
      </c>
      <c r="F74" s="1" t="s">
        <v>453</v>
      </c>
      <c r="G74" s="1" t="s">
        <v>15</v>
      </c>
      <c r="H74" s="2" t="s">
        <v>454</v>
      </c>
      <c r="I74" s="3" t="str">
        <f>IFERROR(__xludf.DUMMYFUNCTION("IF(A74="""", """", IFS(REGEXMATCH(LOWER(A74), ""barbearia|barber""), ""Barbearia"", REGEXMATCH(LOWER(A74), ""sobrancelh|c[ií]lio|lash|micropigment|showbrancelhas""), ""Sobrancelhas e Cílios"", REGEXMATCH(LOWER(A74), ""maquia|make""), ""Maquiagem"", REGEXM"&amp;"ATCH(LOWER(A74), ""depil|epil""), ""Depilação"", REGEXMATCH(LOWER(A74), ""esmalteria|unha|nail|manicur|spa dos p[eé]s|kauu_nhas""), ""Manicure - Esmalteria"", REGEXMATCH(LOWER(A74), ""est[eé]tic|bronze|massot|terap|pilates|revitalize|dra""), ""Clínica de "&amp;"Estética"", TRUE, ""Salão de Beleza""))"),"Salão de Beleza")</f>
        <v>Salão de Beleza</v>
      </c>
    </row>
    <row r="75">
      <c r="A75" s="1" t="s">
        <v>455</v>
      </c>
      <c r="D75" s="1" t="s">
        <v>456</v>
      </c>
      <c r="E75" s="1" t="s">
        <v>457</v>
      </c>
      <c r="F75" s="1" t="s">
        <v>458</v>
      </c>
      <c r="G75" s="1" t="s">
        <v>15</v>
      </c>
      <c r="H75" s="2" t="s">
        <v>459</v>
      </c>
      <c r="I75" s="3" t="str">
        <f>IFERROR(__xludf.DUMMYFUNCTION("IF(A75="""", """", IFS(REGEXMATCH(LOWER(A75), ""barbearia|barber""), ""Barbearia"", REGEXMATCH(LOWER(A75), ""sobrancelh|c[ií]lio|lash|micropigment|showbrancelhas""), ""Sobrancelhas e Cílios"", REGEXMATCH(LOWER(A75), ""maquia|make""), ""Maquiagem"", REGEXM"&amp;"ATCH(LOWER(A75), ""depil|epil""), ""Depilação"", REGEXMATCH(LOWER(A75), ""esmalteria|unha|nail|manicur|spa dos p[eé]s|kauu_nhas""), ""Manicure - Esmalteria"", REGEXMATCH(LOWER(A75), ""est[eé]tic|bronze|massot|terap|pilates|revitalize|dra""), ""Clínica de "&amp;"Estética"", TRUE, ""Salão de Beleza""))"),"Manicure - Esmalteria")</f>
        <v>Manicure - Esmalteria</v>
      </c>
    </row>
    <row r="76">
      <c r="A76" s="1" t="s">
        <v>460</v>
      </c>
      <c r="D76" s="1" t="s">
        <v>155</v>
      </c>
      <c r="E76" s="1" t="s">
        <v>461</v>
      </c>
      <c r="F76" s="1" t="s">
        <v>462</v>
      </c>
      <c r="G76" s="1" t="s">
        <v>15</v>
      </c>
      <c r="H76" s="2" t="s">
        <v>463</v>
      </c>
      <c r="I76" s="3" t="str">
        <f>IFERROR(__xludf.DUMMYFUNCTION("IF(A76="""", """", IFS(REGEXMATCH(LOWER(A76), ""barbearia|barber""), ""Barbearia"", REGEXMATCH(LOWER(A76), ""sobrancelh|c[ií]lio|lash|micropigment|showbrancelhas""), ""Sobrancelhas e Cílios"", REGEXMATCH(LOWER(A76), ""maquia|make""), ""Maquiagem"", REGEXM"&amp;"ATCH(LOWER(A76), ""depil|epil""), ""Depilação"", REGEXMATCH(LOWER(A76), ""esmalteria|unha|nail|manicur|spa dos p[eé]s|kauu_nhas""), ""Manicure - Esmalteria"", REGEXMATCH(LOWER(A76), ""est[eé]tic|bronze|massot|terap|pilates|revitalize|dra""), ""Clínica de "&amp;"Estética"", TRUE, ""Salão de Beleza""))"),"Salão de Beleza")</f>
        <v>Salão de Beleza</v>
      </c>
    </row>
    <row r="77">
      <c r="A77" s="1" t="s">
        <v>464</v>
      </c>
      <c r="D77" s="1" t="s">
        <v>465</v>
      </c>
      <c r="E77" s="1" t="s">
        <v>466</v>
      </c>
      <c r="F77" s="1" t="s">
        <v>467</v>
      </c>
      <c r="G77" s="1" t="s">
        <v>15</v>
      </c>
      <c r="H77" s="2" t="s">
        <v>468</v>
      </c>
      <c r="I77" s="3" t="str">
        <f>IFERROR(__xludf.DUMMYFUNCTION("IF(A77="""", """", IFS(REGEXMATCH(LOWER(A77), ""barbearia|barber""), ""Barbearia"", REGEXMATCH(LOWER(A77), ""sobrancelh|c[ií]lio|lash|micropigment|showbrancelhas""), ""Sobrancelhas e Cílios"", REGEXMATCH(LOWER(A77), ""maquia|make""), ""Maquiagem"", REGEXM"&amp;"ATCH(LOWER(A77), ""depil|epil""), ""Depilação"", REGEXMATCH(LOWER(A77), ""esmalteria|unha|nail|manicur|spa dos p[eé]s|kauu_nhas""), ""Manicure - Esmalteria"", REGEXMATCH(LOWER(A77), ""est[eé]tic|bronze|massot|terap|pilates|revitalize|dra""), ""Clínica de "&amp;"Estética"", TRUE, ""Salão de Beleza""))"),"Salão de Beleza")</f>
        <v>Salão de Beleza</v>
      </c>
    </row>
    <row r="78">
      <c r="A78" s="1" t="s">
        <v>469</v>
      </c>
      <c r="B78" s="1" t="s">
        <v>470</v>
      </c>
      <c r="C78" s="1" t="s">
        <v>471</v>
      </c>
      <c r="D78" s="1" t="s">
        <v>472</v>
      </c>
      <c r="E78" s="1" t="s">
        <v>473</v>
      </c>
      <c r="F78" s="1" t="s">
        <v>474</v>
      </c>
      <c r="G78" s="1" t="s">
        <v>15</v>
      </c>
      <c r="H78" s="2" t="s">
        <v>475</v>
      </c>
      <c r="I78" s="3" t="str">
        <f>IFERROR(__xludf.DUMMYFUNCTION("IF(A78="""", """", IFS(REGEXMATCH(LOWER(A78), ""barbearia|barber""), ""Barbearia"", REGEXMATCH(LOWER(A78), ""sobrancelh|c[ií]lio|lash|micropigment|showbrancelhas""), ""Sobrancelhas e Cílios"", REGEXMATCH(LOWER(A78), ""maquia|make""), ""Maquiagem"", REGEXM"&amp;"ATCH(LOWER(A78), ""depil|epil""), ""Depilação"", REGEXMATCH(LOWER(A78), ""esmalteria|unha|nail|manicur|spa dos p[eé]s|kauu_nhas""), ""Manicure - Esmalteria"", REGEXMATCH(LOWER(A78), ""est[eé]tic|bronze|massot|terap|pilates|revitalize|dra""), ""Clínica de "&amp;"Estética"", TRUE, ""Salão de Beleza""))"),"Salão de Beleza")</f>
        <v>Salão de Beleza</v>
      </c>
    </row>
    <row r="79">
      <c r="A79" s="1" t="s">
        <v>476</v>
      </c>
      <c r="D79" s="1" t="s">
        <v>477</v>
      </c>
      <c r="E79" s="1" t="s">
        <v>478</v>
      </c>
      <c r="F79" s="1" t="s">
        <v>479</v>
      </c>
      <c r="G79" s="1" t="s">
        <v>15</v>
      </c>
      <c r="H79" s="2" t="s">
        <v>480</v>
      </c>
      <c r="I79" s="3" t="str">
        <f>IFERROR(__xludf.DUMMYFUNCTION("IF(A79="""", """", IFS(REGEXMATCH(LOWER(A79), ""barbearia|barber""), ""Barbearia"", REGEXMATCH(LOWER(A79), ""sobrancelh|c[ií]lio|lash|micropigment|showbrancelhas""), ""Sobrancelhas e Cílios"", REGEXMATCH(LOWER(A79), ""maquia|make""), ""Maquiagem"", REGEXM"&amp;"ATCH(LOWER(A79), ""depil|epil""), ""Depilação"", REGEXMATCH(LOWER(A79), ""esmalteria|unha|nail|manicur|spa dos p[eé]s|kauu_nhas""), ""Manicure - Esmalteria"", REGEXMATCH(LOWER(A79), ""est[eé]tic|bronze|massot|terap|pilates|revitalize|dra""), ""Clínica de "&amp;"Estética"", TRUE, ""Salão de Beleza""))"),"Salão de Beleza")</f>
        <v>Salão de Beleza</v>
      </c>
    </row>
    <row r="80">
      <c r="A80" s="1" t="s">
        <v>481</v>
      </c>
      <c r="D80" s="1" t="s">
        <v>482</v>
      </c>
      <c r="E80" s="1" t="s">
        <v>483</v>
      </c>
      <c r="F80" s="1" t="s">
        <v>484</v>
      </c>
      <c r="G80" s="1" t="s">
        <v>15</v>
      </c>
      <c r="H80" s="2" t="s">
        <v>485</v>
      </c>
      <c r="I80" s="3" t="str">
        <f>IFERROR(__xludf.DUMMYFUNCTION("IF(A80="""", """", IFS(REGEXMATCH(LOWER(A80), ""barbearia|barber""), ""Barbearia"", REGEXMATCH(LOWER(A80), ""sobrancelh|c[ií]lio|lash|micropigment|showbrancelhas""), ""Sobrancelhas e Cílios"", REGEXMATCH(LOWER(A80), ""maquia|make""), ""Maquiagem"", REGEXM"&amp;"ATCH(LOWER(A80), ""depil|epil""), ""Depilação"", REGEXMATCH(LOWER(A80), ""esmalteria|unha|nail|manicur|spa dos p[eé]s|kauu_nhas""), ""Manicure - Esmalteria"", REGEXMATCH(LOWER(A80), ""est[eé]tic|bronze|massot|terap|pilates|revitalize|dra""), ""Clínica de "&amp;"Estética"", TRUE, ""Salão de Beleza""))"),"Salão de Beleza")</f>
        <v>Salão de Beleza</v>
      </c>
    </row>
    <row r="81">
      <c r="A81" s="1" t="s">
        <v>486</v>
      </c>
      <c r="B81" s="1" t="s">
        <v>487</v>
      </c>
      <c r="C81" s="1" t="s">
        <v>488</v>
      </c>
      <c r="D81" s="1" t="s">
        <v>489</v>
      </c>
      <c r="E81" s="1" t="s">
        <v>490</v>
      </c>
      <c r="F81" s="1" t="s">
        <v>491</v>
      </c>
      <c r="G81" s="1" t="s">
        <v>15</v>
      </c>
      <c r="H81" s="2" t="s">
        <v>492</v>
      </c>
      <c r="I81" s="3" t="str">
        <f>IFERROR(__xludf.DUMMYFUNCTION("IF(A81="""", """", IFS(REGEXMATCH(LOWER(A81), ""barbearia|barber""), ""Barbearia"", REGEXMATCH(LOWER(A81), ""sobrancelh|c[ií]lio|lash|micropigment|showbrancelhas""), ""Sobrancelhas e Cílios"", REGEXMATCH(LOWER(A81), ""maquia|make""), ""Maquiagem"", REGEXM"&amp;"ATCH(LOWER(A81), ""depil|epil""), ""Depilação"", REGEXMATCH(LOWER(A81), ""esmalteria|unha|nail|manicur|spa dos p[eé]s|kauu_nhas""), ""Manicure - Esmalteria"", REGEXMATCH(LOWER(A81), ""est[eé]tic|bronze|massot|terap|pilates|revitalize|dra""), ""Clínica de "&amp;"Estética"", TRUE, ""Salão de Beleza""))"),"Salão de Beleza")</f>
        <v>Salão de Beleza</v>
      </c>
    </row>
    <row r="82">
      <c r="A82" s="1" t="s">
        <v>493</v>
      </c>
      <c r="B82" s="1" t="s">
        <v>494</v>
      </c>
      <c r="C82" s="1" t="s">
        <v>495</v>
      </c>
      <c r="D82" s="1" t="s">
        <v>496</v>
      </c>
      <c r="E82" s="1" t="s">
        <v>497</v>
      </c>
      <c r="F82" s="1" t="s">
        <v>498</v>
      </c>
      <c r="G82" s="1" t="s">
        <v>15</v>
      </c>
      <c r="H82" s="2" t="s">
        <v>499</v>
      </c>
      <c r="I82" s="3" t="str">
        <f>IFERROR(__xludf.DUMMYFUNCTION("IF(A82="""", """", IFS(REGEXMATCH(LOWER(A82), ""barbearia|barber""), ""Barbearia"", REGEXMATCH(LOWER(A82), ""sobrancelh|c[ií]lio|lash|micropigment|showbrancelhas""), ""Sobrancelhas e Cílios"", REGEXMATCH(LOWER(A82), ""maquia|make""), ""Maquiagem"", REGEXM"&amp;"ATCH(LOWER(A82), ""depil|epil""), ""Depilação"", REGEXMATCH(LOWER(A82), ""esmalteria|unha|nail|manicur|spa dos p[eé]s|kauu_nhas""), ""Manicure - Esmalteria"", REGEXMATCH(LOWER(A82), ""est[eé]tic|bronze|massot|terap|pilates|revitalize|dra""), ""Clínica de "&amp;"Estética"", TRUE, ""Salão de Beleza""))"),"Salão de Beleza")</f>
        <v>Salão de Beleza</v>
      </c>
    </row>
    <row r="83">
      <c r="A83" s="1" t="s">
        <v>500</v>
      </c>
      <c r="B83" s="1" t="s">
        <v>501</v>
      </c>
      <c r="C83" s="1" t="s">
        <v>502</v>
      </c>
      <c r="D83" s="1" t="s">
        <v>503</v>
      </c>
      <c r="E83" s="1" t="s">
        <v>504</v>
      </c>
      <c r="F83" s="1" t="s">
        <v>505</v>
      </c>
      <c r="G83" s="1" t="s">
        <v>15</v>
      </c>
      <c r="H83" s="2" t="s">
        <v>506</v>
      </c>
      <c r="I83" s="3" t="str">
        <f>IFERROR(__xludf.DUMMYFUNCTION("IF(A83="""", """", IFS(REGEXMATCH(LOWER(A83), ""barbearia|barber""), ""Barbearia"", REGEXMATCH(LOWER(A83), ""sobrancelh|c[ií]lio|lash|micropigment|showbrancelhas""), ""Sobrancelhas e Cílios"", REGEXMATCH(LOWER(A83), ""maquia|make""), ""Maquiagem"", REGEXM"&amp;"ATCH(LOWER(A83), ""depil|epil""), ""Depilação"", REGEXMATCH(LOWER(A83), ""esmalteria|unha|nail|manicur|spa dos p[eé]s|kauu_nhas""), ""Manicure - Esmalteria"", REGEXMATCH(LOWER(A83), ""est[eé]tic|bronze|massot|terap|pilates|revitalize|dra""), ""Clínica de "&amp;"Estética"", TRUE, ""Salão de Beleza""))"),"Clínica de Estética")</f>
        <v>Clínica de Estética</v>
      </c>
    </row>
    <row r="84">
      <c r="A84" s="1" t="s">
        <v>507</v>
      </c>
      <c r="D84" s="1" t="s">
        <v>508</v>
      </c>
      <c r="E84" s="1" t="s">
        <v>509</v>
      </c>
      <c r="F84" s="1" t="s">
        <v>510</v>
      </c>
      <c r="G84" s="1" t="s">
        <v>15</v>
      </c>
      <c r="H84" s="2" t="s">
        <v>511</v>
      </c>
      <c r="I84" s="3" t="str">
        <f>IFERROR(__xludf.DUMMYFUNCTION("IF(A84="""", """", IFS(REGEXMATCH(LOWER(A84), ""barbearia|barber""), ""Barbearia"", REGEXMATCH(LOWER(A84), ""sobrancelh|c[ií]lio|lash|micropigment|showbrancelhas""), ""Sobrancelhas e Cílios"", REGEXMATCH(LOWER(A84), ""maquia|make""), ""Maquiagem"", REGEXM"&amp;"ATCH(LOWER(A84), ""depil|epil""), ""Depilação"", REGEXMATCH(LOWER(A84), ""esmalteria|unha|nail|manicur|spa dos p[eé]s|kauu_nhas""), ""Manicure - Esmalteria"", REGEXMATCH(LOWER(A84), ""est[eé]tic|bronze|massot|terap|pilates|revitalize|dra""), ""Clínica de "&amp;"Estética"", TRUE, ""Salão de Beleza""))"),"Salão de Beleza")</f>
        <v>Salão de Beleza</v>
      </c>
    </row>
    <row r="85">
      <c r="A85" s="1" t="s">
        <v>512</v>
      </c>
      <c r="B85" s="1" t="s">
        <v>379</v>
      </c>
      <c r="C85" s="1" t="s">
        <v>380</v>
      </c>
      <c r="D85" s="1" t="s">
        <v>513</v>
      </c>
      <c r="E85" s="1" t="s">
        <v>514</v>
      </c>
      <c r="F85" s="1" t="s">
        <v>515</v>
      </c>
      <c r="G85" s="1" t="s">
        <v>15</v>
      </c>
      <c r="H85" s="2" t="s">
        <v>516</v>
      </c>
      <c r="I85" s="3" t="str">
        <f>IFERROR(__xludf.DUMMYFUNCTION("IF(A85="""", """", IFS(REGEXMATCH(LOWER(A85), ""barbearia|barber""), ""Barbearia"", REGEXMATCH(LOWER(A85), ""sobrancelh|c[ií]lio|lash|micropigment|showbrancelhas""), ""Sobrancelhas e Cílios"", REGEXMATCH(LOWER(A85), ""maquia|make""), ""Maquiagem"", REGEXM"&amp;"ATCH(LOWER(A85), ""depil|epil""), ""Depilação"", REGEXMATCH(LOWER(A85), ""esmalteria|unha|nail|manicur|spa dos p[eé]s|kauu_nhas""), ""Manicure - Esmalteria"", REGEXMATCH(LOWER(A85), ""est[eé]tic|bronze|massot|terap|pilates|revitalize|dra""), ""Clínica de "&amp;"Estética"", TRUE, ""Salão de Beleza""))"),"Manicure - Esmalteria")</f>
        <v>Manicure - Esmalteria</v>
      </c>
    </row>
    <row r="86">
      <c r="A86" s="1" t="s">
        <v>517</v>
      </c>
      <c r="D86" s="1" t="s">
        <v>518</v>
      </c>
      <c r="E86" s="1" t="s">
        <v>519</v>
      </c>
      <c r="F86" s="1" t="s">
        <v>520</v>
      </c>
      <c r="G86" s="1" t="s">
        <v>15</v>
      </c>
      <c r="H86" s="2" t="s">
        <v>521</v>
      </c>
      <c r="I86" s="3" t="str">
        <f>IFERROR(__xludf.DUMMYFUNCTION("IF(A86="""", """", IFS(REGEXMATCH(LOWER(A86), ""barbearia|barber""), ""Barbearia"", REGEXMATCH(LOWER(A86), ""sobrancelh|c[ií]lio|lash|micropigment|showbrancelhas""), ""Sobrancelhas e Cílios"", REGEXMATCH(LOWER(A86), ""maquia|make""), ""Maquiagem"", REGEXM"&amp;"ATCH(LOWER(A86), ""depil|epil""), ""Depilação"", REGEXMATCH(LOWER(A86), ""esmalteria|unha|nail|manicur|spa dos p[eé]s|kauu_nhas""), ""Manicure - Esmalteria"", REGEXMATCH(LOWER(A86), ""est[eé]tic|bronze|massot|terap|pilates|revitalize|dra""), ""Clínica de "&amp;"Estética"", TRUE, ""Salão de Beleza""))"),"Salão de Beleza")</f>
        <v>Salão de Beleza</v>
      </c>
    </row>
    <row r="87">
      <c r="A87" s="1" t="s">
        <v>522</v>
      </c>
      <c r="D87" s="1" t="s">
        <v>523</v>
      </c>
      <c r="E87" s="1" t="s">
        <v>524</v>
      </c>
      <c r="F87" s="1" t="s">
        <v>525</v>
      </c>
      <c r="G87" s="1" t="s">
        <v>15</v>
      </c>
      <c r="H87" s="2" t="s">
        <v>526</v>
      </c>
      <c r="I87" s="3" t="str">
        <f>IFERROR(__xludf.DUMMYFUNCTION("IF(A87="""", """", IFS(REGEXMATCH(LOWER(A87), ""barbearia|barber""), ""Barbearia"", REGEXMATCH(LOWER(A87), ""sobrancelh|c[ií]lio|lash|micropigment|showbrancelhas""), ""Sobrancelhas e Cílios"", REGEXMATCH(LOWER(A87), ""maquia|make""), ""Maquiagem"", REGEXM"&amp;"ATCH(LOWER(A87), ""depil|epil""), ""Depilação"", REGEXMATCH(LOWER(A87), ""esmalteria|unha|nail|manicur|spa dos p[eé]s|kauu_nhas""), ""Manicure - Esmalteria"", REGEXMATCH(LOWER(A87), ""est[eé]tic|bronze|massot|terap|pilates|revitalize|dra""), ""Clínica de "&amp;"Estética"", TRUE, ""Salão de Beleza""))"),"Salão de Beleza")</f>
        <v>Salão de Beleza</v>
      </c>
    </row>
    <row r="88">
      <c r="A88" s="1" t="s">
        <v>527</v>
      </c>
      <c r="D88" s="1" t="s">
        <v>528</v>
      </c>
      <c r="E88" s="1" t="s">
        <v>529</v>
      </c>
      <c r="F88" s="1" t="s">
        <v>530</v>
      </c>
      <c r="G88" s="1" t="s">
        <v>15</v>
      </c>
      <c r="H88" s="2" t="s">
        <v>531</v>
      </c>
      <c r="I88" s="3" t="str">
        <f>IFERROR(__xludf.DUMMYFUNCTION("IF(A88="""", """", IFS(REGEXMATCH(LOWER(A88), ""barbearia|barber""), ""Barbearia"", REGEXMATCH(LOWER(A88), ""sobrancelh|c[ií]lio|lash|micropigment|showbrancelhas""), ""Sobrancelhas e Cílios"", REGEXMATCH(LOWER(A88), ""maquia|make""), ""Maquiagem"", REGEXM"&amp;"ATCH(LOWER(A88), ""depil|epil""), ""Depilação"", REGEXMATCH(LOWER(A88), ""esmalteria|unha|nail|manicur|spa dos p[eé]s|kauu_nhas""), ""Manicure - Esmalteria"", REGEXMATCH(LOWER(A88), ""est[eé]tic|bronze|massot|terap|pilates|revitalize|dra""), ""Clínica de "&amp;"Estética"", TRUE, ""Salão de Beleza""))"),"Manicure - Esmalteria")</f>
        <v>Manicure - Esmalteria</v>
      </c>
    </row>
    <row r="89">
      <c r="A89" s="1" t="s">
        <v>532</v>
      </c>
      <c r="D89" s="1" t="s">
        <v>533</v>
      </c>
      <c r="E89" s="1" t="s">
        <v>534</v>
      </c>
      <c r="F89" s="1" t="s">
        <v>535</v>
      </c>
      <c r="G89" s="1" t="s">
        <v>15</v>
      </c>
      <c r="H89" s="2" t="s">
        <v>536</v>
      </c>
      <c r="I89" s="3" t="str">
        <f>IFERROR(__xludf.DUMMYFUNCTION("IF(A89="""", """", IFS(REGEXMATCH(LOWER(A89), ""barbearia|barber""), ""Barbearia"", REGEXMATCH(LOWER(A89), ""sobrancelh|c[ií]lio|lash|micropigment|showbrancelhas""), ""Sobrancelhas e Cílios"", REGEXMATCH(LOWER(A89), ""maquia|make""), ""Maquiagem"", REGEXM"&amp;"ATCH(LOWER(A89), ""depil|epil""), ""Depilação"", REGEXMATCH(LOWER(A89), ""esmalteria|unha|nail|manicur|spa dos p[eé]s|kauu_nhas""), ""Manicure - Esmalteria"", REGEXMATCH(LOWER(A89), ""est[eé]tic|bronze|massot|terap|pilates|revitalize|dra""), ""Clínica de "&amp;"Estética"", TRUE, ""Salão de Beleza""))"),"Manicure - Esmalteria")</f>
        <v>Manicure - Esmalteria</v>
      </c>
    </row>
    <row r="90">
      <c r="A90" s="1" t="s">
        <v>537</v>
      </c>
      <c r="D90" s="1" t="s">
        <v>538</v>
      </c>
      <c r="E90" s="1" t="s">
        <v>539</v>
      </c>
      <c r="F90" s="1" t="s">
        <v>540</v>
      </c>
      <c r="G90" s="1" t="s">
        <v>15</v>
      </c>
      <c r="H90" s="2" t="s">
        <v>541</v>
      </c>
      <c r="I90" s="3" t="str">
        <f>IFERROR(__xludf.DUMMYFUNCTION("IF(A90="""", """", IFS(REGEXMATCH(LOWER(A90), ""barbearia|barber""), ""Barbearia"", REGEXMATCH(LOWER(A90), ""sobrancelh|c[ií]lio|lash|micropigment|showbrancelhas""), ""Sobrancelhas e Cílios"", REGEXMATCH(LOWER(A90), ""maquia|make""), ""Maquiagem"", REGEXM"&amp;"ATCH(LOWER(A90), ""depil|epil""), ""Depilação"", REGEXMATCH(LOWER(A90), ""esmalteria|unha|nail|manicur|spa dos p[eé]s|kauu_nhas""), ""Manicure - Esmalteria"", REGEXMATCH(LOWER(A90), ""est[eé]tic|bronze|massot|terap|pilates|revitalize|dra""), ""Clínica de "&amp;"Estética"", TRUE, ""Salão de Beleza""))"),"Manicure - Esmalteria")</f>
        <v>Manicure - Esmalteria</v>
      </c>
    </row>
    <row r="91">
      <c r="A91" s="1" t="s">
        <v>542</v>
      </c>
      <c r="B91" s="1" t="s">
        <v>543</v>
      </c>
      <c r="C91" s="1" t="s">
        <v>544</v>
      </c>
      <c r="D91" s="1" t="s">
        <v>545</v>
      </c>
      <c r="E91" s="1" t="s">
        <v>546</v>
      </c>
      <c r="F91" s="1" t="s">
        <v>547</v>
      </c>
      <c r="G91" s="1" t="s">
        <v>15</v>
      </c>
      <c r="H91" s="2" t="s">
        <v>548</v>
      </c>
      <c r="I91" s="3" t="str">
        <f>IFERROR(__xludf.DUMMYFUNCTION("IF(A91="""", """", IFS(REGEXMATCH(LOWER(A91), ""barbearia|barber""), ""Barbearia"", REGEXMATCH(LOWER(A91), ""sobrancelh|c[ií]lio|lash|micropigment|showbrancelhas""), ""Sobrancelhas e Cílios"", REGEXMATCH(LOWER(A91), ""maquia|make""), ""Maquiagem"", REGEXM"&amp;"ATCH(LOWER(A91), ""depil|epil""), ""Depilação"", REGEXMATCH(LOWER(A91), ""esmalteria|unha|nail|manicur|spa dos p[eé]s|kauu_nhas""), ""Manicure - Esmalteria"", REGEXMATCH(LOWER(A91), ""est[eé]tic|bronze|massot|terap|pilates|revitalize|dra""), ""Clínica de "&amp;"Estética"", TRUE, ""Salão de Beleza""))"),"Salão de Beleza")</f>
        <v>Salão de Beleza</v>
      </c>
    </row>
    <row r="92">
      <c r="A92" s="1" t="s">
        <v>549</v>
      </c>
      <c r="B92" s="1" t="s">
        <v>550</v>
      </c>
      <c r="C92" s="1" t="s">
        <v>551</v>
      </c>
      <c r="D92" s="1" t="s">
        <v>261</v>
      </c>
      <c r="E92" s="1" t="s">
        <v>552</v>
      </c>
      <c r="F92" s="1" t="s">
        <v>553</v>
      </c>
      <c r="G92" s="1" t="s">
        <v>15</v>
      </c>
      <c r="H92" s="2" t="s">
        <v>554</v>
      </c>
      <c r="I92" s="3" t="str">
        <f>IFERROR(__xludf.DUMMYFUNCTION("IF(A92="""", """", IFS(REGEXMATCH(LOWER(A92), ""barbearia|barber""), ""Barbearia"", REGEXMATCH(LOWER(A92), ""sobrancelh|c[ií]lio|lash|micropigment|showbrancelhas""), ""Sobrancelhas e Cílios"", REGEXMATCH(LOWER(A92), ""maquia|make""), ""Maquiagem"", REGEXM"&amp;"ATCH(LOWER(A92), ""depil|epil""), ""Depilação"", REGEXMATCH(LOWER(A92), ""esmalteria|unha|nail|manicur|spa dos p[eé]s|kauu_nhas""), ""Manicure - Esmalteria"", REGEXMATCH(LOWER(A92), ""est[eé]tic|bronze|massot|terap|pilates|revitalize|dra""), ""Clínica de "&amp;"Estética"", TRUE, ""Salão de Beleza""))"),"Depilação")</f>
        <v>Depilação</v>
      </c>
    </row>
    <row r="93">
      <c r="A93" s="1" t="s">
        <v>555</v>
      </c>
      <c r="D93" s="1" t="s">
        <v>556</v>
      </c>
      <c r="E93" s="1" t="s">
        <v>557</v>
      </c>
      <c r="F93" s="1" t="s">
        <v>558</v>
      </c>
      <c r="G93" s="1" t="s">
        <v>15</v>
      </c>
      <c r="H93" s="2" t="s">
        <v>559</v>
      </c>
      <c r="I93" s="3" t="str">
        <f>IFERROR(__xludf.DUMMYFUNCTION("IF(A93="""", """", IFS(REGEXMATCH(LOWER(A93), ""barbearia|barber""), ""Barbearia"", REGEXMATCH(LOWER(A93), ""sobrancelh|c[ií]lio|lash|micropigment|showbrancelhas""), ""Sobrancelhas e Cílios"", REGEXMATCH(LOWER(A93), ""maquia|make""), ""Maquiagem"", REGEXM"&amp;"ATCH(LOWER(A93), ""depil|epil""), ""Depilação"", REGEXMATCH(LOWER(A93), ""esmalteria|unha|nail|manicur|spa dos p[eé]s|kauu_nhas""), ""Manicure - Esmalteria"", REGEXMATCH(LOWER(A93), ""est[eé]tic|bronze|massot|terap|pilates|revitalize|dra""), ""Clínica de "&amp;"Estética"", TRUE, ""Salão de Beleza""))"),"Manicure - Esmalteria")</f>
        <v>Manicure - Esmalteria</v>
      </c>
    </row>
    <row r="94">
      <c r="A94" s="1" t="s">
        <v>560</v>
      </c>
      <c r="D94" s="1" t="s">
        <v>561</v>
      </c>
      <c r="E94" s="1" t="s">
        <v>562</v>
      </c>
      <c r="F94" s="1" t="s">
        <v>563</v>
      </c>
      <c r="G94" s="1" t="s">
        <v>15</v>
      </c>
      <c r="H94" s="2" t="s">
        <v>564</v>
      </c>
      <c r="I94" s="3" t="str">
        <f>IFERROR(__xludf.DUMMYFUNCTION("IF(A94="""", """", IFS(REGEXMATCH(LOWER(A94), ""barbearia|barber""), ""Barbearia"", REGEXMATCH(LOWER(A94), ""sobrancelh|c[ií]lio|lash|micropigment|showbrancelhas""), ""Sobrancelhas e Cílios"", REGEXMATCH(LOWER(A94), ""maquia|make""), ""Maquiagem"", REGEXM"&amp;"ATCH(LOWER(A94), ""depil|epil""), ""Depilação"", REGEXMATCH(LOWER(A94), ""esmalteria|unha|nail|manicur|spa dos p[eé]s|kauu_nhas""), ""Manicure - Esmalteria"", REGEXMATCH(LOWER(A94), ""est[eé]tic|bronze|massot|terap|pilates|revitalize|dra""), ""Clínica de "&amp;"Estética"", TRUE, ""Salão de Beleza""))"),"Salão de Beleza")</f>
        <v>Salão de Beleza</v>
      </c>
    </row>
    <row r="95">
      <c r="A95" s="1" t="s">
        <v>565</v>
      </c>
      <c r="D95" s="1" t="s">
        <v>566</v>
      </c>
      <c r="E95" s="1" t="s">
        <v>567</v>
      </c>
      <c r="F95" s="1" t="s">
        <v>568</v>
      </c>
      <c r="G95" s="1" t="s">
        <v>15</v>
      </c>
      <c r="H95" s="2" t="s">
        <v>569</v>
      </c>
      <c r="I95" s="3" t="str">
        <f>IFERROR(__xludf.DUMMYFUNCTION("IF(A95="""", """", IFS(REGEXMATCH(LOWER(A95), ""barbearia|barber""), ""Barbearia"", REGEXMATCH(LOWER(A95), ""sobrancelh|c[ií]lio|lash|micropigment|showbrancelhas""), ""Sobrancelhas e Cílios"", REGEXMATCH(LOWER(A95), ""maquia|make""), ""Maquiagem"", REGEXM"&amp;"ATCH(LOWER(A95), ""depil|epil""), ""Depilação"", REGEXMATCH(LOWER(A95), ""esmalteria|unha|nail|manicur|spa dos p[eé]s|kauu_nhas""), ""Manicure - Esmalteria"", REGEXMATCH(LOWER(A95), ""est[eé]tic|bronze|massot|terap|pilates|revitalize|dra""), ""Clínica de "&amp;"Estética"", TRUE, ""Salão de Beleza""))"),"Salão de Beleza")</f>
        <v>Salão de Beleza</v>
      </c>
    </row>
    <row r="96">
      <c r="A96" s="1" t="s">
        <v>570</v>
      </c>
      <c r="D96" s="1" t="s">
        <v>571</v>
      </c>
      <c r="E96" s="1" t="s">
        <v>572</v>
      </c>
      <c r="F96" s="1" t="s">
        <v>573</v>
      </c>
      <c r="G96" s="1" t="s">
        <v>15</v>
      </c>
      <c r="H96" s="2" t="s">
        <v>574</v>
      </c>
      <c r="I96" s="3" t="str">
        <f>IFERROR(__xludf.DUMMYFUNCTION("IF(A96="""", """", IFS(REGEXMATCH(LOWER(A96), ""barbearia|barber""), ""Barbearia"", REGEXMATCH(LOWER(A96), ""sobrancelh|c[ií]lio|lash|micropigment|showbrancelhas""), ""Sobrancelhas e Cílios"", REGEXMATCH(LOWER(A96), ""maquia|make""), ""Maquiagem"", REGEXM"&amp;"ATCH(LOWER(A96), ""depil|epil""), ""Depilação"", REGEXMATCH(LOWER(A96), ""esmalteria|unha|nail|manicur|spa dos p[eé]s|kauu_nhas""), ""Manicure - Esmalteria"", REGEXMATCH(LOWER(A96), ""est[eé]tic|bronze|massot|terap|pilates|revitalize|dra""), ""Clínica de "&amp;"Estética"", TRUE, ""Salão de Beleza""))"),"Manicure - Esmalteria")</f>
        <v>Manicure - Esmalteria</v>
      </c>
    </row>
    <row r="97">
      <c r="A97" s="1" t="s">
        <v>575</v>
      </c>
      <c r="D97" s="1" t="s">
        <v>576</v>
      </c>
      <c r="E97" s="1" t="s">
        <v>577</v>
      </c>
      <c r="F97" s="1" t="s">
        <v>578</v>
      </c>
      <c r="G97" s="1" t="s">
        <v>15</v>
      </c>
      <c r="H97" s="2" t="s">
        <v>579</v>
      </c>
      <c r="I97" s="3" t="str">
        <f>IFERROR(__xludf.DUMMYFUNCTION("IF(A97="""", """", IFS(REGEXMATCH(LOWER(A97), ""barbearia|barber""), ""Barbearia"", REGEXMATCH(LOWER(A97), ""sobrancelh|c[ií]lio|lash|micropigment|showbrancelhas""), ""Sobrancelhas e Cílios"", REGEXMATCH(LOWER(A97), ""maquia|make""), ""Maquiagem"", REGEXM"&amp;"ATCH(LOWER(A97), ""depil|epil""), ""Depilação"", REGEXMATCH(LOWER(A97), ""esmalteria|unha|nail|manicur|spa dos p[eé]s|kauu_nhas""), ""Manicure - Esmalteria"", REGEXMATCH(LOWER(A97), ""est[eé]tic|bronze|massot|terap|pilates|revitalize|dra""), ""Clínica de "&amp;"Estética"", TRUE, ""Salão de Beleza""))"),"Salão de Beleza")</f>
        <v>Salão de Beleza</v>
      </c>
    </row>
    <row r="98">
      <c r="A98" s="1" t="s">
        <v>580</v>
      </c>
      <c r="D98" s="1" t="s">
        <v>155</v>
      </c>
      <c r="E98" s="1" t="s">
        <v>581</v>
      </c>
      <c r="F98" s="1" t="s">
        <v>582</v>
      </c>
      <c r="G98" s="1" t="s">
        <v>15</v>
      </c>
      <c r="H98" s="2" t="s">
        <v>583</v>
      </c>
      <c r="I98" s="3" t="str">
        <f>IFERROR(__xludf.DUMMYFUNCTION("IF(A98="""", """", IFS(REGEXMATCH(LOWER(A98), ""barbearia|barber""), ""Barbearia"", REGEXMATCH(LOWER(A98), ""sobrancelh|c[ií]lio|lash|micropigment|showbrancelhas""), ""Sobrancelhas e Cílios"", REGEXMATCH(LOWER(A98), ""maquia|make""), ""Maquiagem"", REGEXM"&amp;"ATCH(LOWER(A98), ""depil|epil""), ""Depilação"", REGEXMATCH(LOWER(A98), ""esmalteria|unha|nail|manicur|spa dos p[eé]s|kauu_nhas""), ""Manicure - Esmalteria"", REGEXMATCH(LOWER(A98), ""est[eé]tic|bronze|massot|terap|pilates|revitalize|dra""), ""Clínica de "&amp;"Estética"", TRUE, ""Salão de Beleza""))"),"Salão de Beleza")</f>
        <v>Salão de Beleza</v>
      </c>
    </row>
    <row r="99">
      <c r="A99" s="1" t="s">
        <v>584</v>
      </c>
      <c r="B99" s="1" t="s">
        <v>585</v>
      </c>
      <c r="C99" s="1" t="s">
        <v>586</v>
      </c>
      <c r="D99" s="1" t="s">
        <v>587</v>
      </c>
      <c r="E99" s="1" t="s">
        <v>588</v>
      </c>
      <c r="F99" s="1" t="s">
        <v>589</v>
      </c>
      <c r="G99" s="1" t="s">
        <v>15</v>
      </c>
      <c r="H99" s="2" t="s">
        <v>590</v>
      </c>
      <c r="I99" s="3" t="str">
        <f>IFERROR(__xludf.DUMMYFUNCTION("IF(A99="""", """", IFS(REGEXMATCH(LOWER(A99), ""barbearia|barber""), ""Barbearia"", REGEXMATCH(LOWER(A99), ""sobrancelh|c[ií]lio|lash|micropigment|showbrancelhas""), ""Sobrancelhas e Cílios"", REGEXMATCH(LOWER(A99), ""maquia|make""), ""Maquiagem"", REGEXM"&amp;"ATCH(LOWER(A99), ""depil|epil""), ""Depilação"", REGEXMATCH(LOWER(A99), ""esmalteria|unha|nail|manicur|spa dos p[eé]s|kauu_nhas""), ""Manicure - Esmalteria"", REGEXMATCH(LOWER(A99), ""est[eé]tic|bronze|massot|terap|pilates|revitalize|dra""), ""Clínica de "&amp;"Estética"", TRUE, ""Salão de Beleza""))"),"Salão de Beleza")</f>
        <v>Salão de Beleza</v>
      </c>
    </row>
    <row r="100">
      <c r="A100" s="1" t="s">
        <v>591</v>
      </c>
      <c r="D100" s="1" t="s">
        <v>592</v>
      </c>
      <c r="E100" s="1" t="s">
        <v>593</v>
      </c>
      <c r="F100" s="1" t="s">
        <v>594</v>
      </c>
      <c r="G100" s="1" t="s">
        <v>15</v>
      </c>
      <c r="H100" s="2" t="s">
        <v>595</v>
      </c>
      <c r="I100" s="3" t="str">
        <f>IFERROR(__xludf.DUMMYFUNCTION("IF(A100="""", """", IFS(REGEXMATCH(LOWER(A100), ""barbearia|barber""), ""Barbearia"", REGEXMATCH(LOWER(A100), ""sobrancelh|c[ií]lio|lash|micropigment|showbrancelhas""), ""Sobrancelhas e Cílios"", REGEXMATCH(LOWER(A100), ""maquia|make""), ""Maquiagem"", RE"&amp;"GEXMATCH(LOWER(A100), ""depil|epil""), ""Depilação"", REGEXMATCH(LOWER(A100), ""esmalteria|unha|nail|manicur|spa dos p[eé]s|kauu_nhas""), ""Manicure - Esmalteria"", REGEXMATCH(LOWER(A100), ""est[eé]tic|bronze|massot|terap|pilates|revitalize|dra""), ""Clín"&amp;"ica de Estética"", TRUE, ""Salão de Beleza""))"),"Manicure - Esmalteria")</f>
        <v>Manicure - Esmalteria</v>
      </c>
    </row>
    <row r="101">
      <c r="A101" s="1" t="s">
        <v>596</v>
      </c>
      <c r="B101" s="1" t="s">
        <v>597</v>
      </c>
      <c r="C101" s="1" t="s">
        <v>598</v>
      </c>
      <c r="D101" s="1" t="s">
        <v>599</v>
      </c>
      <c r="E101" s="1" t="s">
        <v>600</v>
      </c>
      <c r="F101" s="1" t="s">
        <v>601</v>
      </c>
      <c r="G101" s="1" t="s">
        <v>15</v>
      </c>
      <c r="H101" s="2" t="s">
        <v>602</v>
      </c>
      <c r="I101" s="3" t="str">
        <f>IFERROR(__xludf.DUMMYFUNCTION("IF(A101="""", """", IFS(REGEXMATCH(LOWER(A101), ""barbearia|barber""), ""Barbearia"", REGEXMATCH(LOWER(A101), ""sobrancelh|c[ií]lio|lash|micropigment|showbrancelhas""), ""Sobrancelhas e Cílios"", REGEXMATCH(LOWER(A101), ""maquia|make""), ""Maquiagem"", RE"&amp;"GEXMATCH(LOWER(A101), ""depil|epil""), ""Depilação"", REGEXMATCH(LOWER(A101), ""esmalteria|unha|nail|manicur|spa dos p[eé]s|kauu_nhas""), ""Manicure - Esmalteria"", REGEXMATCH(LOWER(A101), ""est[eé]tic|bronze|massot|terap|pilates|revitalize|dra""), ""Clín"&amp;"ica de Estética"", TRUE, ""Salão de Beleza""))"),"Barbearia")</f>
        <v>Barbearia</v>
      </c>
    </row>
    <row r="102">
      <c r="A102" s="1" t="s">
        <v>603</v>
      </c>
      <c r="D102" s="1" t="s">
        <v>604</v>
      </c>
      <c r="E102" s="1" t="s">
        <v>605</v>
      </c>
      <c r="F102" s="1" t="s">
        <v>606</v>
      </c>
      <c r="G102" s="1" t="s">
        <v>15</v>
      </c>
      <c r="H102" s="2" t="s">
        <v>607</v>
      </c>
      <c r="I102" s="3" t="str">
        <f>IFERROR(__xludf.DUMMYFUNCTION("IF(A102="""", """", IFS(REGEXMATCH(LOWER(A102), ""barbearia|barber""), ""Barbearia"", REGEXMATCH(LOWER(A102), ""sobrancelh|c[ií]lio|lash|micropigment|showbrancelhas""), ""Sobrancelhas e Cílios"", REGEXMATCH(LOWER(A102), ""maquia|make""), ""Maquiagem"", RE"&amp;"GEXMATCH(LOWER(A102), ""depil|epil""), ""Depilação"", REGEXMATCH(LOWER(A102), ""esmalteria|unha|nail|manicur|spa dos p[eé]s|kauu_nhas""), ""Manicure - Esmalteria"", REGEXMATCH(LOWER(A102), ""est[eé]tic|bronze|massot|terap|pilates|revitalize|dra""), ""Clín"&amp;"ica de Estética"", TRUE, ""Salão de Beleza""))"),"Salão de Beleza")</f>
        <v>Salão de Beleza</v>
      </c>
    </row>
    <row r="103">
      <c r="A103" s="1" t="s">
        <v>608</v>
      </c>
      <c r="B103" s="1" t="s">
        <v>609</v>
      </c>
      <c r="C103" s="1" t="s">
        <v>610</v>
      </c>
      <c r="D103" s="1" t="s">
        <v>611</v>
      </c>
      <c r="E103" s="1" t="s">
        <v>612</v>
      </c>
      <c r="F103" s="1" t="s">
        <v>613</v>
      </c>
      <c r="G103" s="1" t="s">
        <v>15</v>
      </c>
      <c r="H103" s="2" t="s">
        <v>614</v>
      </c>
      <c r="I103" s="3" t="str">
        <f>IFERROR(__xludf.DUMMYFUNCTION("IF(A103="""", """", IFS(REGEXMATCH(LOWER(A103), ""barbearia|barber""), ""Barbearia"", REGEXMATCH(LOWER(A103), ""sobrancelh|c[ií]lio|lash|micropigment|showbrancelhas""), ""Sobrancelhas e Cílios"", REGEXMATCH(LOWER(A103), ""maquia|make""), ""Maquiagem"", RE"&amp;"GEXMATCH(LOWER(A103), ""depil|epil""), ""Depilação"", REGEXMATCH(LOWER(A103), ""esmalteria|unha|nail|manicur|spa dos p[eé]s|kauu_nhas""), ""Manicure - Esmalteria"", REGEXMATCH(LOWER(A103), ""est[eé]tic|bronze|massot|terap|pilates|revitalize|dra""), ""Clín"&amp;"ica de Estética"", TRUE, ""Salão de Beleza""))"),"Sobrancelhas e Cílios")</f>
        <v>Sobrancelhas e Cílios</v>
      </c>
    </row>
    <row r="104">
      <c r="A104" s="1" t="s">
        <v>615</v>
      </c>
      <c r="D104" s="1" t="s">
        <v>616</v>
      </c>
      <c r="E104" s="1" t="s">
        <v>617</v>
      </c>
      <c r="F104" s="1" t="s">
        <v>618</v>
      </c>
      <c r="G104" s="1" t="s">
        <v>15</v>
      </c>
      <c r="H104" s="2" t="s">
        <v>619</v>
      </c>
      <c r="I104" s="3" t="str">
        <f>IFERROR(__xludf.DUMMYFUNCTION("IF(A104="""", """", IFS(REGEXMATCH(LOWER(A104), ""barbearia|barber""), ""Barbearia"", REGEXMATCH(LOWER(A104), ""sobrancelh|c[ií]lio|lash|micropigment|showbrancelhas""), ""Sobrancelhas e Cílios"", REGEXMATCH(LOWER(A104), ""maquia|make""), ""Maquiagem"", RE"&amp;"GEXMATCH(LOWER(A104), ""depil|epil""), ""Depilação"", REGEXMATCH(LOWER(A104), ""esmalteria|unha|nail|manicur|spa dos p[eé]s|kauu_nhas""), ""Manicure - Esmalteria"", REGEXMATCH(LOWER(A104), ""est[eé]tic|bronze|massot|terap|pilates|revitalize|dra""), ""Clín"&amp;"ica de Estética"", TRUE, ""Salão de Beleza""))"),"Salão de Beleza")</f>
        <v>Salão de Beleza</v>
      </c>
    </row>
    <row r="105">
      <c r="A105" s="1" t="s">
        <v>620</v>
      </c>
      <c r="B105" s="1" t="s">
        <v>621</v>
      </c>
      <c r="C105" s="1" t="s">
        <v>622</v>
      </c>
      <c r="D105" s="1" t="s">
        <v>623</v>
      </c>
      <c r="E105" s="1" t="s">
        <v>624</v>
      </c>
      <c r="F105" s="1" t="s">
        <v>625</v>
      </c>
      <c r="G105" s="1" t="s">
        <v>15</v>
      </c>
      <c r="H105" s="2" t="s">
        <v>626</v>
      </c>
      <c r="I105" s="3" t="str">
        <f>IFERROR(__xludf.DUMMYFUNCTION("IF(A105="""", """", IFS(REGEXMATCH(LOWER(A105), ""barbearia|barber""), ""Barbearia"", REGEXMATCH(LOWER(A105), ""sobrancelh|c[ií]lio|lash|micropigment|showbrancelhas""), ""Sobrancelhas e Cílios"", REGEXMATCH(LOWER(A105), ""maquia|make""), ""Maquiagem"", RE"&amp;"GEXMATCH(LOWER(A105), ""depil|epil""), ""Depilação"", REGEXMATCH(LOWER(A105), ""esmalteria|unha|nail|manicur|spa dos p[eé]s|kauu_nhas""), ""Manicure - Esmalteria"", REGEXMATCH(LOWER(A105), ""est[eé]tic|bronze|massot|terap|pilates|revitalize|dra""), ""Clín"&amp;"ica de Estética"", TRUE, ""Salão de Beleza""))"),"Salão de Beleza")</f>
        <v>Salão de Beleza</v>
      </c>
    </row>
    <row r="106">
      <c r="A106" s="1" t="s">
        <v>627</v>
      </c>
      <c r="D106" s="1" t="s">
        <v>628</v>
      </c>
      <c r="E106" s="1" t="s">
        <v>629</v>
      </c>
      <c r="F106" s="1" t="s">
        <v>630</v>
      </c>
      <c r="G106" s="1" t="s">
        <v>15</v>
      </c>
      <c r="H106" s="2" t="s">
        <v>631</v>
      </c>
      <c r="I106" s="3" t="str">
        <f>IFERROR(__xludf.DUMMYFUNCTION("IF(A106="""", """", IFS(REGEXMATCH(LOWER(A106), ""barbearia|barber""), ""Barbearia"", REGEXMATCH(LOWER(A106), ""sobrancelh|c[ií]lio|lash|micropigment|showbrancelhas""), ""Sobrancelhas e Cílios"", REGEXMATCH(LOWER(A106), ""maquia|make""), ""Maquiagem"", RE"&amp;"GEXMATCH(LOWER(A106), ""depil|epil""), ""Depilação"", REGEXMATCH(LOWER(A106), ""esmalteria|unha|nail|manicur|spa dos p[eé]s|kauu_nhas""), ""Manicure - Esmalteria"", REGEXMATCH(LOWER(A106), ""est[eé]tic|bronze|massot|terap|pilates|revitalize|dra""), ""Clín"&amp;"ica de Estética"", TRUE, ""Salão de Beleza""))"),"Depilação")</f>
        <v>Depilação</v>
      </c>
    </row>
    <row r="107">
      <c r="A107" s="1" t="s">
        <v>632</v>
      </c>
      <c r="D107" s="1" t="s">
        <v>633</v>
      </c>
      <c r="E107" s="1" t="s">
        <v>634</v>
      </c>
      <c r="F107" s="1" t="s">
        <v>635</v>
      </c>
      <c r="G107" s="1" t="s">
        <v>15</v>
      </c>
      <c r="H107" s="2" t="s">
        <v>636</v>
      </c>
      <c r="I107" s="3" t="str">
        <f>IFERROR(__xludf.DUMMYFUNCTION("IF(A107="""", """", IFS(REGEXMATCH(LOWER(A107), ""barbearia|barber""), ""Barbearia"", REGEXMATCH(LOWER(A107), ""sobrancelh|c[ií]lio|lash|micropigment|showbrancelhas""), ""Sobrancelhas e Cílios"", REGEXMATCH(LOWER(A107), ""maquia|make""), ""Maquiagem"", RE"&amp;"GEXMATCH(LOWER(A107), ""depil|epil""), ""Depilação"", REGEXMATCH(LOWER(A107), ""esmalteria|unha|nail|manicur|spa dos p[eé]s|kauu_nhas""), ""Manicure - Esmalteria"", REGEXMATCH(LOWER(A107), ""est[eé]tic|bronze|massot|terap|pilates|revitalize|dra""), ""Clín"&amp;"ica de Estética"", TRUE, ""Salão de Beleza""))"),"Salão de Beleza")</f>
        <v>Salão de Beleza</v>
      </c>
    </row>
    <row r="108">
      <c r="A108" s="1" t="s">
        <v>637</v>
      </c>
      <c r="B108" s="1" t="s">
        <v>638</v>
      </c>
      <c r="C108" s="1" t="s">
        <v>639</v>
      </c>
      <c r="D108" s="1" t="s">
        <v>640</v>
      </c>
      <c r="E108" s="1" t="s">
        <v>641</v>
      </c>
      <c r="F108" s="1" t="s">
        <v>642</v>
      </c>
      <c r="G108" s="1" t="s">
        <v>15</v>
      </c>
      <c r="H108" s="2" t="s">
        <v>643</v>
      </c>
      <c r="I108" s="3" t="str">
        <f>IFERROR(__xludf.DUMMYFUNCTION("IF(A108="""", """", IFS(REGEXMATCH(LOWER(A108), ""barbearia|barber""), ""Barbearia"", REGEXMATCH(LOWER(A108), ""sobrancelh|c[ií]lio|lash|micropigment|showbrancelhas""), ""Sobrancelhas e Cílios"", REGEXMATCH(LOWER(A108), ""maquia|make""), ""Maquiagem"", RE"&amp;"GEXMATCH(LOWER(A108), ""depil|epil""), ""Depilação"", REGEXMATCH(LOWER(A108), ""esmalteria|unha|nail|manicur|spa dos p[eé]s|kauu_nhas""), ""Manicure - Esmalteria"", REGEXMATCH(LOWER(A108), ""est[eé]tic|bronze|massot|terap|pilates|revitalize|dra""), ""Clín"&amp;"ica de Estética"", TRUE, ""Salão de Beleza""))"),"Barbearia")</f>
        <v>Barbearia</v>
      </c>
    </row>
    <row r="109">
      <c r="A109" s="1" t="s">
        <v>644</v>
      </c>
      <c r="B109" s="1" t="s">
        <v>645</v>
      </c>
      <c r="C109" s="1" t="s">
        <v>646</v>
      </c>
      <c r="D109" s="1" t="s">
        <v>647</v>
      </c>
      <c r="E109" s="1" t="s">
        <v>648</v>
      </c>
      <c r="F109" s="1" t="s">
        <v>649</v>
      </c>
      <c r="G109" s="1" t="s">
        <v>15</v>
      </c>
      <c r="H109" s="2" t="s">
        <v>650</v>
      </c>
      <c r="I109" s="3" t="str">
        <f>IFERROR(__xludf.DUMMYFUNCTION("IF(A109="""", """", IFS(REGEXMATCH(LOWER(A109), ""barbearia|barber""), ""Barbearia"", REGEXMATCH(LOWER(A109), ""sobrancelh|c[ií]lio|lash|micropigment|showbrancelhas""), ""Sobrancelhas e Cílios"", REGEXMATCH(LOWER(A109), ""maquia|make""), ""Maquiagem"", RE"&amp;"GEXMATCH(LOWER(A109), ""depil|epil""), ""Depilação"", REGEXMATCH(LOWER(A109), ""esmalteria|unha|nail|manicur|spa dos p[eé]s|kauu_nhas""), ""Manicure - Esmalteria"", REGEXMATCH(LOWER(A109), ""est[eé]tic|bronze|massot|terap|pilates|revitalize|dra""), ""Clín"&amp;"ica de Estética"", TRUE, ""Salão de Beleza""))"),"Salão de Beleza")</f>
        <v>Salão de Beleza</v>
      </c>
    </row>
    <row r="110">
      <c r="A110" s="1" t="s">
        <v>651</v>
      </c>
      <c r="D110" s="1" t="s">
        <v>652</v>
      </c>
      <c r="E110" s="1" t="s">
        <v>653</v>
      </c>
      <c r="F110" s="1" t="s">
        <v>654</v>
      </c>
      <c r="G110" s="1" t="s">
        <v>15</v>
      </c>
      <c r="H110" s="2" t="s">
        <v>655</v>
      </c>
      <c r="I110" s="3" t="str">
        <f>IFERROR(__xludf.DUMMYFUNCTION("IF(A110="""", """", IFS(REGEXMATCH(LOWER(A110), ""barbearia|barber""), ""Barbearia"", REGEXMATCH(LOWER(A110), ""sobrancelh|c[ií]lio|lash|micropigment|showbrancelhas""), ""Sobrancelhas e Cílios"", REGEXMATCH(LOWER(A110), ""maquia|make""), ""Maquiagem"", RE"&amp;"GEXMATCH(LOWER(A110), ""depil|epil""), ""Depilação"", REGEXMATCH(LOWER(A110), ""esmalteria|unha|nail|manicur|spa dos p[eé]s|kauu_nhas""), ""Manicure - Esmalteria"", REGEXMATCH(LOWER(A110), ""est[eé]tic|bronze|massot|terap|pilates|revitalize|dra""), ""Clín"&amp;"ica de Estética"", TRUE, ""Salão de Beleza""))"),"Manicure - Esmalteria")</f>
        <v>Manicure - Esmalteria</v>
      </c>
    </row>
    <row r="111">
      <c r="A111" s="1" t="s">
        <v>656</v>
      </c>
      <c r="D111" s="1" t="s">
        <v>657</v>
      </c>
      <c r="E111" s="1" t="s">
        <v>658</v>
      </c>
      <c r="F111" s="1" t="s">
        <v>659</v>
      </c>
      <c r="G111" s="1" t="s">
        <v>15</v>
      </c>
      <c r="H111" s="2" t="s">
        <v>660</v>
      </c>
      <c r="I111" s="3" t="str">
        <f>IFERROR(__xludf.DUMMYFUNCTION("IF(A111="""", """", IFS(REGEXMATCH(LOWER(A111), ""barbearia|barber""), ""Barbearia"", REGEXMATCH(LOWER(A111), ""sobrancelh|c[ií]lio|lash|micropigment|showbrancelhas""), ""Sobrancelhas e Cílios"", REGEXMATCH(LOWER(A111), ""maquia|make""), ""Maquiagem"", RE"&amp;"GEXMATCH(LOWER(A111), ""depil|epil""), ""Depilação"", REGEXMATCH(LOWER(A111), ""esmalteria|unha|nail|manicur|spa dos p[eé]s|kauu_nhas""), ""Manicure - Esmalteria"", REGEXMATCH(LOWER(A111), ""est[eé]tic|bronze|massot|terap|pilates|revitalize|dra""), ""Clín"&amp;"ica de Estética"", TRUE, ""Salão de Beleza""))"),"Salão de Beleza")</f>
        <v>Salão de Beleza</v>
      </c>
    </row>
    <row r="112">
      <c r="A112" s="1" t="s">
        <v>661</v>
      </c>
      <c r="D112" s="1" t="s">
        <v>261</v>
      </c>
      <c r="E112" s="1" t="s">
        <v>662</v>
      </c>
      <c r="F112" s="1" t="s">
        <v>663</v>
      </c>
      <c r="G112" s="1" t="s">
        <v>15</v>
      </c>
      <c r="H112" s="2" t="s">
        <v>664</v>
      </c>
      <c r="I112" s="3" t="str">
        <f>IFERROR(__xludf.DUMMYFUNCTION("IF(A112="""", """", IFS(REGEXMATCH(LOWER(A112), ""barbearia|barber""), ""Barbearia"", REGEXMATCH(LOWER(A112), ""sobrancelh|c[ií]lio|lash|micropigment|showbrancelhas""), ""Sobrancelhas e Cílios"", REGEXMATCH(LOWER(A112), ""maquia|make""), ""Maquiagem"", RE"&amp;"GEXMATCH(LOWER(A112), ""depil|epil""), ""Depilação"", REGEXMATCH(LOWER(A112), ""esmalteria|unha|nail|manicur|spa dos p[eé]s|kauu_nhas""), ""Manicure - Esmalteria"", REGEXMATCH(LOWER(A112), ""est[eé]tic|bronze|massot|terap|pilates|revitalize|dra""), ""Clín"&amp;"ica de Estética"", TRUE, ""Salão de Beleza""))"),"Salão de Beleza")</f>
        <v>Salão de Beleza</v>
      </c>
    </row>
    <row r="113">
      <c r="A113" s="1" t="s">
        <v>665</v>
      </c>
      <c r="B113" s="1" t="s">
        <v>666</v>
      </c>
      <c r="C113" s="1" t="s">
        <v>667</v>
      </c>
      <c r="D113" s="1" t="s">
        <v>668</v>
      </c>
      <c r="E113" s="1" t="s">
        <v>669</v>
      </c>
      <c r="F113" s="1" t="s">
        <v>670</v>
      </c>
      <c r="G113" s="1" t="s">
        <v>15</v>
      </c>
      <c r="H113" s="2" t="s">
        <v>671</v>
      </c>
      <c r="I113" s="3" t="str">
        <f>IFERROR(__xludf.DUMMYFUNCTION("IF(A113="""", """", IFS(REGEXMATCH(LOWER(A113), ""barbearia|barber""), ""Barbearia"", REGEXMATCH(LOWER(A113), ""sobrancelh|c[ií]lio|lash|micropigment|showbrancelhas""), ""Sobrancelhas e Cílios"", REGEXMATCH(LOWER(A113), ""maquia|make""), ""Maquiagem"", RE"&amp;"GEXMATCH(LOWER(A113), ""depil|epil""), ""Depilação"", REGEXMATCH(LOWER(A113), ""esmalteria|unha|nail|manicur|spa dos p[eé]s|kauu_nhas""), ""Manicure - Esmalteria"", REGEXMATCH(LOWER(A113), ""est[eé]tic|bronze|massot|terap|pilates|revitalize|dra""), ""Clín"&amp;"ica de Estética"", TRUE, ""Salão de Beleza""))"),"Salão de Beleza")</f>
        <v>Salão de Beleza</v>
      </c>
    </row>
    <row r="114">
      <c r="A114" s="1" t="s">
        <v>672</v>
      </c>
      <c r="D114" s="1" t="s">
        <v>616</v>
      </c>
      <c r="E114" s="1" t="s">
        <v>673</v>
      </c>
      <c r="F114" s="1" t="s">
        <v>674</v>
      </c>
      <c r="G114" s="1" t="s">
        <v>15</v>
      </c>
      <c r="H114" s="2" t="s">
        <v>675</v>
      </c>
      <c r="I114" s="3" t="str">
        <f>IFERROR(__xludf.DUMMYFUNCTION("IF(A114="""", """", IFS(REGEXMATCH(LOWER(A114), ""barbearia|barber""), ""Barbearia"", REGEXMATCH(LOWER(A114), ""sobrancelh|c[ií]lio|lash|micropigment|showbrancelhas""), ""Sobrancelhas e Cílios"", REGEXMATCH(LOWER(A114), ""maquia|make""), ""Maquiagem"", RE"&amp;"GEXMATCH(LOWER(A114), ""depil|epil""), ""Depilação"", REGEXMATCH(LOWER(A114), ""esmalteria|unha|nail|manicur|spa dos p[eé]s|kauu_nhas""), ""Manicure - Esmalteria"", REGEXMATCH(LOWER(A114), ""est[eé]tic|bronze|massot|terap|pilates|revitalize|dra""), ""Clín"&amp;"ica de Estética"", TRUE, ""Salão de Beleza""))"),"Manicure - Esmalteria")</f>
        <v>Manicure - Esmalteria</v>
      </c>
    </row>
    <row r="115">
      <c r="A115" s="1" t="s">
        <v>676</v>
      </c>
      <c r="B115" s="1" t="s">
        <v>677</v>
      </c>
      <c r="C115" s="1" t="s">
        <v>678</v>
      </c>
      <c r="D115" s="1" t="s">
        <v>679</v>
      </c>
      <c r="E115" s="1" t="s">
        <v>680</v>
      </c>
      <c r="F115" s="1" t="s">
        <v>681</v>
      </c>
      <c r="G115" s="1" t="s">
        <v>15</v>
      </c>
      <c r="H115" s="2" t="s">
        <v>682</v>
      </c>
      <c r="I115" s="3" t="str">
        <f>IFERROR(__xludf.DUMMYFUNCTION("IF(A115="""", """", IFS(REGEXMATCH(LOWER(A115), ""barbearia|barber""), ""Barbearia"", REGEXMATCH(LOWER(A115), ""sobrancelh|c[ií]lio|lash|micropigment|showbrancelhas""), ""Sobrancelhas e Cílios"", REGEXMATCH(LOWER(A115), ""maquia|make""), ""Maquiagem"", RE"&amp;"GEXMATCH(LOWER(A115), ""depil|epil""), ""Depilação"", REGEXMATCH(LOWER(A115), ""esmalteria|unha|nail|manicur|spa dos p[eé]s|kauu_nhas""), ""Manicure - Esmalteria"", REGEXMATCH(LOWER(A115), ""est[eé]tic|bronze|massot|terap|pilates|revitalize|dra""), ""Clín"&amp;"ica de Estética"", TRUE, ""Salão de Beleza""))"),"Sobrancelhas e Cílios")</f>
        <v>Sobrancelhas e Cílios</v>
      </c>
    </row>
    <row r="116">
      <c r="A116" s="1" t="s">
        <v>683</v>
      </c>
      <c r="D116" s="1" t="s">
        <v>684</v>
      </c>
      <c r="E116" s="1" t="s">
        <v>685</v>
      </c>
      <c r="F116" s="1" t="s">
        <v>686</v>
      </c>
      <c r="G116" s="1" t="s">
        <v>15</v>
      </c>
      <c r="H116" s="2" t="s">
        <v>687</v>
      </c>
      <c r="I116" s="3" t="str">
        <f>IFERROR(__xludf.DUMMYFUNCTION("IF(A116="""", """", IFS(REGEXMATCH(LOWER(A116), ""barbearia|barber""), ""Barbearia"", REGEXMATCH(LOWER(A116), ""sobrancelh|c[ií]lio|lash|micropigment|showbrancelhas""), ""Sobrancelhas e Cílios"", REGEXMATCH(LOWER(A116), ""maquia|make""), ""Maquiagem"", RE"&amp;"GEXMATCH(LOWER(A116), ""depil|epil""), ""Depilação"", REGEXMATCH(LOWER(A116), ""esmalteria|unha|nail|manicur|spa dos p[eé]s|kauu_nhas""), ""Manicure - Esmalteria"", REGEXMATCH(LOWER(A116), ""est[eé]tic|bronze|massot|terap|pilates|revitalize|dra""), ""Clín"&amp;"ica de Estética"", TRUE, ""Salão de Beleza""))"),"Salão de Beleza")</f>
        <v>Salão de Beleza</v>
      </c>
    </row>
    <row r="117">
      <c r="A117" s="1" t="s">
        <v>688</v>
      </c>
      <c r="D117" s="1" t="s">
        <v>689</v>
      </c>
      <c r="E117" s="1" t="s">
        <v>690</v>
      </c>
      <c r="F117" s="1" t="s">
        <v>691</v>
      </c>
      <c r="G117" s="1" t="s">
        <v>15</v>
      </c>
      <c r="H117" s="2" t="s">
        <v>692</v>
      </c>
      <c r="I117" s="3" t="str">
        <f>IFERROR(__xludf.DUMMYFUNCTION("IF(A117="""", """", IFS(REGEXMATCH(LOWER(A117), ""barbearia|barber""), ""Barbearia"", REGEXMATCH(LOWER(A117), ""sobrancelh|c[ií]lio|lash|micropigment|showbrancelhas""), ""Sobrancelhas e Cílios"", REGEXMATCH(LOWER(A117), ""maquia|make""), ""Maquiagem"", RE"&amp;"GEXMATCH(LOWER(A117), ""depil|epil""), ""Depilação"", REGEXMATCH(LOWER(A117), ""esmalteria|unha|nail|manicur|spa dos p[eé]s|kauu_nhas""), ""Manicure - Esmalteria"", REGEXMATCH(LOWER(A117), ""est[eé]tic|bronze|massot|terap|pilates|revitalize|dra""), ""Clín"&amp;"ica de Estética"", TRUE, ""Salão de Beleza""))"),"Manicure - Esmalteria")</f>
        <v>Manicure - Esmalteria</v>
      </c>
    </row>
    <row r="118">
      <c r="A118" s="1" t="s">
        <v>693</v>
      </c>
      <c r="D118" s="1" t="s">
        <v>694</v>
      </c>
      <c r="E118" s="1" t="s">
        <v>695</v>
      </c>
      <c r="F118" s="1" t="s">
        <v>696</v>
      </c>
      <c r="G118" s="1" t="s">
        <v>15</v>
      </c>
      <c r="H118" s="2" t="s">
        <v>697</v>
      </c>
      <c r="I118" s="3" t="str">
        <f>IFERROR(__xludf.DUMMYFUNCTION("IF(A118="""", """", IFS(REGEXMATCH(LOWER(A118), ""barbearia|barber""), ""Barbearia"", REGEXMATCH(LOWER(A118), ""sobrancelh|c[ií]lio|lash|micropigment|showbrancelhas""), ""Sobrancelhas e Cílios"", REGEXMATCH(LOWER(A118), ""maquia|make""), ""Maquiagem"", RE"&amp;"GEXMATCH(LOWER(A118), ""depil|epil""), ""Depilação"", REGEXMATCH(LOWER(A118), ""esmalteria|unha|nail|manicur|spa dos p[eé]s|kauu_nhas""), ""Manicure - Esmalteria"", REGEXMATCH(LOWER(A118), ""est[eé]tic|bronze|massot|terap|pilates|revitalize|dra""), ""Clín"&amp;"ica de Estética"", TRUE, ""Salão de Beleza""))"),"Salão de Beleza")</f>
        <v>Salão de Beleza</v>
      </c>
    </row>
    <row r="119">
      <c r="A119" s="1" t="s">
        <v>698</v>
      </c>
      <c r="B119" s="1" t="s">
        <v>699</v>
      </c>
      <c r="C119" s="1" t="s">
        <v>700</v>
      </c>
      <c r="D119" s="1" t="s">
        <v>701</v>
      </c>
      <c r="E119" s="1" t="s">
        <v>702</v>
      </c>
      <c r="F119" s="1" t="s">
        <v>703</v>
      </c>
      <c r="G119" s="1" t="s">
        <v>15</v>
      </c>
      <c r="H119" s="2" t="s">
        <v>704</v>
      </c>
      <c r="I119" s="3" t="str">
        <f>IFERROR(__xludf.DUMMYFUNCTION("IF(A119="""", """", IFS(REGEXMATCH(LOWER(A119), ""barbearia|barber""), ""Barbearia"", REGEXMATCH(LOWER(A119), ""sobrancelh|c[ií]lio|lash|micropigment|showbrancelhas""), ""Sobrancelhas e Cílios"", REGEXMATCH(LOWER(A119), ""maquia|make""), ""Maquiagem"", RE"&amp;"GEXMATCH(LOWER(A119), ""depil|epil""), ""Depilação"", REGEXMATCH(LOWER(A119), ""esmalteria|unha|nail|manicur|spa dos p[eé]s|kauu_nhas""), ""Manicure - Esmalteria"", REGEXMATCH(LOWER(A119), ""est[eé]tic|bronze|massot|terap|pilates|revitalize|dra""), ""Clín"&amp;"ica de Estética"", TRUE, ""Salão de Beleza""))"),"Sobrancelhas e Cílios")</f>
        <v>Sobrancelhas e Cílios</v>
      </c>
    </row>
    <row r="120">
      <c r="A120" s="1" t="s">
        <v>705</v>
      </c>
      <c r="D120" s="1" t="s">
        <v>706</v>
      </c>
      <c r="E120" s="1" t="s">
        <v>707</v>
      </c>
      <c r="F120" s="1" t="s">
        <v>708</v>
      </c>
      <c r="G120" s="1" t="s">
        <v>15</v>
      </c>
      <c r="H120" s="2" t="s">
        <v>709</v>
      </c>
      <c r="I120" s="3" t="str">
        <f>IFERROR(__xludf.DUMMYFUNCTION("IF(A120="""", """", IFS(REGEXMATCH(LOWER(A120), ""barbearia|barber""), ""Barbearia"", REGEXMATCH(LOWER(A120), ""sobrancelh|c[ií]lio|lash|micropigment|showbrancelhas""), ""Sobrancelhas e Cílios"", REGEXMATCH(LOWER(A120), ""maquia|make""), ""Maquiagem"", RE"&amp;"GEXMATCH(LOWER(A120), ""depil|epil""), ""Depilação"", REGEXMATCH(LOWER(A120), ""esmalteria|unha|nail|manicur|spa dos p[eé]s|kauu_nhas""), ""Manicure - Esmalteria"", REGEXMATCH(LOWER(A120), ""est[eé]tic|bronze|massot|terap|pilates|revitalize|dra""), ""Clín"&amp;"ica de Estética"", TRUE, ""Salão de Beleza""))"),"Manicure - Esmalteria")</f>
        <v>Manicure - Esmalteria</v>
      </c>
    </row>
    <row r="121">
      <c r="A121" s="1" t="s">
        <v>710</v>
      </c>
      <c r="B121" s="1" t="s">
        <v>711</v>
      </c>
      <c r="C121" s="1" t="s">
        <v>712</v>
      </c>
      <c r="D121" s="1" t="s">
        <v>713</v>
      </c>
      <c r="E121" s="1" t="s">
        <v>714</v>
      </c>
      <c r="F121" s="1" t="s">
        <v>715</v>
      </c>
      <c r="G121" s="1" t="s">
        <v>15</v>
      </c>
      <c r="H121" s="2" t="s">
        <v>716</v>
      </c>
      <c r="I121" s="3" t="str">
        <f>IFERROR(__xludf.DUMMYFUNCTION("IF(A121="""", """", IFS(REGEXMATCH(LOWER(A121), ""barbearia|barber""), ""Barbearia"", REGEXMATCH(LOWER(A121), ""sobrancelh|c[ií]lio|lash|micropigment|showbrancelhas""), ""Sobrancelhas e Cílios"", REGEXMATCH(LOWER(A121), ""maquia|make""), ""Maquiagem"", RE"&amp;"GEXMATCH(LOWER(A121), ""depil|epil""), ""Depilação"", REGEXMATCH(LOWER(A121), ""esmalteria|unha|nail|manicur|spa dos p[eé]s|kauu_nhas""), ""Manicure - Esmalteria"", REGEXMATCH(LOWER(A121), ""est[eé]tic|bronze|massot|terap|pilates|revitalize|dra""), ""Clín"&amp;"ica de Estética"", TRUE, ""Salão de Beleza""))"),"Salão de Beleza")</f>
        <v>Salão de Beleza</v>
      </c>
    </row>
    <row r="122">
      <c r="A122" s="1" t="s">
        <v>717</v>
      </c>
      <c r="D122" s="1" t="s">
        <v>718</v>
      </c>
      <c r="E122" s="1" t="s">
        <v>719</v>
      </c>
      <c r="F122" s="1" t="s">
        <v>720</v>
      </c>
      <c r="G122" s="1" t="s">
        <v>15</v>
      </c>
      <c r="H122" s="2" t="s">
        <v>721</v>
      </c>
      <c r="I122" s="3" t="str">
        <f>IFERROR(__xludf.DUMMYFUNCTION("IF(A122="""", """", IFS(REGEXMATCH(LOWER(A122), ""barbearia|barber""), ""Barbearia"", REGEXMATCH(LOWER(A122), ""sobrancelh|c[ií]lio|lash|micropigment|showbrancelhas""), ""Sobrancelhas e Cílios"", REGEXMATCH(LOWER(A122), ""maquia|make""), ""Maquiagem"", RE"&amp;"GEXMATCH(LOWER(A122), ""depil|epil""), ""Depilação"", REGEXMATCH(LOWER(A122), ""esmalteria|unha|nail|manicur|spa dos p[eé]s|kauu_nhas""), ""Manicure - Esmalteria"", REGEXMATCH(LOWER(A122), ""est[eé]tic|bronze|massot|terap|pilates|revitalize|dra""), ""Clín"&amp;"ica de Estética"", TRUE, ""Salão de Beleza""))"),"Sobrancelhas e Cílios")</f>
        <v>Sobrancelhas e Cílios</v>
      </c>
    </row>
    <row r="123">
      <c r="A123" s="1" t="s">
        <v>722</v>
      </c>
      <c r="B123" s="1" t="s">
        <v>723</v>
      </c>
      <c r="C123" s="1" t="s">
        <v>724</v>
      </c>
      <c r="D123" s="1" t="s">
        <v>725</v>
      </c>
      <c r="E123" s="1" t="s">
        <v>726</v>
      </c>
      <c r="F123" s="1" t="s">
        <v>727</v>
      </c>
      <c r="G123" s="1" t="s">
        <v>15</v>
      </c>
      <c r="H123" s="2" t="s">
        <v>728</v>
      </c>
      <c r="I123" s="3" t="str">
        <f>IFERROR(__xludf.DUMMYFUNCTION("IF(A123="""", """", IFS(REGEXMATCH(LOWER(A123), ""barbearia|barber""), ""Barbearia"", REGEXMATCH(LOWER(A123), ""sobrancelh|c[ií]lio|lash|micropigment|showbrancelhas""), ""Sobrancelhas e Cílios"", REGEXMATCH(LOWER(A123), ""maquia|make""), ""Maquiagem"", RE"&amp;"GEXMATCH(LOWER(A123), ""depil|epil""), ""Depilação"", REGEXMATCH(LOWER(A123), ""esmalteria|unha|nail|manicur|spa dos p[eé]s|kauu_nhas""), ""Manicure - Esmalteria"", REGEXMATCH(LOWER(A123), ""est[eé]tic|bronze|massot|terap|pilates|revitalize|dra""), ""Clín"&amp;"ica de Estética"", TRUE, ""Salão de Beleza""))"),"Salão de Beleza")</f>
        <v>Salão de Beleza</v>
      </c>
    </row>
    <row r="124">
      <c r="A124" s="1" t="s">
        <v>729</v>
      </c>
      <c r="D124" s="1" t="s">
        <v>730</v>
      </c>
      <c r="E124" s="1" t="s">
        <v>731</v>
      </c>
      <c r="F124" s="1" t="s">
        <v>732</v>
      </c>
      <c r="G124" s="1" t="s">
        <v>15</v>
      </c>
      <c r="H124" s="2" t="s">
        <v>733</v>
      </c>
      <c r="I124" s="3" t="str">
        <f>IFERROR(__xludf.DUMMYFUNCTION("IF(A124="""", """", IFS(REGEXMATCH(LOWER(A124), ""barbearia|barber""), ""Barbearia"", REGEXMATCH(LOWER(A124), ""sobrancelh|c[ií]lio|lash|micropigment|showbrancelhas""), ""Sobrancelhas e Cílios"", REGEXMATCH(LOWER(A124), ""maquia|make""), ""Maquiagem"", RE"&amp;"GEXMATCH(LOWER(A124), ""depil|epil""), ""Depilação"", REGEXMATCH(LOWER(A124), ""esmalteria|unha|nail|manicur|spa dos p[eé]s|kauu_nhas""), ""Manicure - Esmalteria"", REGEXMATCH(LOWER(A124), ""est[eé]tic|bronze|massot|terap|pilates|revitalize|dra""), ""Clín"&amp;"ica de Estética"", TRUE, ""Salão de Beleza""))"),"Manicure - Esmalteria")</f>
        <v>Manicure - Esmalteria</v>
      </c>
    </row>
    <row r="125">
      <c r="A125" s="1" t="s">
        <v>734</v>
      </c>
      <c r="D125" s="1" t="s">
        <v>735</v>
      </c>
      <c r="E125" s="1" t="s">
        <v>736</v>
      </c>
      <c r="F125" s="1" t="s">
        <v>737</v>
      </c>
      <c r="G125" s="1" t="s">
        <v>15</v>
      </c>
      <c r="H125" s="2" t="s">
        <v>738</v>
      </c>
      <c r="I125" s="3" t="str">
        <f>IFERROR(__xludf.DUMMYFUNCTION("IF(A125="""", """", IFS(REGEXMATCH(LOWER(A125), ""barbearia|barber""), ""Barbearia"", REGEXMATCH(LOWER(A125), ""sobrancelh|c[ií]lio|lash|micropigment|showbrancelhas""), ""Sobrancelhas e Cílios"", REGEXMATCH(LOWER(A125), ""maquia|make""), ""Maquiagem"", RE"&amp;"GEXMATCH(LOWER(A125), ""depil|epil""), ""Depilação"", REGEXMATCH(LOWER(A125), ""esmalteria|unha|nail|manicur|spa dos p[eé]s|kauu_nhas""), ""Manicure - Esmalteria"", REGEXMATCH(LOWER(A125), ""est[eé]tic|bronze|massot|terap|pilates|revitalize|dra""), ""Clín"&amp;"ica de Estética"", TRUE, ""Salão de Beleza""))"),"Manicure - Esmalteria")</f>
        <v>Manicure - Esmalteria</v>
      </c>
    </row>
    <row r="126">
      <c r="A126" s="1" t="s">
        <v>739</v>
      </c>
      <c r="B126" s="1" t="s">
        <v>740</v>
      </c>
      <c r="C126" s="1" t="s">
        <v>741</v>
      </c>
      <c r="D126" s="1" t="s">
        <v>742</v>
      </c>
      <c r="E126" s="1" t="s">
        <v>743</v>
      </c>
      <c r="F126" s="1" t="s">
        <v>744</v>
      </c>
      <c r="G126" s="1" t="s">
        <v>15</v>
      </c>
      <c r="H126" s="2" t="s">
        <v>745</v>
      </c>
      <c r="I126" s="3" t="str">
        <f>IFERROR(__xludf.DUMMYFUNCTION("IF(A126="""", """", IFS(REGEXMATCH(LOWER(A126), ""barbearia|barber""), ""Barbearia"", REGEXMATCH(LOWER(A126), ""sobrancelh|c[ií]lio|lash|micropigment|showbrancelhas""), ""Sobrancelhas e Cílios"", REGEXMATCH(LOWER(A126), ""maquia|make""), ""Maquiagem"", RE"&amp;"GEXMATCH(LOWER(A126), ""depil|epil""), ""Depilação"", REGEXMATCH(LOWER(A126), ""esmalteria|unha|nail|manicur|spa dos p[eé]s|kauu_nhas""), ""Manicure - Esmalteria"", REGEXMATCH(LOWER(A126), ""est[eé]tic|bronze|massot|terap|pilates|revitalize|dra""), ""Clín"&amp;"ica de Estética"", TRUE, ""Salão de Beleza""))"),"Manicure - Esmalteria")</f>
        <v>Manicure - Esmalteria</v>
      </c>
    </row>
    <row r="127">
      <c r="A127" s="1" t="s">
        <v>746</v>
      </c>
      <c r="D127" s="1" t="s">
        <v>747</v>
      </c>
      <c r="E127" s="1" t="s">
        <v>748</v>
      </c>
      <c r="F127" s="1" t="s">
        <v>749</v>
      </c>
      <c r="G127" s="1" t="s">
        <v>15</v>
      </c>
      <c r="H127" s="2" t="s">
        <v>750</v>
      </c>
      <c r="I127" s="3" t="str">
        <f>IFERROR(__xludf.DUMMYFUNCTION("IF(A127="""", """", IFS(REGEXMATCH(LOWER(A127), ""barbearia|barber""), ""Barbearia"", REGEXMATCH(LOWER(A127), ""sobrancelh|c[ií]lio|lash|micropigment|showbrancelhas""), ""Sobrancelhas e Cílios"", REGEXMATCH(LOWER(A127), ""maquia|make""), ""Maquiagem"", RE"&amp;"GEXMATCH(LOWER(A127), ""depil|epil""), ""Depilação"", REGEXMATCH(LOWER(A127), ""esmalteria|unha|nail|manicur|spa dos p[eé]s|kauu_nhas""), ""Manicure - Esmalteria"", REGEXMATCH(LOWER(A127), ""est[eé]tic|bronze|massot|terap|pilates|revitalize|dra""), ""Clín"&amp;"ica de Estética"", TRUE, ""Salão de Beleza""))"),"Barbearia")</f>
        <v>Barbearia</v>
      </c>
    </row>
    <row r="128">
      <c r="A128" s="1" t="s">
        <v>751</v>
      </c>
      <c r="B128" s="1" t="s">
        <v>752</v>
      </c>
      <c r="C128" s="1" t="s">
        <v>753</v>
      </c>
      <c r="D128" s="1" t="s">
        <v>754</v>
      </c>
      <c r="E128" s="1" t="s">
        <v>755</v>
      </c>
      <c r="F128" s="1" t="s">
        <v>756</v>
      </c>
      <c r="G128" s="1" t="s">
        <v>15</v>
      </c>
      <c r="H128" s="2" t="s">
        <v>757</v>
      </c>
      <c r="I128" s="3" t="str">
        <f>IFERROR(__xludf.DUMMYFUNCTION("IF(A128="""", """", IFS(REGEXMATCH(LOWER(A128), ""barbearia|barber""), ""Barbearia"", REGEXMATCH(LOWER(A128), ""sobrancelh|c[ií]lio|lash|micropigment|showbrancelhas""), ""Sobrancelhas e Cílios"", REGEXMATCH(LOWER(A128), ""maquia|make""), ""Maquiagem"", RE"&amp;"GEXMATCH(LOWER(A128), ""depil|epil""), ""Depilação"", REGEXMATCH(LOWER(A128), ""esmalteria|unha|nail|manicur|spa dos p[eé]s|kauu_nhas""), ""Manicure - Esmalteria"", REGEXMATCH(LOWER(A128), ""est[eé]tic|bronze|massot|terap|pilates|revitalize|dra""), ""Clín"&amp;"ica de Estética"", TRUE, ""Salão de Beleza""))"),"Salão de Beleza")</f>
        <v>Salão de Beleza</v>
      </c>
    </row>
    <row r="129">
      <c r="A129" s="1" t="s">
        <v>758</v>
      </c>
      <c r="B129" s="1" t="s">
        <v>759</v>
      </c>
      <c r="C129" s="1" t="s">
        <v>760</v>
      </c>
      <c r="D129" s="1" t="s">
        <v>761</v>
      </c>
      <c r="E129" s="1" t="s">
        <v>762</v>
      </c>
      <c r="F129" s="1" t="s">
        <v>763</v>
      </c>
      <c r="G129" s="1" t="s">
        <v>15</v>
      </c>
      <c r="H129" s="2" t="s">
        <v>764</v>
      </c>
      <c r="I129" s="3" t="str">
        <f>IFERROR(__xludf.DUMMYFUNCTION("IF(A129="""", """", IFS(REGEXMATCH(LOWER(A129), ""barbearia|barber""), ""Barbearia"", REGEXMATCH(LOWER(A129), ""sobrancelh|c[ií]lio|lash|micropigment|showbrancelhas""), ""Sobrancelhas e Cílios"", REGEXMATCH(LOWER(A129), ""maquia|make""), ""Maquiagem"", RE"&amp;"GEXMATCH(LOWER(A129), ""depil|epil""), ""Depilação"", REGEXMATCH(LOWER(A129), ""esmalteria|unha|nail|manicur|spa dos p[eé]s|kauu_nhas""), ""Manicure - Esmalteria"", REGEXMATCH(LOWER(A129), ""est[eé]tic|bronze|massot|terap|pilates|revitalize|dra""), ""Clín"&amp;"ica de Estética"", TRUE, ""Salão de Beleza""))"),"Manicure - Esmalteria")</f>
        <v>Manicure - Esmalteria</v>
      </c>
    </row>
    <row r="130">
      <c r="A130" s="1" t="s">
        <v>765</v>
      </c>
      <c r="D130" s="1" t="s">
        <v>766</v>
      </c>
      <c r="E130" s="1" t="s">
        <v>767</v>
      </c>
      <c r="F130" s="1" t="s">
        <v>768</v>
      </c>
      <c r="G130" s="1" t="s">
        <v>15</v>
      </c>
      <c r="H130" s="2" t="s">
        <v>769</v>
      </c>
      <c r="I130" s="3" t="str">
        <f>IFERROR(__xludf.DUMMYFUNCTION("IF(A130="""", """", IFS(REGEXMATCH(LOWER(A130), ""barbearia|barber""), ""Barbearia"", REGEXMATCH(LOWER(A130), ""sobrancelh|c[ií]lio|lash|micropigment|showbrancelhas""), ""Sobrancelhas e Cílios"", REGEXMATCH(LOWER(A130), ""maquia|make""), ""Maquiagem"", RE"&amp;"GEXMATCH(LOWER(A130), ""depil|epil""), ""Depilação"", REGEXMATCH(LOWER(A130), ""esmalteria|unha|nail|manicur|spa dos p[eé]s|kauu_nhas""), ""Manicure - Esmalteria"", REGEXMATCH(LOWER(A130), ""est[eé]tic|bronze|massot|terap|pilates|revitalize|dra""), ""Clín"&amp;"ica de Estética"", TRUE, ""Salão de Beleza""))"),"Manicure - Esmalteria")</f>
        <v>Manicure - Esmalteria</v>
      </c>
    </row>
    <row r="131">
      <c r="A131" s="1" t="s">
        <v>770</v>
      </c>
      <c r="D131" s="1" t="s">
        <v>771</v>
      </c>
      <c r="E131" s="1" t="s">
        <v>772</v>
      </c>
      <c r="F131" s="1" t="s">
        <v>773</v>
      </c>
      <c r="G131" s="1" t="s">
        <v>15</v>
      </c>
      <c r="H131" s="2" t="s">
        <v>774</v>
      </c>
      <c r="I131" s="3" t="str">
        <f>IFERROR(__xludf.DUMMYFUNCTION("IF(A131="""", """", IFS(REGEXMATCH(LOWER(A131), ""barbearia|barber""), ""Barbearia"", REGEXMATCH(LOWER(A131), ""sobrancelh|c[ií]lio|lash|micropigment|showbrancelhas""), ""Sobrancelhas e Cílios"", REGEXMATCH(LOWER(A131), ""maquia|make""), ""Maquiagem"", RE"&amp;"GEXMATCH(LOWER(A131), ""depil|epil""), ""Depilação"", REGEXMATCH(LOWER(A131), ""esmalteria|unha|nail|manicur|spa dos p[eé]s|kauu_nhas""), ""Manicure - Esmalteria"", REGEXMATCH(LOWER(A131), ""est[eé]tic|bronze|massot|terap|pilates|revitalize|dra""), ""Clín"&amp;"ica de Estética"", TRUE, ""Salão de Beleza""))"),"Manicure - Esmalteria")</f>
        <v>Manicure - Esmalteria</v>
      </c>
    </row>
    <row r="132">
      <c r="A132" s="1" t="s">
        <v>775</v>
      </c>
      <c r="D132" s="1" t="s">
        <v>776</v>
      </c>
      <c r="E132" s="1" t="s">
        <v>777</v>
      </c>
      <c r="F132" s="1" t="s">
        <v>778</v>
      </c>
      <c r="G132" s="1" t="s">
        <v>15</v>
      </c>
      <c r="H132" s="2" t="s">
        <v>779</v>
      </c>
      <c r="I132" s="3" t="str">
        <f>IFERROR(__xludf.DUMMYFUNCTION("IF(A132="""", """", IFS(REGEXMATCH(LOWER(A132), ""barbearia|barber""), ""Barbearia"", REGEXMATCH(LOWER(A132), ""sobrancelh|c[ií]lio|lash|micropigment|showbrancelhas""), ""Sobrancelhas e Cílios"", REGEXMATCH(LOWER(A132), ""maquia|make""), ""Maquiagem"", RE"&amp;"GEXMATCH(LOWER(A132), ""depil|epil""), ""Depilação"", REGEXMATCH(LOWER(A132), ""esmalteria|unha|nail|manicur|spa dos p[eé]s|kauu_nhas""), ""Manicure - Esmalteria"", REGEXMATCH(LOWER(A132), ""est[eé]tic|bronze|massot|terap|pilates|revitalize|dra""), ""Clín"&amp;"ica de Estética"", TRUE, ""Salão de Beleza""))"),"Manicure - Esmalteria")</f>
        <v>Manicure - Esmalteria</v>
      </c>
    </row>
    <row r="133">
      <c r="A133" s="1" t="s">
        <v>780</v>
      </c>
      <c r="D133" s="1" t="s">
        <v>781</v>
      </c>
      <c r="E133" s="1" t="s">
        <v>782</v>
      </c>
      <c r="F133" s="1" t="s">
        <v>783</v>
      </c>
      <c r="G133" s="1" t="s">
        <v>15</v>
      </c>
      <c r="H133" s="2" t="s">
        <v>784</v>
      </c>
      <c r="I133" s="3" t="str">
        <f>IFERROR(__xludf.DUMMYFUNCTION("IF(A133="""", """", IFS(REGEXMATCH(LOWER(A133), ""barbearia|barber""), ""Barbearia"", REGEXMATCH(LOWER(A133), ""sobrancelh|c[ií]lio|lash|micropigment|showbrancelhas""), ""Sobrancelhas e Cílios"", REGEXMATCH(LOWER(A133), ""maquia|make""), ""Maquiagem"", RE"&amp;"GEXMATCH(LOWER(A133), ""depil|epil""), ""Depilação"", REGEXMATCH(LOWER(A133), ""esmalteria|unha|nail|manicur|spa dos p[eé]s|kauu_nhas""), ""Manicure - Esmalteria"", REGEXMATCH(LOWER(A133), ""est[eé]tic|bronze|massot|terap|pilates|revitalize|dra""), ""Clín"&amp;"ica de Estética"", TRUE, ""Salão de Beleza""))"),"Sobrancelhas e Cílios")</f>
        <v>Sobrancelhas e Cílios</v>
      </c>
    </row>
    <row r="134">
      <c r="A134" s="1" t="s">
        <v>785</v>
      </c>
      <c r="B134" s="1" t="s">
        <v>786</v>
      </c>
      <c r="C134" s="1" t="s">
        <v>787</v>
      </c>
      <c r="D134" s="1" t="s">
        <v>788</v>
      </c>
      <c r="E134" s="1" t="s">
        <v>789</v>
      </c>
      <c r="F134" s="1" t="s">
        <v>790</v>
      </c>
      <c r="G134" s="1" t="s">
        <v>15</v>
      </c>
      <c r="H134" s="2" t="s">
        <v>791</v>
      </c>
      <c r="I134" s="3" t="str">
        <f>IFERROR(__xludf.DUMMYFUNCTION("IF(A134="""", """", IFS(REGEXMATCH(LOWER(A134), ""barbearia|barber""), ""Barbearia"", REGEXMATCH(LOWER(A134), ""sobrancelh|c[ií]lio|lash|micropigment|showbrancelhas""), ""Sobrancelhas e Cílios"", REGEXMATCH(LOWER(A134), ""maquia|make""), ""Maquiagem"", RE"&amp;"GEXMATCH(LOWER(A134), ""depil|epil""), ""Depilação"", REGEXMATCH(LOWER(A134), ""esmalteria|unha|nail|manicur|spa dos p[eé]s|kauu_nhas""), ""Manicure - Esmalteria"", REGEXMATCH(LOWER(A134), ""est[eé]tic|bronze|massot|terap|pilates|revitalize|dra""), ""Clín"&amp;"ica de Estética"", TRUE, ""Salão de Beleza""))"),"Barbearia")</f>
        <v>Barbearia</v>
      </c>
    </row>
    <row r="135">
      <c r="A135" s="1" t="s">
        <v>792</v>
      </c>
      <c r="B135" s="1" t="s">
        <v>793</v>
      </c>
      <c r="C135" s="1" t="s">
        <v>794</v>
      </c>
      <c r="E135" s="1" t="s">
        <v>795</v>
      </c>
      <c r="F135" s="1" t="s">
        <v>796</v>
      </c>
      <c r="G135" s="1" t="s">
        <v>15</v>
      </c>
      <c r="H135" s="2" t="s">
        <v>797</v>
      </c>
      <c r="I135" s="3" t="str">
        <f>IFERROR(__xludf.DUMMYFUNCTION("IF(A135="""", """", IFS(REGEXMATCH(LOWER(A135), ""barbearia|barber""), ""Barbearia"", REGEXMATCH(LOWER(A135), ""sobrancelh|c[ií]lio|lash|micropigment|showbrancelhas""), ""Sobrancelhas e Cílios"", REGEXMATCH(LOWER(A135), ""maquia|make""), ""Maquiagem"", RE"&amp;"GEXMATCH(LOWER(A135), ""depil|epil""), ""Depilação"", REGEXMATCH(LOWER(A135), ""esmalteria|unha|nail|manicur|spa dos p[eé]s|kauu_nhas""), ""Manicure - Esmalteria"", REGEXMATCH(LOWER(A135), ""est[eé]tic|bronze|massot|terap|pilates|revitalize|dra""), ""Clín"&amp;"ica de Estética"", TRUE, ""Salão de Beleza""))"),"Manicure - Esmalteria")</f>
        <v>Manicure - Esmalteria</v>
      </c>
    </row>
    <row r="136">
      <c r="A136" s="1" t="s">
        <v>798</v>
      </c>
      <c r="B136" s="1" t="s">
        <v>799</v>
      </c>
      <c r="C136" s="1" t="s">
        <v>800</v>
      </c>
      <c r="D136" s="1" t="s">
        <v>801</v>
      </c>
      <c r="E136" s="1" t="s">
        <v>802</v>
      </c>
      <c r="F136" s="1" t="s">
        <v>803</v>
      </c>
      <c r="G136" s="1" t="s">
        <v>15</v>
      </c>
      <c r="H136" s="2" t="s">
        <v>804</v>
      </c>
      <c r="I136" s="3" t="str">
        <f>IFERROR(__xludf.DUMMYFUNCTION("IF(A136="""", """", IFS(REGEXMATCH(LOWER(A136), ""barbearia|barber""), ""Barbearia"", REGEXMATCH(LOWER(A136), ""sobrancelh|c[ií]lio|lash|micropigment|showbrancelhas""), ""Sobrancelhas e Cílios"", REGEXMATCH(LOWER(A136), ""maquia|make""), ""Maquiagem"", RE"&amp;"GEXMATCH(LOWER(A136), ""depil|epil""), ""Depilação"", REGEXMATCH(LOWER(A136), ""esmalteria|unha|nail|manicur|spa dos p[eé]s|kauu_nhas""), ""Manicure - Esmalteria"", REGEXMATCH(LOWER(A136), ""est[eé]tic|bronze|massot|terap|pilates|revitalize|dra""), ""Clín"&amp;"ica de Estética"", TRUE, ""Salão de Beleza""))"),"Salão de Beleza")</f>
        <v>Salão de Beleza</v>
      </c>
    </row>
    <row r="137">
      <c r="A137" s="1" t="s">
        <v>805</v>
      </c>
      <c r="D137" s="1" t="s">
        <v>806</v>
      </c>
      <c r="E137" s="1" t="s">
        <v>807</v>
      </c>
      <c r="F137" s="1" t="s">
        <v>808</v>
      </c>
      <c r="G137" s="1" t="s">
        <v>15</v>
      </c>
      <c r="H137" s="2" t="s">
        <v>809</v>
      </c>
      <c r="I137" s="3" t="str">
        <f>IFERROR(__xludf.DUMMYFUNCTION("IF(A137="""", """", IFS(REGEXMATCH(LOWER(A137), ""barbearia|barber""), ""Barbearia"", REGEXMATCH(LOWER(A137), ""sobrancelh|c[ií]lio|lash|micropigment|showbrancelhas""), ""Sobrancelhas e Cílios"", REGEXMATCH(LOWER(A137), ""maquia|make""), ""Maquiagem"", RE"&amp;"GEXMATCH(LOWER(A137), ""depil|epil""), ""Depilação"", REGEXMATCH(LOWER(A137), ""esmalteria|unha|nail|manicur|spa dos p[eé]s|kauu_nhas""), ""Manicure - Esmalteria"", REGEXMATCH(LOWER(A137), ""est[eé]tic|bronze|massot|terap|pilates|revitalize|dra""), ""Clín"&amp;"ica de Estética"", TRUE, ""Salão de Beleza""))"),"Salão de Beleza")</f>
        <v>Salão de Beleza</v>
      </c>
    </row>
    <row r="138">
      <c r="A138" s="1" t="s">
        <v>810</v>
      </c>
      <c r="B138" s="1" t="s">
        <v>811</v>
      </c>
      <c r="C138" s="1" t="s">
        <v>812</v>
      </c>
      <c r="D138" s="1" t="s">
        <v>813</v>
      </c>
      <c r="E138" s="1" t="s">
        <v>814</v>
      </c>
      <c r="F138" s="1" t="s">
        <v>815</v>
      </c>
      <c r="G138" s="1" t="s">
        <v>15</v>
      </c>
      <c r="H138" s="2" t="s">
        <v>816</v>
      </c>
      <c r="I138" s="3" t="str">
        <f>IFERROR(__xludf.DUMMYFUNCTION("IF(A138="""", """", IFS(REGEXMATCH(LOWER(A138), ""barbearia|barber""), ""Barbearia"", REGEXMATCH(LOWER(A138), ""sobrancelh|c[ií]lio|lash|micropigment|showbrancelhas""), ""Sobrancelhas e Cílios"", REGEXMATCH(LOWER(A138), ""maquia|make""), ""Maquiagem"", RE"&amp;"GEXMATCH(LOWER(A138), ""depil|epil""), ""Depilação"", REGEXMATCH(LOWER(A138), ""esmalteria|unha|nail|manicur|spa dos p[eé]s|kauu_nhas""), ""Manicure - Esmalteria"", REGEXMATCH(LOWER(A138), ""est[eé]tic|bronze|massot|terap|pilates|revitalize|dra""), ""Clín"&amp;"ica de Estética"", TRUE, ""Salão de Beleza""))"),"Sobrancelhas e Cílios")</f>
        <v>Sobrancelhas e Cílios</v>
      </c>
    </row>
    <row r="139">
      <c r="A139" s="1" t="s">
        <v>817</v>
      </c>
      <c r="B139" s="1" t="s">
        <v>818</v>
      </c>
      <c r="C139" s="1" t="s">
        <v>819</v>
      </c>
      <c r="D139" s="1" t="s">
        <v>820</v>
      </c>
      <c r="E139" s="1" t="s">
        <v>821</v>
      </c>
      <c r="F139" s="1" t="s">
        <v>822</v>
      </c>
      <c r="G139" s="1" t="s">
        <v>15</v>
      </c>
      <c r="H139" s="2" t="s">
        <v>823</v>
      </c>
      <c r="I139" s="3" t="str">
        <f>IFERROR(__xludf.DUMMYFUNCTION("IF(A139="""", """", IFS(REGEXMATCH(LOWER(A139), ""barbearia|barber""), ""Barbearia"", REGEXMATCH(LOWER(A139), ""sobrancelh|c[ií]lio|lash|micropigment|showbrancelhas""), ""Sobrancelhas e Cílios"", REGEXMATCH(LOWER(A139), ""maquia|make""), ""Maquiagem"", RE"&amp;"GEXMATCH(LOWER(A139), ""depil|epil""), ""Depilação"", REGEXMATCH(LOWER(A139), ""esmalteria|unha|nail|manicur|spa dos p[eé]s|kauu_nhas""), ""Manicure - Esmalteria"", REGEXMATCH(LOWER(A139), ""est[eé]tic|bronze|massot|terap|pilates|revitalize|dra""), ""Clín"&amp;"ica de Estética"", TRUE, ""Salão de Beleza""))"),"Clínica de Estética")</f>
        <v>Clínica de Estética</v>
      </c>
    </row>
    <row r="140">
      <c r="A140" s="1" t="s">
        <v>824</v>
      </c>
      <c r="B140" s="1" t="s">
        <v>825</v>
      </c>
      <c r="C140" s="1" t="s">
        <v>826</v>
      </c>
      <c r="D140" s="1" t="s">
        <v>827</v>
      </c>
      <c r="E140" s="1" t="s">
        <v>828</v>
      </c>
      <c r="F140" s="1" t="s">
        <v>829</v>
      </c>
      <c r="G140" s="1" t="s">
        <v>15</v>
      </c>
      <c r="H140" s="2" t="s">
        <v>830</v>
      </c>
      <c r="I140" s="3" t="str">
        <f>IFERROR(__xludf.DUMMYFUNCTION("IF(A140="""", """", IFS(REGEXMATCH(LOWER(A140), ""barbearia|barber""), ""Barbearia"", REGEXMATCH(LOWER(A140), ""sobrancelh|c[ií]lio|lash|micropigment|showbrancelhas""), ""Sobrancelhas e Cílios"", REGEXMATCH(LOWER(A140), ""maquia|make""), ""Maquiagem"", RE"&amp;"GEXMATCH(LOWER(A140), ""depil|epil""), ""Depilação"", REGEXMATCH(LOWER(A140), ""esmalteria|unha|nail|manicur|spa dos p[eé]s|kauu_nhas""), ""Manicure - Esmalteria"", REGEXMATCH(LOWER(A140), ""est[eé]tic|bronze|massot|terap|pilates|revitalize|dra""), ""Clín"&amp;"ica de Estética"", TRUE, ""Salão de Beleza""))"),"Maquiagem")</f>
        <v>Maquiagem</v>
      </c>
    </row>
    <row r="141">
      <c r="A141" s="1" t="s">
        <v>831</v>
      </c>
      <c r="D141" s="1" t="s">
        <v>832</v>
      </c>
      <c r="E141" s="1" t="s">
        <v>833</v>
      </c>
      <c r="F141" s="1" t="s">
        <v>834</v>
      </c>
      <c r="G141" s="1" t="s">
        <v>15</v>
      </c>
      <c r="H141" s="2" t="s">
        <v>835</v>
      </c>
      <c r="I141" s="3" t="str">
        <f>IFERROR(__xludf.DUMMYFUNCTION("IF(A141="""", """", IFS(REGEXMATCH(LOWER(A141), ""barbearia|barber""), ""Barbearia"", REGEXMATCH(LOWER(A141), ""sobrancelh|c[ií]lio|lash|micropigment|showbrancelhas""), ""Sobrancelhas e Cílios"", REGEXMATCH(LOWER(A141), ""maquia|make""), ""Maquiagem"", RE"&amp;"GEXMATCH(LOWER(A141), ""depil|epil""), ""Depilação"", REGEXMATCH(LOWER(A141), ""esmalteria|unha|nail|manicur|spa dos p[eé]s|kauu_nhas""), ""Manicure - Esmalteria"", REGEXMATCH(LOWER(A141), ""est[eé]tic|bronze|massot|terap|pilates|revitalize|dra""), ""Clín"&amp;"ica de Estética"", TRUE, ""Salão de Beleza""))"),"Salão de Beleza")</f>
        <v>Salão de Beleza</v>
      </c>
    </row>
    <row r="142">
      <c r="A142" s="1" t="s">
        <v>836</v>
      </c>
      <c r="D142" s="1" t="s">
        <v>837</v>
      </c>
      <c r="E142" s="1" t="s">
        <v>838</v>
      </c>
      <c r="F142" s="1" t="s">
        <v>839</v>
      </c>
      <c r="G142" s="1" t="s">
        <v>15</v>
      </c>
      <c r="H142" s="2" t="s">
        <v>840</v>
      </c>
      <c r="I142" s="3" t="str">
        <f>IFERROR(__xludf.DUMMYFUNCTION("IF(A142="""", """", IFS(REGEXMATCH(LOWER(A142), ""barbearia|barber""), ""Barbearia"", REGEXMATCH(LOWER(A142), ""sobrancelh|c[ií]lio|lash|micropigment|showbrancelhas""), ""Sobrancelhas e Cílios"", REGEXMATCH(LOWER(A142), ""maquia|make""), ""Maquiagem"", RE"&amp;"GEXMATCH(LOWER(A142), ""depil|epil""), ""Depilação"", REGEXMATCH(LOWER(A142), ""esmalteria|unha|nail|manicur|spa dos p[eé]s|kauu_nhas""), ""Manicure - Esmalteria"", REGEXMATCH(LOWER(A142), ""est[eé]tic|bronze|massot|terap|pilates|revitalize|dra""), ""Clín"&amp;"ica de Estética"", TRUE, ""Salão de Beleza""))"),"Salão de Beleza")</f>
        <v>Salão de Beleza</v>
      </c>
    </row>
    <row r="143">
      <c r="A143" s="1" t="s">
        <v>841</v>
      </c>
      <c r="D143" s="1" t="s">
        <v>842</v>
      </c>
      <c r="E143" s="1" t="s">
        <v>843</v>
      </c>
      <c r="F143" s="1" t="s">
        <v>844</v>
      </c>
      <c r="G143" s="1" t="s">
        <v>15</v>
      </c>
      <c r="H143" s="2" t="s">
        <v>845</v>
      </c>
      <c r="I143" s="3" t="str">
        <f>IFERROR(__xludf.DUMMYFUNCTION("IF(A143="""", """", IFS(REGEXMATCH(LOWER(A143), ""barbearia|barber""), ""Barbearia"", REGEXMATCH(LOWER(A143), ""sobrancelh|c[ií]lio|lash|micropigment|showbrancelhas""), ""Sobrancelhas e Cílios"", REGEXMATCH(LOWER(A143), ""maquia|make""), ""Maquiagem"", RE"&amp;"GEXMATCH(LOWER(A143), ""depil|epil""), ""Depilação"", REGEXMATCH(LOWER(A143), ""esmalteria|unha|nail|manicur|spa dos p[eé]s|kauu_nhas""), ""Manicure - Esmalteria"", REGEXMATCH(LOWER(A143), ""est[eé]tic|bronze|massot|terap|pilates|revitalize|dra""), ""Clín"&amp;"ica de Estética"", TRUE, ""Salão de Beleza""))"),"Salão de Beleza")</f>
        <v>Salão de Beleza</v>
      </c>
    </row>
    <row r="144">
      <c r="A144" s="1" t="s">
        <v>846</v>
      </c>
      <c r="D144" s="1" t="s">
        <v>847</v>
      </c>
      <c r="E144" s="1" t="s">
        <v>848</v>
      </c>
      <c r="F144" s="1" t="s">
        <v>849</v>
      </c>
      <c r="G144" s="1" t="s">
        <v>15</v>
      </c>
      <c r="H144" s="2" t="s">
        <v>850</v>
      </c>
      <c r="I144" s="3" t="str">
        <f>IFERROR(__xludf.DUMMYFUNCTION("IF(A144="""", """", IFS(REGEXMATCH(LOWER(A144), ""barbearia|barber""), ""Barbearia"", REGEXMATCH(LOWER(A144), ""sobrancelh|c[ií]lio|lash|micropigment|showbrancelhas""), ""Sobrancelhas e Cílios"", REGEXMATCH(LOWER(A144), ""maquia|make""), ""Maquiagem"", RE"&amp;"GEXMATCH(LOWER(A144), ""depil|epil""), ""Depilação"", REGEXMATCH(LOWER(A144), ""esmalteria|unha|nail|manicur|spa dos p[eé]s|kauu_nhas""), ""Manicure - Esmalteria"", REGEXMATCH(LOWER(A144), ""est[eé]tic|bronze|massot|terap|pilates|revitalize|dra""), ""Clín"&amp;"ica de Estética"", TRUE, ""Salão de Beleza""))"),"Salão de Beleza")</f>
        <v>Salão de Beleza</v>
      </c>
    </row>
    <row r="145">
      <c r="A145" s="1" t="s">
        <v>851</v>
      </c>
      <c r="B145" s="1" t="s">
        <v>852</v>
      </c>
      <c r="C145" s="1" t="s">
        <v>853</v>
      </c>
      <c r="D145" s="1" t="s">
        <v>854</v>
      </c>
      <c r="E145" s="1" t="s">
        <v>855</v>
      </c>
      <c r="F145" s="1" t="s">
        <v>856</v>
      </c>
      <c r="G145" s="1" t="s">
        <v>15</v>
      </c>
      <c r="H145" s="2" t="s">
        <v>857</v>
      </c>
      <c r="I145" s="3" t="str">
        <f>IFERROR(__xludf.DUMMYFUNCTION("IF(A145="""", """", IFS(REGEXMATCH(LOWER(A145), ""barbearia|barber""), ""Barbearia"", REGEXMATCH(LOWER(A145), ""sobrancelh|c[ií]lio|lash|micropigment|showbrancelhas""), ""Sobrancelhas e Cílios"", REGEXMATCH(LOWER(A145), ""maquia|make""), ""Maquiagem"", RE"&amp;"GEXMATCH(LOWER(A145), ""depil|epil""), ""Depilação"", REGEXMATCH(LOWER(A145), ""esmalteria|unha|nail|manicur|spa dos p[eé]s|kauu_nhas""), ""Manicure - Esmalteria"", REGEXMATCH(LOWER(A145), ""est[eé]tic|bronze|massot|terap|pilates|revitalize|dra""), ""Clín"&amp;"ica de Estética"", TRUE, ""Salão de Beleza""))"),"Sobrancelhas e Cílios")</f>
        <v>Sobrancelhas e Cílios</v>
      </c>
    </row>
    <row r="146">
      <c r="A146" s="1" t="s">
        <v>858</v>
      </c>
      <c r="B146" s="1" t="s">
        <v>859</v>
      </c>
      <c r="C146" s="1" t="s">
        <v>860</v>
      </c>
      <c r="E146" s="1" t="s">
        <v>861</v>
      </c>
      <c r="F146" s="1" t="s">
        <v>862</v>
      </c>
      <c r="G146" s="1" t="s">
        <v>15</v>
      </c>
      <c r="H146" s="2" t="s">
        <v>863</v>
      </c>
      <c r="I146" s="3" t="str">
        <f>IFERROR(__xludf.DUMMYFUNCTION("IF(A146="""", """", IFS(REGEXMATCH(LOWER(A146), ""barbearia|barber""), ""Barbearia"", REGEXMATCH(LOWER(A146), ""sobrancelh|c[ií]lio|lash|micropigment|showbrancelhas""), ""Sobrancelhas e Cílios"", REGEXMATCH(LOWER(A146), ""maquia|make""), ""Maquiagem"", RE"&amp;"GEXMATCH(LOWER(A146), ""depil|epil""), ""Depilação"", REGEXMATCH(LOWER(A146), ""esmalteria|unha|nail|manicur|spa dos p[eé]s|kauu_nhas""), ""Manicure - Esmalteria"", REGEXMATCH(LOWER(A146), ""est[eé]tic|bronze|massot|terap|pilates|revitalize|dra""), ""Clín"&amp;"ica de Estética"", TRUE, ""Salão de Beleza""))"),"Salão de Beleza")</f>
        <v>Salão de Beleza</v>
      </c>
    </row>
    <row r="147">
      <c r="A147" s="1" t="s">
        <v>864</v>
      </c>
      <c r="B147" s="1" t="s">
        <v>865</v>
      </c>
      <c r="C147" s="1" t="s">
        <v>866</v>
      </c>
      <c r="D147" s="1" t="s">
        <v>867</v>
      </c>
      <c r="E147" s="1" t="s">
        <v>868</v>
      </c>
      <c r="F147" s="1" t="s">
        <v>869</v>
      </c>
      <c r="G147" s="1" t="s">
        <v>15</v>
      </c>
      <c r="H147" s="2" t="s">
        <v>870</v>
      </c>
      <c r="I147" s="3" t="str">
        <f>IFERROR(__xludf.DUMMYFUNCTION("IF(A147="""", """", IFS(REGEXMATCH(LOWER(A147), ""barbearia|barber""), ""Barbearia"", REGEXMATCH(LOWER(A147), ""sobrancelh|c[ií]lio|lash|micropigment|showbrancelhas""), ""Sobrancelhas e Cílios"", REGEXMATCH(LOWER(A147), ""maquia|make""), ""Maquiagem"", RE"&amp;"GEXMATCH(LOWER(A147), ""depil|epil""), ""Depilação"", REGEXMATCH(LOWER(A147), ""esmalteria|unha|nail|manicur|spa dos p[eé]s|kauu_nhas""), ""Manicure - Esmalteria"", REGEXMATCH(LOWER(A147), ""est[eé]tic|bronze|massot|terap|pilates|revitalize|dra""), ""Clín"&amp;"ica de Estética"", TRUE, ""Salão de Beleza""))"),"Salão de Beleza")</f>
        <v>Salão de Beleza</v>
      </c>
    </row>
    <row r="148">
      <c r="A148" s="1" t="s">
        <v>871</v>
      </c>
      <c r="D148" s="1" t="s">
        <v>872</v>
      </c>
      <c r="E148" s="1" t="s">
        <v>873</v>
      </c>
      <c r="F148" s="1" t="s">
        <v>874</v>
      </c>
      <c r="G148" s="1" t="s">
        <v>15</v>
      </c>
      <c r="H148" s="2" t="s">
        <v>875</v>
      </c>
      <c r="I148" s="3" t="str">
        <f>IFERROR(__xludf.DUMMYFUNCTION("IF(A148="""", """", IFS(REGEXMATCH(LOWER(A148), ""barbearia|barber""), ""Barbearia"", REGEXMATCH(LOWER(A148), ""sobrancelh|c[ií]lio|lash|micropigment|showbrancelhas""), ""Sobrancelhas e Cílios"", REGEXMATCH(LOWER(A148), ""maquia|make""), ""Maquiagem"", RE"&amp;"GEXMATCH(LOWER(A148), ""depil|epil""), ""Depilação"", REGEXMATCH(LOWER(A148), ""esmalteria|unha|nail|manicur|spa dos p[eé]s|kauu_nhas""), ""Manicure - Esmalteria"", REGEXMATCH(LOWER(A148), ""est[eé]tic|bronze|massot|terap|pilates|revitalize|dra""), ""Clín"&amp;"ica de Estética"", TRUE, ""Salão de Beleza""))"),"Clínica de Estética")</f>
        <v>Clínica de Estética</v>
      </c>
    </row>
    <row r="149">
      <c r="A149" s="1" t="s">
        <v>876</v>
      </c>
      <c r="D149" s="1" t="s">
        <v>877</v>
      </c>
      <c r="E149" s="1" t="s">
        <v>878</v>
      </c>
      <c r="F149" s="1" t="s">
        <v>879</v>
      </c>
      <c r="G149" s="1" t="s">
        <v>15</v>
      </c>
      <c r="H149" s="2" t="s">
        <v>880</v>
      </c>
      <c r="I149" s="3" t="str">
        <f>IFERROR(__xludf.DUMMYFUNCTION("IF(A149="""", """", IFS(REGEXMATCH(LOWER(A149), ""barbearia|barber""), ""Barbearia"", REGEXMATCH(LOWER(A149), ""sobrancelh|c[ií]lio|lash|micropigment|showbrancelhas""), ""Sobrancelhas e Cílios"", REGEXMATCH(LOWER(A149), ""maquia|make""), ""Maquiagem"", RE"&amp;"GEXMATCH(LOWER(A149), ""depil|epil""), ""Depilação"", REGEXMATCH(LOWER(A149), ""esmalteria|unha|nail|manicur|spa dos p[eé]s|kauu_nhas""), ""Manicure - Esmalteria"", REGEXMATCH(LOWER(A149), ""est[eé]tic|bronze|massot|terap|pilates|revitalize|dra""), ""Clín"&amp;"ica de Estética"", TRUE, ""Salão de Beleza""))"),"Salão de Beleza")</f>
        <v>Salão de Beleza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</hyperlinks>
  <drawing r:id="rId149"/>
</worksheet>
</file>