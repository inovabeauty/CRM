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Barra do Corda - 2" sheetId="1" r:id="rId5"/>
  </sheets>
  <definedNames/>
  <calcPr/>
</workbook>
</file>

<file path=xl/sharedStrings.xml><?xml version="1.0" encoding="utf-8"?>
<sst xmlns="http://schemas.openxmlformats.org/spreadsheetml/2006/main" count="883" uniqueCount="745">
  <si>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</si>
  <si>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</si>
  <si>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</si>
  <si>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</si>
  <si>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</si>
  <si>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</si>
  <si>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</si>
  <si>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</si>
  <si>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</si>
  <si>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Studio Adriele</t>
  </si>
  <si>
    <t>MV9X+FM, Barra do Corda - MA, 65950-000, Brasil</t>
  </si>
  <si>
    <t>-5.3316054</t>
  </si>
  <si>
    <t>-45.1004947</t>
  </si>
  <si>
    <t>Barra do Corda - MA</t>
  </si>
  <si>
    <t>https://www.google.com/maps/search/?api=1&amp;query=Studio%20Adriele&amp;query_place_id=ChIJ75fkNQBJzZIRoQFgHST5esw</t>
  </si>
  <si>
    <t>Studio Siumaria Design</t>
  </si>
  <si>
    <t>Barra do Corda - MA, 65950-000, Brasil</t>
  </si>
  <si>
    <t>-5.3319715</t>
  </si>
  <si>
    <t>-45.1015532</t>
  </si>
  <si>
    <t>https://www.google.com/maps/search/?api=1&amp;query=Studio%20Siumaria%20Design&amp;query_place_id=ChIJgVTSLwBJzZIRiEqUbJcdkGQ</t>
  </si>
  <si>
    <t>Centro Técnico Delvane Rocha</t>
  </si>
  <si>
    <t>+55 99 98459-6957</t>
  </si>
  <si>
    <t>+5599984596957</t>
  </si>
  <si>
    <t>R. 4 - Choab, Barra do Corda - MA, 65950-000, Brasil</t>
  </si>
  <si>
    <t>-5.513803</t>
  </si>
  <si>
    <t>-45.2280148</t>
  </si>
  <si>
    <t>https://www.google.com/maps/search/?api=1&amp;query=Centro%20T%C3%A9cnico%20Delvane%20Rocha&amp;query_place_id=ChIJobS2PX9fzZIR0SeR-jzPwDM</t>
  </si>
  <si>
    <t>Jane Instituto de Beleza</t>
  </si>
  <si>
    <t>+55 99 99167-3835</t>
  </si>
  <si>
    <t>+5599991673835</t>
  </si>
  <si>
    <t>Av. Eliéser Moreira, 43 - Incra, Barra do Corda - MA, 65950-000, Brasil</t>
  </si>
  <si>
    <t>-5.5043539</t>
  </si>
  <si>
    <t>-45.2502591</t>
  </si>
  <si>
    <t>https://www.google.com/maps/search/?api=1&amp;query=Jane%20Instituto%20de%20Beleza&amp;query_place_id=ChIJdTnX5PJfzZIRURVJ8At5OKk</t>
  </si>
  <si>
    <t>Espaço Fátima Silva</t>
  </si>
  <si>
    <t>+55 99 98225-3174</t>
  </si>
  <si>
    <t>+5599982253174</t>
  </si>
  <si>
    <t>Av. Reginaldo Gomes de Solisa, 1023 - Centro, Barra do Corda - MA, 65950-000, Brasil</t>
  </si>
  <si>
    <t>-5.5124682</t>
  </si>
  <si>
    <t>-45.2346999</t>
  </si>
  <si>
    <t>https://www.google.com/maps/search/?api=1&amp;query=Espa%C3%A7o%20F%C3%A1tima%20Silva&amp;query_place_id=ChIJxZR7KGJfzZIRtnqA0ChHVME</t>
  </si>
  <si>
    <t>ESPAÇO DA Beleza</t>
  </si>
  <si>
    <t>-5.4912328</t>
  </si>
  <si>
    <t>-45.2739181</t>
  </si>
  <si>
    <t>https://www.google.com/maps/search/?api=1&amp;query=ESPA%C3%87O%20DA%20Beleza&amp;query_place_id=ChIJLZBiBHFezZIRTruEFyNW1GQ</t>
  </si>
  <si>
    <t>Marina Cabelos - Especialista em Loiras</t>
  </si>
  <si>
    <t>+55 99 98544-3542</t>
  </si>
  <si>
    <t>+5599985443542</t>
  </si>
  <si>
    <t>R. da Flor, S/N - Vila Sampaio, Barra do Corda - MA, 65950-000, Brasil</t>
  </si>
  <si>
    <t>-5.5210964</t>
  </si>
  <si>
    <t>-45.224983</t>
  </si>
  <si>
    <t>https://www.google.com/maps/search/?api=1&amp;query=Marina%20Cabelos%20-%20Especialista%20em%20Loiras&amp;query_place_id=ChIJmVfCHlRfzZIRMrPGJdq9O84</t>
  </si>
  <si>
    <t>Studio Francielle Sousa</t>
  </si>
  <si>
    <t>+55 11 98968-9881</t>
  </si>
  <si>
    <t>+5511989689881</t>
  </si>
  <si>
    <t>Rua Rio jutaí travessa 08, R. da Cerâmica, Barra do Corda - MA, 65950-000, Brasil</t>
  </si>
  <si>
    <t>-5.4853371</t>
  </si>
  <si>
    <t>-45.2437746</t>
  </si>
  <si>
    <t>https://www.google.com/maps/search/?api=1&amp;query=Studio%20Francielle%20Sousa&amp;query_place_id=ChIJwYzORMhfzZIRlxI4IkhEEUg</t>
  </si>
  <si>
    <t>Eduarda Lima Beauty Studio</t>
  </si>
  <si>
    <t>+55 99 99182-3668</t>
  </si>
  <si>
    <t>+5599991823668</t>
  </si>
  <si>
    <t>R. Moacir Cabral de Arruda - Vila nair, Barra do Corda - MA, 65950-000, Brasil</t>
  </si>
  <si>
    <t>-5.515241</t>
  </si>
  <si>
    <t>-45.2262253</t>
  </si>
  <si>
    <t>https://www.google.com/maps/search/?api=1&amp;query=Eduarda%20Lima%20Beauty%20Studio&amp;query_place_id=ChIJ5b-NubhfzZIRlowh6R7EIEs</t>
  </si>
  <si>
    <t>Milena Cabelos</t>
  </si>
  <si>
    <t>+55 99 98464-2271</t>
  </si>
  <si>
    <t>+5599984642271</t>
  </si>
  <si>
    <t>R. Maria da Conceição - Vila Nair, Barra do Corda - MA, 65950-000, Brasil</t>
  </si>
  <si>
    <t>-5.5160041</t>
  </si>
  <si>
    <t>-45.2242366</t>
  </si>
  <si>
    <t>https://www.google.com/maps/search/?api=1&amp;query=Milena%20Cabelos&amp;query_place_id=ChIJ8QfSCthZzZIReoNNfDumoIM</t>
  </si>
  <si>
    <t>Spaço Daniela Viana</t>
  </si>
  <si>
    <t>+55 99 98820-8701</t>
  </si>
  <si>
    <t>+5599988208701</t>
  </si>
  <si>
    <t>R. Gen. Artur Teixeira de Carvalho, 02 - Altamira, Barra do Corda - MA, 65950-000, Brasil</t>
  </si>
  <si>
    <t>-5.515922</t>
  </si>
  <si>
    <t>-45.2316753</t>
  </si>
  <si>
    <t>https://www.google.com/maps/search/?api=1&amp;query=Spa%C3%A7o%20Daniela%20Viana&amp;query_place_id=ChIJlagw4rhfzZIRUp9X-eSjEA0</t>
  </si>
  <si>
    <t>Menezes Cabeleireiro</t>
  </si>
  <si>
    <t>R. José Delfino Menezes, 1710, Barra do Corda - MA, 65950-000, Brasil</t>
  </si>
  <si>
    <t>-5.5151818</t>
  </si>
  <si>
    <t>-45.2309456</t>
  </si>
  <si>
    <t>https://www.google.com/maps/search/?api=1&amp;query=Menezes%20Cabeleireiro&amp;query_place_id=ChIJtTqyBSlfzZIRxiJT1oovc7E</t>
  </si>
  <si>
    <t>Iala Bernardo Nail Designer</t>
  </si>
  <si>
    <t>+55 99 98503-9085</t>
  </si>
  <si>
    <t>+5599985039085</t>
  </si>
  <si>
    <t>Av. José Delfino Menezes, 1710 - Altamira, Barra do Corda - MA, 65950-000, Brasil</t>
  </si>
  <si>
    <t>-5.5150616</t>
  </si>
  <si>
    <t>-45.2309708</t>
  </si>
  <si>
    <t>https://www.google.com/maps/search/?api=1&amp;query=Iala%20Bernardo%20Nail%20Designer&amp;query_place_id=ChIJo3QT7ntfzZIRdh8uVkZF3-g</t>
  </si>
  <si>
    <t>Studio Monalle Dantas</t>
  </si>
  <si>
    <t>+55 99 98805-4434</t>
  </si>
  <si>
    <t>+5599988054434</t>
  </si>
  <si>
    <t>Rua Parma, SN Esquina com Rua Monza - Parque Itália, Barra do Corda - MA, 65950-000, Brasil</t>
  </si>
  <si>
    <t>-5.5212423</t>
  </si>
  <si>
    <t>-45.2277257</t>
  </si>
  <si>
    <t>https://www.google.com/maps/search/?api=1&amp;query=Studio%20Monalle%20Dantas&amp;query_place_id=ChIJL4JAQkhfzZIRRveHbE1hAaQ</t>
  </si>
  <si>
    <t>Studio Wilana Ferreira</t>
  </si>
  <si>
    <t>+55 99 98406-1065</t>
  </si>
  <si>
    <t>+5599984061065</t>
  </si>
  <si>
    <t>R. São Francisco, n° 19, Barra do Corda - MA, 65950-000, Brasil</t>
  </si>
  <si>
    <t>-5.5198015</t>
  </si>
  <si>
    <t>-45.2247513</t>
  </si>
  <si>
    <t>https://www.google.com/maps/search/?api=1&amp;query=Studio%20Wilana%20Ferreira&amp;query_place_id=ChIJRdoak5RfzZIRsl3tDizD2Bs</t>
  </si>
  <si>
    <t>Salão Ana Ferreira</t>
  </si>
  <si>
    <t>+55 99 98461-2879</t>
  </si>
  <si>
    <t>+5599984612879</t>
  </si>
  <si>
    <t>Igreja Batista da Vila Sampaio - Avenida dos macaxeiras - Vila Sampaio, Barra do Corda - MA, 65950-000, Brasil</t>
  </si>
  <si>
    <t>-5.521722</t>
  </si>
  <si>
    <t>-45.2274041</t>
  </si>
  <si>
    <t>https://www.google.com/maps/search/?api=1&amp;query=Sal%C3%A3o%20Ana%20Ferreira&amp;query_place_id=ChIJ0Z8pMTVfzZIR109bSKxnqEw</t>
  </si>
  <si>
    <t>Espaço Bouganville</t>
  </si>
  <si>
    <t>+55 99 98472-9246</t>
  </si>
  <si>
    <t>+5599984729246</t>
  </si>
  <si>
    <t>R. Cinco, Barra do Corda - MA, 65950-000, Brasil</t>
  </si>
  <si>
    <t>-5.5176426</t>
  </si>
  <si>
    <t>-45.2249838</t>
  </si>
  <si>
    <t>https://www.google.com/maps/search/?api=1&amp;query=Espa%C3%A7o%20Bouganville&amp;query_place_id=ChIJYZClrXtfzZIRvjn1VkY3hpc</t>
  </si>
  <si>
    <t>Studio Kelmara Lourença especialista em Cílios,Sobrancelhas</t>
  </si>
  <si>
    <t>+55 99 98466-5725</t>
  </si>
  <si>
    <t>+5599984665725</t>
  </si>
  <si>
    <t>Parque Itália - Altamira, Barra do Corda - MA, 65950-000, Brasil</t>
  </si>
  <si>
    <t>-5.5187062</t>
  </si>
  <si>
    <t>-45.2289347</t>
  </si>
  <si>
    <t>https://www.google.com/maps/search/?api=1&amp;query=Studio%20Kelmara%20Louren%C3%A7a%20especialista%20em%20C%C3%ADlios%2CSobrancelhas&amp;query_place_id=ChIJlYAH9exZzZIRXbSzw_F-dCs</t>
  </si>
  <si>
    <t>Salão de Beleza Jéssica Silva</t>
  </si>
  <si>
    <t>+55 99 98170-1285</t>
  </si>
  <si>
    <t>+5599981701285</t>
  </si>
  <si>
    <t>Av. Lulú Rodrigues, 1535 - Altamira II, Barra do Corda - MA, 65950-000, Brasil</t>
  </si>
  <si>
    <t>-5.5129809</t>
  </si>
  <si>
    <t>-45.2285714</t>
  </si>
  <si>
    <t>https://www.google.com/maps/search/?api=1&amp;query=Sal%C3%A3o%20de%20Beleza%20J%C3%A9ssica%20Silva&amp;query_place_id=ChIJAUElDoZfzZIRDGoxXwxCQiA</t>
  </si>
  <si>
    <t>Estética Depil Belíssima</t>
  </si>
  <si>
    <t>+55 99 98404-5118</t>
  </si>
  <si>
    <t>+5599984045118</t>
  </si>
  <si>
    <t>R. da Lâmpada - Vila nair, Barra do Corda - MA, 65950-000, Brasil</t>
  </si>
  <si>
    <t>-5.5154478</t>
  </si>
  <si>
    <t>-45.2270139</t>
  </si>
  <si>
    <t>https://www.google.com/maps/search/?api=1&amp;query=Est%C3%A9tica%20Depil%20Bel%C3%ADssima&amp;query_place_id=ChIJiT1tZAVfzZIR6mbzYC2oB9o</t>
  </si>
  <si>
    <t>Morgana Designer de Unha</t>
  </si>
  <si>
    <t>+55 99 98205-2888</t>
  </si>
  <si>
    <t>+5599982052888</t>
  </si>
  <si>
    <t>R. Nova, Barra do Corda - MA, 65950-000, Brasil</t>
  </si>
  <si>
    <t>-5.5228267</t>
  </si>
  <si>
    <t>-45.2249641</t>
  </si>
  <si>
    <t>https://www.google.com/maps/search/?api=1&amp;query=Morgana%20Designer%20de%20Unha&amp;query_place_id=ChIJVY3U_g1fzZIRrbB-jArIP0U</t>
  </si>
  <si>
    <t>Flávia Nails Designer</t>
  </si>
  <si>
    <t>R. da Flor, 4-50, Barra do Corda - MA, 65950-000, Brasil</t>
  </si>
  <si>
    <t>-5.5209975</t>
  </si>
  <si>
    <t>-45.224744</t>
  </si>
  <si>
    <t>https://www.google.com/maps/search/?api=1&amp;query=Fl%C3%A1via%20Nails%20Designer&amp;query_place_id=ChIJtb08bABfzZIRc-cDP4Xq85c</t>
  </si>
  <si>
    <t>Studio HA</t>
  </si>
  <si>
    <t>+55 99 98492-7145</t>
  </si>
  <si>
    <t>+5599984927145</t>
  </si>
  <si>
    <t>R. 4, Barra do Corda - MA, 65950-000, Brasil</t>
  </si>
  <si>
    <t>-5.514034</t>
  </si>
  <si>
    <t>-45.2280702</t>
  </si>
  <si>
    <t>https://www.google.com/maps/search/?api=1&amp;query=Studio%20HA&amp;query_place_id=ChIJK0XEM1BfzZIRb_5ViPlzvrg</t>
  </si>
  <si>
    <t>Giu Lima Afro Hair</t>
  </si>
  <si>
    <t>+55 99 98442-1802</t>
  </si>
  <si>
    <t>+5599984421802</t>
  </si>
  <si>
    <t>Av. 1, Quadra 01 - Casa 13, Barra do Corda - MA, 65950-000, Brasil</t>
  </si>
  <si>
    <t>-5.5251908</t>
  </si>
  <si>
    <t>-45.2219</t>
  </si>
  <si>
    <t>https://www.google.com/maps/search/?api=1&amp;query=Giu%20Lima%20Afro%20Hair&amp;query_place_id=ChIJX23LLrFfzZIRvepTnQgTdrM</t>
  </si>
  <si>
    <t>Jessy Cabeloss</t>
  </si>
  <si>
    <t>+55 99 98415-6538</t>
  </si>
  <si>
    <t>+5599984156538</t>
  </si>
  <si>
    <t>R. Manoel Milhomem - Altamira, Barra do Corda - MA, 65950-000, Brasil</t>
  </si>
  <si>
    <t>-5.5130902</t>
  </si>
  <si>
    <t>-45.2315101</t>
  </si>
  <si>
    <t>https://www.google.com/maps/search/?api=1&amp;query=Jessy%20Cabeloss&amp;query_place_id=ChIJMfSqhGhfzZIR6QE9FAlZmS8</t>
  </si>
  <si>
    <t>Pedro Neto Studio</t>
  </si>
  <si>
    <t>+55 99 98147-6021</t>
  </si>
  <si>
    <t>+5599981476021</t>
  </si>
  <si>
    <t>Av. Lulú Rodrigues, 1350 - Altamira, Barra do Corda - MA, 65950-000, Brasil</t>
  </si>
  <si>
    <t>-5.5107709</t>
  </si>
  <si>
    <t>-45.2299139</t>
  </si>
  <si>
    <t>https://www.google.com/maps/search/?api=1&amp;query=Pedro%20Neto%20Studio&amp;query_place_id=ChIJY5MHnpZfzZIREf6HBnzK5R8</t>
  </si>
  <si>
    <t>Helena Hear</t>
  </si>
  <si>
    <t>R. da Flor, 21, Barra do Corda - MA, 65950-000, Brasil</t>
  </si>
  <si>
    <t>-5.5205462</t>
  </si>
  <si>
    <t>-45.2247397</t>
  </si>
  <si>
    <t>https://www.google.com/maps/search/?api=1&amp;query=Helena%20Hear&amp;query_place_id=ChIJr5zDsTJfzZIRSPjCSzx5Jx0</t>
  </si>
  <si>
    <t>Delza Cabeleireira</t>
  </si>
  <si>
    <t>+55 99 98153-9033</t>
  </si>
  <si>
    <t>+5599981539033</t>
  </si>
  <si>
    <t>R. Coelho Neto, 302 - Centro, Barra do Corda - MA, 65950-000, Brasil</t>
  </si>
  <si>
    <t>-5.5076241</t>
  </si>
  <si>
    <t>-45.2476959</t>
  </si>
  <si>
    <t>https://www.google.com/maps/search/?api=1&amp;query=Delza%20Cabeleireira&amp;query_place_id=ChIJYTwxdeZezZIRjURspr3FKM0</t>
  </si>
  <si>
    <t>Sheylla cabelos</t>
  </si>
  <si>
    <t>+55 99 98498-7062</t>
  </si>
  <si>
    <t>+5599984987062</t>
  </si>
  <si>
    <t>R. Durival Xavier Cruz, Barra do Corda - MA, 65950-000, Brasil</t>
  </si>
  <si>
    <t>-5.5045119</t>
  </si>
  <si>
    <t>-45.2587298</t>
  </si>
  <si>
    <t>https://www.google.com/maps/search/?api=1&amp;query=Sheylla%20cabelos&amp;query_place_id=ChIJF3h_BDdfzZIR5HlLTPQrX-Y</t>
  </si>
  <si>
    <t>KEYLA Salão de Beleza &amp; Terapeuta Capilar</t>
  </si>
  <si>
    <t>+55 99 98170-4432</t>
  </si>
  <si>
    <t>+5599981704432</t>
  </si>
  <si>
    <t>Av. Pedro Amorim, 56 - Altamira, Barra do Corda - MA, 65950-000, Brasil</t>
  </si>
  <si>
    <t>-5.5071545</t>
  </si>
  <si>
    <t>-45.2367369</t>
  </si>
  <si>
    <t>https://www.google.com/maps/search/?api=1&amp;query=KEYLA%20Sal%C3%A3o%20de%20Beleza%20%26%20Terapeuta%20Capilar&amp;query_place_id=ChIJeRpo-JhfzZIReKdvIXVLIak</t>
  </si>
  <si>
    <t>Sp Gardênia Hair</t>
  </si>
  <si>
    <t>+55 99 98110-8512</t>
  </si>
  <si>
    <t>+5599981108512</t>
  </si>
  <si>
    <t>R. Rio Purus, 750, Barra do Corda - MA, 65950-000, Brasil</t>
  </si>
  <si>
    <t>-5.5000685</t>
  </si>
  <si>
    <t>-45.2555411</t>
  </si>
  <si>
    <t>https://www.google.com/maps/search/?api=1&amp;query=Sp%20Gard%C3%AAnia%20Hair&amp;query_place_id=ChIJs1NlpIxezZIRqYg4A9F4nmo</t>
  </si>
  <si>
    <t>Studio Hair Bdc - Pronto Socorro Dos Cabelos.</t>
  </si>
  <si>
    <t>+55 99 98235-4620</t>
  </si>
  <si>
    <t>+5599982354620</t>
  </si>
  <si>
    <t>R. Rio Juruá, Barra do Corda - MA, 65950-000, Brasil</t>
  </si>
  <si>
    <t>-5.4951132</t>
  </si>
  <si>
    <t>-45.2506973</t>
  </si>
  <si>
    <t>https://www.google.com/maps/search/?api=1&amp;query=Studio%20Hair%20Bdc%20-%20Pronto%20Socorro%20Dos%20Cabelos.&amp;query_place_id=ChIJyR7_2LVfzZIRhaNj1WrmD6Y</t>
  </si>
  <si>
    <t>Mari Borges Beauty</t>
  </si>
  <si>
    <t>+55 99 98498-3613</t>
  </si>
  <si>
    <t>+5599984983613</t>
  </si>
  <si>
    <t>n 242º - R. Rio Tapajós, próximo a kathyelly - Trizidela, Barra do Corda - MA, 65950-000, Brasil</t>
  </si>
  <si>
    <t>-5.4998517</t>
  </si>
  <si>
    <t>-45.2493715</t>
  </si>
  <si>
    <t>https://www.google.com/maps/search/?api=1&amp;query=Mari%20Borges%20Beauty&amp;query_place_id=ChIJER64bL5fzZIRBTEDI2BgUEc</t>
  </si>
  <si>
    <t>Salao de cabeleireiro</t>
  </si>
  <si>
    <t>R. Rio Xingu, 162 - Trizidela, Barra do Corda - MA, 65950-000, Brasil</t>
  </si>
  <si>
    <t>-5.4985129</t>
  </si>
  <si>
    <t>-45.2488771</t>
  </si>
  <si>
    <t>https://www.google.com/maps/search/?api=1&amp;query=Salao%20de%20cabeleireiro&amp;query_place_id=ChIJF68uO0dfzZIRlcvym6FDdfY</t>
  </si>
  <si>
    <t>Osélia Cabeleireiros</t>
  </si>
  <si>
    <t>+55 99 98121-8719</t>
  </si>
  <si>
    <t>+5599981218719</t>
  </si>
  <si>
    <t>R. Rio Xingu, 168 - Trizidela, Barra do Corda - MA, 65950-000, Brasil</t>
  </si>
  <si>
    <t>-5.4961822</t>
  </si>
  <si>
    <t>-45.2484658</t>
  </si>
  <si>
    <t>https://www.google.com/maps/search/?api=1&amp;query=Os%C3%A9lia%20Cabeleireiros&amp;query_place_id=ChIJxfo-rLRfzZIRp4NyEFWz5sY</t>
  </si>
  <si>
    <t>Anny Cabelos Studio</t>
  </si>
  <si>
    <t>+55 99 98432-3127</t>
  </si>
  <si>
    <t>+5599984323127</t>
  </si>
  <si>
    <t>R. do Colégio, 112 - Vl Tamarindo, Barra do Corda - MA, 65950-000, Brasil</t>
  </si>
  <si>
    <t>-5.5120939</t>
  </si>
  <si>
    <t>-45.2624204</t>
  </si>
  <si>
    <t>https://www.google.com/maps/search/?api=1&amp;query=Anny%20Cabelos%20Studio&amp;query_place_id=ChIJtdMTrVZfzZIRLFalQEeFwgg</t>
  </si>
  <si>
    <t>Studio Joselia Silva nail designer</t>
  </si>
  <si>
    <t>+55 99 98533-8958</t>
  </si>
  <si>
    <t>+5599985338958</t>
  </si>
  <si>
    <t>R. Principal 2 - Vila Mariana 1, Barra do Corda - MA, 65950-000, Brasil</t>
  </si>
  <si>
    <t>-5.5207668</t>
  </si>
  <si>
    <t>-45.2221629</t>
  </si>
  <si>
    <t>https://www.google.com/maps/search/?api=1&amp;query=Studio%20Joselia%20Silva%20nail%20designer&amp;query_place_id=ChIJl8ITyixZzZIRvEiD6LjOKS0</t>
  </si>
  <si>
    <t>Studio Toda Bella</t>
  </si>
  <si>
    <t>R. Magda Melquíades Faria, 19, Barra do Corda - MA, 65950-000, Brasil</t>
  </si>
  <si>
    <t>-5.5105446</t>
  </si>
  <si>
    <t>-45.2566356</t>
  </si>
  <si>
    <t>https://www.google.com/maps/search/?api=1&amp;query=Studio%20Toda%20Bella&amp;query_place_id=ChIJW1tRCX5fzZIRKmj473Dd7Fw</t>
  </si>
  <si>
    <t>Studio Larissa Silva</t>
  </si>
  <si>
    <t>+55 99 98248-1826</t>
  </si>
  <si>
    <t>+5599982481826</t>
  </si>
  <si>
    <t>R. São Domingos, 97 - Vl Tamarindo, Barra do Corda - MA, 65950-000, Brasil</t>
  </si>
  <si>
    <t>-5.5116834</t>
  </si>
  <si>
    <t>-45.259827</t>
  </si>
  <si>
    <t>https://www.google.com/maps/search/?api=1&amp;query=Studio%20Larissa%20Silva&amp;query_place_id=ChIJ0w3FdkxfzZIRlPAGJR9YayA</t>
  </si>
  <si>
    <t>Studio_beautiful12</t>
  </si>
  <si>
    <t>+55 99 98833-4552</t>
  </si>
  <si>
    <t>+5599988334552</t>
  </si>
  <si>
    <t>R. Isac Martins, Barra do Corda - MA, 65950-000, Brasil</t>
  </si>
  <si>
    <t>-5.5080624</t>
  </si>
  <si>
    <t>-45.2432442</t>
  </si>
  <si>
    <t>https://www.google.com/maps/search/?api=1&amp;query=Studio_beautiful12&amp;query_place_id=ChIJP9qnifNfzZIRDnxXLSTaIR8</t>
  </si>
  <si>
    <t>Studio Marianne Aguiar</t>
  </si>
  <si>
    <t>+55 99 98167-0758</t>
  </si>
  <si>
    <t>+5599981670758</t>
  </si>
  <si>
    <t>R. Isac Martins, 642 - Centro, Barra do Corda - MA, 65950-000, Brasil</t>
  </si>
  <si>
    <t>-5.5082683</t>
  </si>
  <si>
    <t>-45.2439323</t>
  </si>
  <si>
    <t>https://www.google.com/maps/search/?api=1&amp;query=Studio%20Marianne%20Aguiar&amp;query_place_id=ChIJbffm00tfzZIRr1Gr-cyLgfA</t>
  </si>
  <si>
    <t>WANESSA RABELO STUDIO</t>
  </si>
  <si>
    <t>+55 99 98480-9073</t>
  </si>
  <si>
    <t>+5599984809073</t>
  </si>
  <si>
    <t>R. Miguel Teixeira Mendes, Barra do Corda - MA, 65950-000, Brasil</t>
  </si>
  <si>
    <t>-5.5023025</t>
  </si>
  <si>
    <t>-45.2608426</t>
  </si>
  <si>
    <t>https://www.google.com/maps/search/?api=1&amp;query=WANESSA%20RABELO%20STUDIO&amp;query_place_id=ChIJ96dJjJJfzZIRf6F2LC3TDLA</t>
  </si>
  <si>
    <t>Studio Nanny Morais</t>
  </si>
  <si>
    <t>+55 99 98813-6403</t>
  </si>
  <si>
    <t>+5599988136403</t>
  </si>
  <si>
    <t>R. Rio Mearim, 169 - Trezidela, Barra do Corda - MA, 65950-000, Brasil</t>
  </si>
  <si>
    <t>-5.5014837</t>
  </si>
  <si>
    <t>-45.2524895</t>
  </si>
  <si>
    <t>https://www.google.com/maps/search/?api=1&amp;query=Studio%20Nanny%20Morais&amp;query_place_id=ChIJm_JpdgBfzZIRMxCApFNgrsI</t>
  </si>
  <si>
    <t>Camila Beauty studio</t>
  </si>
  <si>
    <t>+55 98 99102-9359</t>
  </si>
  <si>
    <t>+5598991029359</t>
  </si>
  <si>
    <t>Av. Reginaldo Gomes de Souza - Altamira l, Barra do Corda - MA, 65950-000, Brasil</t>
  </si>
  <si>
    <t>-5.506046</t>
  </si>
  <si>
    <t>-45.2390807</t>
  </si>
  <si>
    <t>https://www.google.com/maps/search/?api=1&amp;query=Camila%20Beauty%20studio&amp;query_place_id=ChIJY9SlQABfzZIRA3p6JmdjrS8</t>
  </si>
  <si>
    <t>Josiane Cardoso Studio</t>
  </si>
  <si>
    <t>+55 99 98451-6919</t>
  </si>
  <si>
    <t>+5599984516919</t>
  </si>
  <si>
    <t>R. Silvino Araújo Franco, 78, Barra do Corda - MA, 65950-000, Brasil</t>
  </si>
  <si>
    <t>-5.5067844</t>
  </si>
  <si>
    <t>-45.2586839</t>
  </si>
  <si>
    <t>https://www.google.com/maps/search/?api=1&amp;query=Josiane%20Cardoso%20Studio&amp;query_place_id=ChIJHbBKJydfzZIRFnknd6WWFZw</t>
  </si>
  <si>
    <t>Essenza Beauty Studio</t>
  </si>
  <si>
    <t>R. Vanda Viêira da Silva, 83 - Incra, Barra do Corda - MA, 65950-000, Brasil</t>
  </si>
  <si>
    <t>-5.5067761</t>
  </si>
  <si>
    <t>-45.2550096</t>
  </si>
  <si>
    <t>https://www.google.com/maps/search/?api=1&amp;query=Essenza%20Beauty%20Studio&amp;query_place_id=ChIJ0dm4C6NfzZIRGMddqWG7J_U</t>
  </si>
  <si>
    <t>Salão Selma Cabelos</t>
  </si>
  <si>
    <t>FQG7+PR, Barra do Corda - MA, 65950-000, Brasil</t>
  </si>
  <si>
    <t>-5.52318</t>
  </si>
  <si>
    <t>-45.2353917</t>
  </si>
  <si>
    <t>https://www.google.com/maps/search/?api=1&amp;query=Sal%C3%A3o%20Selma%20Cabelos&amp;query_place_id=ChIJt1i3CwBfzZIRzHraf6xlExw</t>
  </si>
  <si>
    <t>Sol Cabelos</t>
  </si>
  <si>
    <t>+55 99 98117-0516</t>
  </si>
  <si>
    <t>+5599981170516</t>
  </si>
  <si>
    <t>Av. Lulú Rodrigues, Barra do Corda - MA, 65950-000, Brasil</t>
  </si>
  <si>
    <t>-5.5107304</t>
  </si>
  <si>
    <t>-45.2299549</t>
  </si>
  <si>
    <t>https://www.google.com/maps/search/?api=1&amp;query=Sol%20Cabelos&amp;query_place_id=ChIJ6cPeO7NfzZIRwOLv3ozfouE</t>
  </si>
  <si>
    <t>Sandra Manicure</t>
  </si>
  <si>
    <t>Rua da Copaba, 10, Barra do Corda - MA, 65950-000, Brasil</t>
  </si>
  <si>
    <t>-5.5127866</t>
  </si>
  <si>
    <t>-45.2584533</t>
  </si>
  <si>
    <t>https://www.google.com/maps/search/?api=1&amp;query=Sandra%20Manicure&amp;query_place_id=ChIJ5X3d7P5ezZIRpzRyWB2-nwk</t>
  </si>
  <si>
    <t>Studio Thais Milhomem</t>
  </si>
  <si>
    <t>+55 99 98437-4805</t>
  </si>
  <si>
    <t>+5599984374805</t>
  </si>
  <si>
    <t>R. Oton Milhomem, 736 - Altamira 2, Barra do Corda - MA, 65950-000, Brasil</t>
  </si>
  <si>
    <t>-5.5077262</t>
  </si>
  <si>
    <t>-45.2294966</t>
  </si>
  <si>
    <t>https://www.google.com/maps/search/?api=1&amp;query=Studio%20Thais%20Milhomem&amp;query_place_id=ChIJEwMLcxBfzZIR5DsCpK-zW44</t>
  </si>
  <si>
    <t>Dra.Lunara sousa Tricologista capilar e Cosmetologista dérmica</t>
  </si>
  <si>
    <t>+55 99 98140-9003</t>
  </si>
  <si>
    <t>+5599981409003</t>
  </si>
  <si>
    <t>R. da Igreja Católica, Barra do Corda - MA, 65950-000, Brasil</t>
  </si>
  <si>
    <t>-5.5224524</t>
  </si>
  <si>
    <t>-45.2270266</t>
  </si>
  <si>
    <t>https://www.google.com/maps/search/?api=1&amp;query=Dra.Lunara%20sousa%20Tricologista%20capilar%20e%20Cosmetologista%20d%C3%A9rmica&amp;query_place_id=ChIJ8398kpFfzZIR4lzFeua4oSM</t>
  </si>
  <si>
    <t>Keylla Sousa Lash designer</t>
  </si>
  <si>
    <t>+55 99 98502-4560</t>
  </si>
  <si>
    <t>+5599985024560</t>
  </si>
  <si>
    <t>R. Rio Branco, 21, Barra do Corda - MA, 65950-000, Brasil</t>
  </si>
  <si>
    <t>-5.501097</t>
  </si>
  <si>
    <t>-45.2450631</t>
  </si>
  <si>
    <t>https://www.google.com/maps/search/?api=1&amp;query=Keylla%20Sousa%20Lash%20designer&amp;query_place_id=ChIJX6GH2lxfzZIRCU_6K-Q5hdw</t>
  </si>
  <si>
    <t>Espaço Lanny</t>
  </si>
  <si>
    <t>+55 99 98407-6919</t>
  </si>
  <si>
    <t>+5599984076919</t>
  </si>
  <si>
    <t>R. Rio Tapajós, 86 - Tresidela, Barra do Corda - MA, 65950-000, Brasil</t>
  </si>
  <si>
    <t>-5.4999455</t>
  </si>
  <si>
    <t>-45.2459398</t>
  </si>
  <si>
    <t>https://www.google.com/maps/search/?api=1&amp;query=Espa%C3%A7o%20Lanny&amp;query_place_id=ChIJWTvBbItfzZIRgELTJHWZWY0</t>
  </si>
  <si>
    <t>Sirlleny Cabelos</t>
  </si>
  <si>
    <t>+55 99 98139-8352</t>
  </si>
  <si>
    <t>+5599981398352</t>
  </si>
  <si>
    <t>R. Rio Xingu, 380, Barra do Corda - MA, 65950-000, Brasil</t>
  </si>
  <si>
    <t>-5.496572</t>
  </si>
  <si>
    <t>-45.2530706</t>
  </si>
  <si>
    <t>https://www.google.com/maps/search/?api=1&amp;query=Sirlleny%20Cabelos&amp;query_place_id=ChIJWwg1Q9xfzZIRwyFsNdux0qI</t>
  </si>
  <si>
    <t>Nails Studium Lucineia Paiva</t>
  </si>
  <si>
    <t>+55 99 98105-1892</t>
  </si>
  <si>
    <t>+5599981051892</t>
  </si>
  <si>
    <t>R. Rio Mearim, 483 - Trizidela, Barra do Corda - MA, 65950-000, Brasil</t>
  </si>
  <si>
    <t>-5.4994848</t>
  </si>
  <si>
    <t>-45.2570183</t>
  </si>
  <si>
    <t>https://www.google.com/maps/search/?api=1&amp;query=Nails%20Studium%20Lucineia%20Paiva&amp;query_place_id=ChIJL-LJQu1fzZIRqN_RrUxPs4M</t>
  </si>
  <si>
    <t>K Studio de beleza</t>
  </si>
  <si>
    <t>+55 99 98107-7265</t>
  </si>
  <si>
    <t>+5599981077265</t>
  </si>
  <si>
    <t>R. Rio Purus, 493 - Araticum, Barra do Corda - MA, 65950-000, Brasil</t>
  </si>
  <si>
    <t>-5.5043862</t>
  </si>
  <si>
    <t>-45.2592634</t>
  </si>
  <si>
    <t>https://www.google.com/maps/search/?api=1&amp;query=K%20Studio%20de%20beleza&amp;query_place_id=ChIJAy1SqZNfzZIRxzNa9pVESDY</t>
  </si>
  <si>
    <t>Sayonara Cabelos</t>
  </si>
  <si>
    <t>+55 99 98437-1756</t>
  </si>
  <si>
    <t>+5599984371756</t>
  </si>
  <si>
    <t>Av. Roseana Sarney - Trezidela, Barra do Corda - MA, 65950-000, Brasil</t>
  </si>
  <si>
    <t>-5.5008196</t>
  </si>
  <si>
    <t>-45.2491675</t>
  </si>
  <si>
    <t>https://www.google.com/maps/search/?api=1&amp;query=Sayonara%20Cabelos&amp;query_place_id=ChIJvczy_9JfzZIRMgV9ofPHqwU</t>
  </si>
  <si>
    <t>Fabiana Ilka Designer de Sobrancelhas</t>
  </si>
  <si>
    <t>+55 99 98127-0805</t>
  </si>
  <si>
    <t>+5599981270805</t>
  </si>
  <si>
    <t>Moradas do Rio Corda - Tv. dos Lírios, Q-42 - L-16, Barra do Corda - MA, 65950-000, Brasil</t>
  </si>
  <si>
    <t>-5.4885005</t>
  </si>
  <si>
    <t>-45.2700299</t>
  </si>
  <si>
    <t>https://www.google.com/maps/search/?api=1&amp;query=Fabiana%20Ilka%20Designer%20de%20Sobrancelhas&amp;query_place_id=ChIJfSeUsfRezZIRWJmHEDkoSvE</t>
  </si>
  <si>
    <t>espaço francilda fashion</t>
  </si>
  <si>
    <t>+55 99 98453-1991</t>
  </si>
  <si>
    <t>+5599984531991</t>
  </si>
  <si>
    <t>rua rio tefé, 596, Barra do Corda - MA, 65950-000, Brasil</t>
  </si>
  <si>
    <t>-5.5017258</t>
  </si>
  <si>
    <t>-45.2558083</t>
  </si>
  <si>
    <t>https://www.google.com/maps/search/?api=1&amp;query=espa%C3%A7o%20francilda%20fashion&amp;query_place_id=ChIJ_bFEeSNfzZIRZU-MFWceRUI</t>
  </si>
  <si>
    <t>Raianny Oliveira nails</t>
  </si>
  <si>
    <t>+55 99 98439-6440</t>
  </si>
  <si>
    <t>+5599984396440</t>
  </si>
  <si>
    <t>R. Rio Jutaí, Barra do Corda - MA, 65950-000, Brasil</t>
  </si>
  <si>
    <t>-5.4942316</t>
  </si>
  <si>
    <t>-45.2481689</t>
  </si>
  <si>
    <t>https://www.google.com/maps/search/?api=1&amp;query=Raianny%20Oliveira%20nails&amp;query_place_id=ChIJ1TWDJaFfzZIR2qJO2rgAHe0</t>
  </si>
  <si>
    <t>Studio Beatriz Makeup</t>
  </si>
  <si>
    <t>+55 99 98484-4437</t>
  </si>
  <si>
    <t>+5599984844437</t>
  </si>
  <si>
    <t>R. Leste Oeste Três, 21 - Vila Nenzin, Barra do Corda - MA, 65950-000, Brasil</t>
  </si>
  <si>
    <t>-5.4910762</t>
  </si>
  <si>
    <t>-45.2747816</t>
  </si>
  <si>
    <t>https://www.google.com/maps/search/?api=1&amp;query=Studio%20Beatriz%20Makeup&amp;query_place_id=ChIJi1-_JlhfzZIRQbssBx06LRk</t>
  </si>
  <si>
    <t>Yanna Cabelos</t>
  </si>
  <si>
    <t>R. Tefé, 1149, Barra do Corda - MA, 65950-000, Brasil</t>
  </si>
  <si>
    <t>-5.4953688</t>
  </si>
  <si>
    <t>-45.2533648</t>
  </si>
  <si>
    <t>https://www.google.com/maps/search/?api=1&amp;query=Yanna%20Cabelos&amp;query_place_id=ChIJ-aCRrHBfzZIRh99UPuGWKSQ</t>
  </si>
  <si>
    <t>Espaço Arleth Macêdo</t>
  </si>
  <si>
    <t>-5.4828403</t>
  </si>
  <si>
    <t>-45.2456072</t>
  </si>
  <si>
    <t>https://www.google.com/maps/search/?api=1&amp;query=Espa%C3%A7o%20Arleth%20Mac%C3%AAdo&amp;query_place_id=ChIJb-rZCQBdzZIRosaGKkfz2uM</t>
  </si>
  <si>
    <t>Carla Andrade cabelos</t>
  </si>
  <si>
    <t>+55 98 98300-0782</t>
  </si>
  <si>
    <t>+5598983000782</t>
  </si>
  <si>
    <t>R. Rio Negro, 95 - Trizidela, Barra do Corda - MA, 65950-000, Brasil</t>
  </si>
  <si>
    <t>-5.5031328</t>
  </si>
  <si>
    <t>-45.2467448</t>
  </si>
  <si>
    <t>https://www.google.com/maps/search/?api=1&amp;query=Carla%20Andrade%20cabelos&amp;query_place_id=ChIJT3Ht60RfzZIRRAcBAJPuCH8</t>
  </si>
  <si>
    <t>Salão Star Cabeleireiro</t>
  </si>
  <si>
    <t>R. Rio Purus, 47 - Trizidela, Barra do Corda - MA, 65950-000, Brasil</t>
  </si>
  <si>
    <t>-5.5028909</t>
  </si>
  <si>
    <t>-45.2501398</t>
  </si>
  <si>
    <t>https://www.google.com/maps/search/?api=1&amp;query=Sal%C3%A3o%20Star%20Cabeleireiro&amp;query_place_id=ChIJIa7EGyZfzZIRxoDDQMtC8WI</t>
  </si>
  <si>
    <t>Josino Cabeleireiro</t>
  </si>
  <si>
    <t>+55 99 98807-7904</t>
  </si>
  <si>
    <t>+5599988077904</t>
  </si>
  <si>
    <t>-5.5161773</t>
  </si>
  <si>
    <t>-45.2294808</t>
  </si>
  <si>
    <t>https://www.google.com/maps/search/?api=1&amp;query=Josino%20Cabeleireiro&amp;query_place_id=ChIJqUTUcoRfzZIRIIQDiQucSmA</t>
  </si>
  <si>
    <t>Ana Hair</t>
  </si>
  <si>
    <t>+55 99 98815-7477</t>
  </si>
  <si>
    <t>+5599988157477</t>
  </si>
  <si>
    <t>Quadra 21 lote 37, Barra do Corda - MA, 65950-000, Brasil</t>
  </si>
  <si>
    <t>-5.5018917</t>
  </si>
  <si>
    <t>-45.2464996</t>
  </si>
  <si>
    <t>https://www.google.com/maps/search/?api=1&amp;query=Ana%20Hair&amp;query_place_id=ChIJEbVaqMNfzZIRPsWIzI3w_Dc</t>
  </si>
  <si>
    <t>Duda Cabelos</t>
  </si>
  <si>
    <t>+55 999703606</t>
  </si>
  <si>
    <t>R. Rio Tapajós, Barra do Corda - MA, 65950-000, Brasil</t>
  </si>
  <si>
    <t>-5.4984041</t>
  </si>
  <si>
    <t>-45.2523536</t>
  </si>
  <si>
    <t>https://www.google.com/maps/search/?api=1&amp;query=Duda%20Cabelos&amp;query_place_id=ChIJK1DAoZJezZIRTQ6FFUjC9dA</t>
  </si>
  <si>
    <t>Barbearia Novo Visual</t>
  </si>
  <si>
    <t>+55 99 98110-8920</t>
  </si>
  <si>
    <t>+5599981108920</t>
  </si>
  <si>
    <t>R. Rio Jutaí, 50 - Trizidela, Barra do Corda - MA, 65950-000, Brasil</t>
  </si>
  <si>
    <t>-5.5015865</t>
  </si>
  <si>
    <t>-45.2516004</t>
  </si>
  <si>
    <t>https://www.google.com/maps/search/?api=1&amp;query=Barbearia%20Novo%20Visual&amp;query_place_id=ChIJTf7Sbr9fzZIRokGk7CIHzK4</t>
  </si>
  <si>
    <t>Espaço Bellas Unhas</t>
  </si>
  <si>
    <t>+55 99 98165-0794</t>
  </si>
  <si>
    <t>+5599981650794</t>
  </si>
  <si>
    <t>R. Tefé, 1179, Barra do Corda - MA, 65950-000, Brasil</t>
  </si>
  <si>
    <t>-5.4950042</t>
  </si>
  <si>
    <t>-45.2531481</t>
  </si>
  <si>
    <t>https://www.google.com/maps/search/?api=1&amp;query=Espa%C3%A7o%20Bellas%20Unhas&amp;query_place_id=ChIJacI2OHRfzZIRoAmEh5haYnk</t>
  </si>
  <si>
    <t>Studio Juliene Martins</t>
  </si>
  <si>
    <t>+55 99 99129-5183</t>
  </si>
  <si>
    <t>+5599991295183</t>
  </si>
  <si>
    <t>Avenida principal - Vila Alvorada, Barra do Corda - MA, 65950-000, Brasil</t>
  </si>
  <si>
    <t>-5.501892</t>
  </si>
  <si>
    <t>-45.2465</t>
  </si>
  <si>
    <t>https://www.google.com/maps/search/?api=1&amp;query=Studio%20Juliene%20Martins&amp;query_place_id=ChIJzz4wxC5dzZIRpqUoJ1sGrWQ</t>
  </si>
  <si>
    <t>Espaço MULHER</t>
  </si>
  <si>
    <t>+55 11 94514-5136</t>
  </si>
  <si>
    <t>+5511945145136</t>
  </si>
  <si>
    <t>R. Rio Xingu, 328, Barra do Corda - MA, 65950-000, Brasil</t>
  </si>
  <si>
    <t>-5.4976384</t>
  </si>
  <si>
    <t>-45.2520978</t>
  </si>
  <si>
    <t>https://www.google.com/maps/search/?api=1&amp;query=Espa%C3%A7o%20MULHER&amp;query_place_id=ChIJlSZDhJJezZIR_KzCFJ_01B4</t>
  </si>
  <si>
    <t>PH Sobrancelhas</t>
  </si>
  <si>
    <t>+55 99 98533-2651</t>
  </si>
  <si>
    <t>+5599985332651</t>
  </si>
  <si>
    <t>R. Tefé - Trisidela, Barra do Corda - MA, 65950-000, Brasil</t>
  </si>
  <si>
    <t>-5.4976771</t>
  </si>
  <si>
    <t>-45.254254</t>
  </si>
  <si>
    <t>https://www.google.com/maps/search/?api=1&amp;query=PH%20Sobrancelhas&amp;query_place_id=ChIJ22qvw-RfzZIR5qKbgYchE_w</t>
  </si>
  <si>
    <t>Letícia Alves Designer de Sobrancelhas</t>
  </si>
  <si>
    <t>+55 99 98436-7445</t>
  </si>
  <si>
    <t>+5599984367445</t>
  </si>
  <si>
    <t>R. Mansueto Franco, Barra do Corda - MA, 65950-000, Brasil</t>
  </si>
  <si>
    <t>-5.4977164</t>
  </si>
  <si>
    <t>-45.274139</t>
  </si>
  <si>
    <t>https://www.google.com/maps/search/?api=1&amp;query=Let%C3%ADcia%20Alves%20Designer%20de%20Sobrancelhas&amp;query_place_id=ChIJ0xY5FwBfzZIRulUhSHviz7I</t>
  </si>
  <si>
    <t>Ligia Azevedo US</t>
  </si>
  <si>
    <t>R. Rio Mearim, Barra do Corda - MA, 65950-000, Brasil</t>
  </si>
  <si>
    <t>-5.4999777</t>
  </si>
  <si>
    <t>-45.2558697</t>
  </si>
  <si>
    <t>https://www.google.com/maps/search/?api=1&amp;query=Ligia%20Azevedo%20US&amp;query_place_id=ChIJwTIq4DlfzZIRIdIP68bz2R8</t>
  </si>
  <si>
    <t>Studio Wanessa Costa</t>
  </si>
  <si>
    <t>+55 99 98223-0773</t>
  </si>
  <si>
    <t>+5599982230773</t>
  </si>
  <si>
    <t>R. Rio Purús, Barra do Corda - MA, 65950-000, Brasil</t>
  </si>
  <si>
    <t>-5.4962185</t>
  </si>
  <si>
    <t>-45.2555044</t>
  </si>
  <si>
    <t>https://www.google.com/maps/search/?api=1&amp;query=Studio%20Wanessa%20Costa&amp;query_place_id=ChIJj0Vd6GtfzZIRQVuO9yIWgyo</t>
  </si>
  <si>
    <t>Studio Raylany Almeida Nails Designer - Barra do Corda</t>
  </si>
  <si>
    <t>+55 99 98434-2296</t>
  </si>
  <si>
    <t>+5599984342296</t>
  </si>
  <si>
    <t>Rua Rio Tefe - Trezidela, Barra do Corda - MA, 65950-000, Brasil</t>
  </si>
  <si>
    <t>-5.5010444</t>
  </si>
  <si>
    <t>-45.255779</t>
  </si>
  <si>
    <t>https://www.google.com/maps/search/?api=1&amp;query=Studio%20Raylany%20Almeida%20Nails%20Designer%20-%20Barra%20do%20Corda&amp;query_place_id=ChIJSws20aFfzZIRn9OMKMcvGr0</t>
  </si>
  <si>
    <t>Salão taty cabelos</t>
  </si>
  <si>
    <t>-5.3311261</t>
  </si>
  <si>
    <t>-45.100553</t>
  </si>
  <si>
    <t>https://www.google.com/maps/search/?api=1&amp;query=Sal%C3%A3o%20taty%20cabelos&amp;query_place_id=ChIJt5Q6SwBJzZIRkR754ZaKfms</t>
  </si>
  <si>
    <t>Marylu Unhas</t>
  </si>
  <si>
    <t>+55 99 99977-8093</t>
  </si>
  <si>
    <t>+5599999778093</t>
  </si>
  <si>
    <t>https://www.google.com/maps/search/?api=1&amp;query=Marylu%20Unhas&amp;query_place_id=ChIJYcaRD45ezZIRQSuzfdnzPbk</t>
  </si>
  <si>
    <t>Luanadepil</t>
  </si>
  <si>
    <t>+55 99 98200-2648</t>
  </si>
  <si>
    <t>+5599982002648</t>
  </si>
  <si>
    <t>R. Rio Mearim, 403 - Trizidela, Barra do Corda - MA, 65950-000, Brasil</t>
  </si>
  <si>
    <t>-5.5001899</t>
  </si>
  <si>
    <t>-45.2558061</t>
  </si>
  <si>
    <t>https://www.google.com/maps/search/?api=1&amp;query=Luanadepil&amp;query_place_id=ChIJ1T2cU4lfzZIRUTfCOvFTYSs</t>
  </si>
  <si>
    <t>Gisele Luz Nail Stúdio</t>
  </si>
  <si>
    <t>+55 99 98458-3353</t>
  </si>
  <si>
    <t>+5599984583353</t>
  </si>
  <si>
    <t>R. Almir Silva, Barra do Corda - MA, 65950-000, Brasil</t>
  </si>
  <si>
    <t>-5.5033853</t>
  </si>
  <si>
    <t>-45.2368677</t>
  </si>
  <si>
    <t>https://www.google.com/maps/search/?api=1&amp;query=Gisele%20Luz%20Nail%20St%C3%BAdio&amp;query_place_id=ChIJXyfAyLNfzZIRb6LArTzhMeQ</t>
  </si>
  <si>
    <t>R. Projetada Um, Barra do Corda - MA, 65950-000, Brasil</t>
  </si>
  <si>
    <t>-5.4938034</t>
  </si>
  <si>
    <t>-45.2590994</t>
  </si>
  <si>
    <t>https://www.google.com/maps/search/?api=1&amp;query=Est%C3%A9tica%20Depil%20Bel%C3%ADssima&amp;query_place_id=ChIJOzwVaL9fzZIR9LittD5_XjE</t>
  </si>
  <si>
    <t>Priscyla Noellen Estética Facial</t>
  </si>
  <si>
    <t>-5.5077489</t>
  </si>
  <si>
    <t>-45.2452658</t>
  </si>
  <si>
    <t>https://www.google.com/maps/search/?api=1&amp;query=Priscyla%20Noellen%20Est%C3%A9tica%20Facial&amp;query_place_id=ChIJuQQOzb5fzZIRWN1f55E_KAY</t>
  </si>
  <si>
    <t>Janna Bronze</t>
  </si>
  <si>
    <t>R. Dom João Galdino, Barra do Corda - MA, 65950-000, Brasil</t>
  </si>
  <si>
    <t>-5.4916031</t>
  </si>
  <si>
    <t>-45.2459587</t>
  </si>
  <si>
    <t>https://www.google.com/maps/search/?api=1&amp;query=Janna%20Bronze&amp;query_place_id=ChIJkYKlVwBfzZIRFojBvl-ZS9k</t>
  </si>
  <si>
    <t>Andréia Carvalho nails</t>
  </si>
  <si>
    <t>-5.250612</t>
  </si>
  <si>
    <t>-45.0420523</t>
  </si>
  <si>
    <t>https://www.google.com/maps/search/?api=1&amp;query=Andr%C3%A9ia%20Carvalho%20nails&amp;query_place_id=ChIJT0HvA8c1zZIR76wo8rRjAZM</t>
  </si>
  <si>
    <t>Romaires matos nail designer</t>
  </si>
  <si>
    <t>+55 99 98503-2915</t>
  </si>
  <si>
    <t>+5599985032915</t>
  </si>
  <si>
    <t>Rua 15, Barra do Corda - MA, 65950-000, Brasil</t>
  </si>
  <si>
    <t>https://www.google.com/maps/search/?api=1&amp;query=Romaires%20matos%20nail%20designer&amp;query_place_id=ChIJh1P9wexfzZIRH_JZ4gpx11Y</t>
  </si>
  <si>
    <t>Studio Amanda Luz</t>
  </si>
  <si>
    <t>+55 99 98173-7214</t>
  </si>
  <si>
    <t>+5599981737214</t>
  </si>
  <si>
    <t>https://www.google.com/maps/search/?api=1&amp;query=Studio%20Amanda%20Luz&amp;query_place_id=ChIJtxhwtF9fzZIRIln63eYz1tc</t>
  </si>
  <si>
    <t>Studio Deynna Silvah</t>
  </si>
  <si>
    <t>+55 99 98541-0092</t>
  </si>
  <si>
    <t>+5599985410092</t>
  </si>
  <si>
    <t>https://www.google.com/maps/search/?api=1&amp;query=Studio%20Deynna%20Silvah&amp;query_place_id=ChIJ23PNiRoziqoRcxtBOHRUAJA</t>
  </si>
  <si>
    <t>Studio ellena Nolberto</t>
  </si>
  <si>
    <t>+55 99 98539-5806</t>
  </si>
  <si>
    <t>+5599985395806</t>
  </si>
  <si>
    <t>Rua São Jorge, Caminho Zacarias Vila Nenzim, 398, Barra do Corda - MA, 65950-000, Brasil</t>
  </si>
  <si>
    <t>-5.4913898</t>
  </si>
  <si>
    <t>-45.2766934</t>
  </si>
  <si>
    <t>https://www.google.com/maps/search/?api=1&amp;query=Studio%20ellena%20Nolberto&amp;query_place_id=ChIJV9-4dRpfzZIRvkWeUJ4M76k</t>
  </si>
  <si>
    <t>Dhessy Ribeiro Studio Clinic</t>
  </si>
  <si>
    <t>+55 99 98154-7458</t>
  </si>
  <si>
    <t>+5599981547458</t>
  </si>
  <si>
    <t>Rua das Figuras Moradas do Rio corda, Barra do Corda - MA, 65950-000, Brasil</t>
  </si>
  <si>
    <t>-5.4840992</t>
  </si>
  <si>
    <t>-45.2675069</t>
  </si>
  <si>
    <t>https://www.google.com/maps/search/?api=1&amp;query=Dhessy%20Ribeiro%20Studio%20Clinic&amp;query_place_id=ChIJ4-8BZX5dzZIRoC_ZeG8DlQA</t>
  </si>
  <si>
    <t>Espaço Daniele Santos/ Nail designer - Unhas</t>
  </si>
  <si>
    <t>V559+47, Barra do Corda - MA, 65950-000, Brasil</t>
  </si>
  <si>
    <t>-5.1417182</t>
  </si>
  <si>
    <t>-44.8337644</t>
  </si>
  <si>
    <t>https://www.google.com/maps/search/?api=1&amp;query=Espa%C3%A7o%20Daniele%20Santos%2F%20Nail%20designer%20-%20Unhas&amp;query_place_id=ChIJiX6acwAxiAcRdwjjZo_8pJ8</t>
  </si>
  <si>
    <t>@Designer de Sobrancelhas</t>
  </si>
  <si>
    <t>+55 982689271</t>
  </si>
  <si>
    <t>R. São Francisco, Barra do Corda - MA, 65950-000, Brasil</t>
  </si>
  <si>
    <t>-5.5156832</t>
  </si>
  <si>
    <t>-45.2654284</t>
  </si>
  <si>
    <t>https://www.google.com/maps/search/?api=1&amp;query=%40Designer%20de%20Sobrancelhas&amp;query_place_id=ChIJm8chyFRezZIRlBnX_b82WG4</t>
  </si>
  <si>
    <t>belissima cabelos</t>
  </si>
  <si>
    <t>+55 99 98806-1300</t>
  </si>
  <si>
    <t>+5599988061300</t>
  </si>
  <si>
    <t>R. Benedito Leite, 403 - Centro, Barra do Corda - MA, 65950-000, Brasil</t>
  </si>
  <si>
    <t>-5.5058965</t>
  </si>
  <si>
    <t>-45.2436345</t>
  </si>
  <si>
    <t>https://www.google.com/maps/search/?api=1&amp;query=belissima%20cabelos&amp;query_place_id=ChIJQ_SZjOdezZIRBGetG08sP5c</t>
  </si>
  <si>
    <t>Revitale Estética e Saúde</t>
  </si>
  <si>
    <t>+55 98 97018-9509</t>
  </si>
  <si>
    <t>+5598970189509</t>
  </si>
  <si>
    <t>R. Rio Flôres, 116 - Trizidela, Barra do Corda - MA, 65950-000, Brasil</t>
  </si>
  <si>
    <t>-5.5014029</t>
  </si>
  <si>
    <t>-45.2547044</t>
  </si>
  <si>
    <t>https://www.google.com/maps/search/?api=1&amp;query=Revitale%20Est%C3%A9tica%20e%20Sa%C3%BAde&amp;query_place_id=ChIJV87rbZxfzZIR3q0m4W5-UDE</t>
  </si>
  <si>
    <t>Arleane Carvalho Clinic &amp; Academy</t>
  </si>
  <si>
    <t>+55 99 99154-8086</t>
  </si>
  <si>
    <t>+5599991548086</t>
  </si>
  <si>
    <t>R. Coelho Neto, 462 - Centro, Barra do Corda - MA, 65950-000, Brasil</t>
  </si>
  <si>
    <t>-5.5075909</t>
  </si>
  <si>
    <t>-45.2463303</t>
  </si>
  <si>
    <t>https://www.google.com/maps/search/?api=1&amp;query=Arleane%20Carvalho%20Clinic%20%26%20Academy&amp;query_place_id=ChIJSXa4xmpfzZIRrSjUgWopLfo</t>
  </si>
  <si>
    <t>D'Maria Cosmético - Centro</t>
  </si>
  <si>
    <t>+55 99 98408-8528</t>
  </si>
  <si>
    <t>+5599984088528</t>
  </si>
  <si>
    <t>R. Irmã Helena - Centro, Barra do Corda - MA, 65950-000, Brasil</t>
  </si>
  <si>
    <t>-5.5060605</t>
  </si>
  <si>
    <t>-45.2494267</t>
  </si>
  <si>
    <t>https://www.google.com/maps/search/?api=1&amp;query=D'Maria%20Cosm%C3%A9tico%20-%20Centro&amp;query_place_id=ChIJKYv6iI9fzZIRxftzyq2D7Yw</t>
  </si>
  <si>
    <t>Débora Brenda Lash Designer</t>
  </si>
  <si>
    <t>+55 19 98276-4294</t>
  </si>
  <si>
    <t>+5519982764294</t>
  </si>
  <si>
    <t>https://www.google.com/maps/search/?api=1&amp;query=D%C3%A9bora%20Brenda%20Lash%20Designer&amp;query_place_id=ChIJY0mJHoOwa0kRRmWD03KMHoY</t>
  </si>
  <si>
    <t>Espaço Larissa Designer</t>
  </si>
  <si>
    <t>+55 99 98270-4758</t>
  </si>
  <si>
    <t>+5599982704758</t>
  </si>
  <si>
    <t>R. Rio Madeira - Araticum, Barra do Corda - MA, 65950-000, Brasil</t>
  </si>
  <si>
    <t>-5.504478</t>
  </si>
  <si>
    <t>-45.2617839</t>
  </si>
  <si>
    <t>https://www.google.com/maps/search/?api=1&amp;query=Espa%C3%A7o%20Larissa%20Designer&amp;query_place_id=ChIJd_iRtlpfzZIROeLwzFFPRUs</t>
  </si>
  <si>
    <t>Ana Ferreira</t>
  </si>
  <si>
    <t>-5.5232765</t>
  </si>
  <si>
    <t>-45.2241272</t>
  </si>
  <si>
    <t>https://www.google.com/maps/search/?api=1&amp;query=Ana%20Ferreira&amp;query_place_id=ChIJHeAVWABZzZIRE_F45tWIftM</t>
  </si>
  <si>
    <t>Deborah Brenda Lash Designer</t>
  </si>
  <si>
    <t>Av. Eliéser Moreira, Barra do Corda - MA, 65950-000, Brasil</t>
  </si>
  <si>
    <t>-5.5095559</t>
  </si>
  <si>
    <t>-45.2562804</t>
  </si>
  <si>
    <t>https://www.google.com/maps/search/?api=1&amp;query=Deborah%20Brenda%20Lash%20Designer&amp;query_place_id=ChIJqw9qZABfzZIRSaFaoxZtmGM</t>
  </si>
  <si>
    <t>Ateliê de Beleza by Dalila Santos</t>
  </si>
  <si>
    <t>+55 99 98508-6158</t>
  </si>
  <si>
    <t>+5599985086158</t>
  </si>
  <si>
    <t>R. José Maria Madeira, 56A, Barra do Corda - MA, 65950-000, Brasil</t>
  </si>
  <si>
    <t>-5.5119229</t>
  </si>
  <si>
    <t>-45.2548371</t>
  </si>
  <si>
    <t>https://www.google.com/maps/search/?api=1&amp;query=Ateli%C3%AA%20de%20Beleza%20by%20Dalila%20Santos&amp;query_place_id=ChIJj4KELwBfzZIR7gayrBcNKIc</t>
  </si>
  <si>
    <t>Jeane</t>
  </si>
  <si>
    <t>-5.5103029</t>
  </si>
  <si>
    <t>-45.2570684</t>
  </si>
  <si>
    <t>https://www.google.com/maps/search/?api=1&amp;query=Jeane&amp;query_place_id=ChIJv1OcZwBfzZIRS-Qw-TlUlUI</t>
  </si>
  <si>
    <t>Studioarianallima</t>
  </si>
  <si>
    <t>+55 99 98153-0804</t>
  </si>
  <si>
    <t>+5599981530804</t>
  </si>
  <si>
    <t>R. Manoel Milhomem, Barra do Corda - MA, 65950-000, Brasil</t>
  </si>
  <si>
    <t>-5.50777</t>
  </si>
  <si>
    <t>-45.234751</t>
  </si>
  <si>
    <t>https://www.google.com/maps/search/?api=1&amp;query=Studioarianallima&amp;query_place_id=ChIJSeg00R1fzZIRy4MlzdMbodo</t>
  </si>
  <si>
    <t>Espaço Didy Rodrigues</t>
  </si>
  <si>
    <t>+55 99 99137-8817</t>
  </si>
  <si>
    <t>+5599991378817</t>
  </si>
  <si>
    <t>Avenida José Delfino de Menezes - Altamira, Barra do Corda - MA, 65950-000, Brasil</t>
  </si>
  <si>
    <t>-5.5071176</t>
  </si>
  <si>
    <t>-45.2363549</t>
  </si>
  <si>
    <t>https://www.google.com/maps/search/?api=1&amp;query=Espa%C3%A7o%20Didy%20Rodrigues&amp;query_place_id=ChIJiZ3UA3hfzZIR2HC26OyEXjw</t>
  </si>
  <si>
    <t>Cris moreira beauty</t>
  </si>
  <si>
    <t>R. João Benedito, Barra do Corda - MA, 65950-000, Brasil</t>
  </si>
  <si>
    <t>-5.5060947</t>
  </si>
  <si>
    <t>-45.2405435</t>
  </si>
  <si>
    <t>https://www.google.com/maps/search/?api=1&amp;query=Cris%20moreira%20beauty&amp;query_place_id=ChIJr8PwAQBfzZIReRk7f4i0058</t>
  </si>
  <si>
    <t>Erasmo Barbearia</t>
  </si>
  <si>
    <t>+55 99 98102-8004</t>
  </si>
  <si>
    <t>+5599981028004</t>
  </si>
  <si>
    <t>R. Profa. Safira, 48 - Altamira, Barra do Corda - MA, 65950-000, Brasil</t>
  </si>
  <si>
    <t>-5.513143</t>
  </si>
  <si>
    <t>-45.2369783</t>
  </si>
  <si>
    <t>https://www.google.com/maps/search/?api=1&amp;query=Erasmo%20Barbearia&amp;query_place_id=ChIJSwUgQCdfzZIR342B3UifzUE</t>
  </si>
  <si>
    <t>R.R.BRONZE</t>
  </si>
  <si>
    <t>+55 99 98144-8525</t>
  </si>
  <si>
    <t>+5599981448525</t>
  </si>
  <si>
    <t>Av. dos Cocáis - Incra, Barra do Corda - MA, 65950-000, Brasil</t>
  </si>
  <si>
    <t>-5.5098921</t>
  </si>
  <si>
    <t>-45.2513468</t>
  </si>
  <si>
    <t>https://www.google.com/maps/search/?api=1&amp;query=R.R.BRONZE&amp;query_place_id=ChIJ6zGsRU1fzZIRjr5lkEoLV0E</t>
  </si>
  <si>
    <t>Angela Manicure</t>
  </si>
  <si>
    <t>Avenida 6 - Vila Mariano 2, Barra do Corda - MA, 65950-000, Brasil</t>
  </si>
  <si>
    <t>-5.524445</t>
  </si>
  <si>
    <t>-45.2180716</t>
  </si>
  <si>
    <t>https://www.google.com/maps/search/?api=1&amp;query=Angela%20Manicure&amp;query_place_id=ChIJjSBtSURfzZIRyZvlfZvrTQ0</t>
  </si>
  <si>
    <t>Doce charme esmalteria</t>
  </si>
  <si>
    <t>+55 99 99174-5510</t>
  </si>
  <si>
    <t>+5599991745510</t>
  </si>
  <si>
    <t>FQCJ+X4, Barra do Corda - MA, 65950-000, Brasil</t>
  </si>
  <si>
    <t>-5.5275458</t>
  </si>
  <si>
    <t>-45.2197263</t>
  </si>
  <si>
    <t>https://www.google.com/maps/search/?api=1&amp;query=Doce%20charme%20esmalteria&amp;query_place_id=ChIJZ--pnERZzZIRWp5jVl1lKNg</t>
  </si>
  <si>
    <t>Crysley Moreno Nails Designer</t>
  </si>
  <si>
    <t>+55 99 98455-1620</t>
  </si>
  <si>
    <t>+5599984551620</t>
  </si>
  <si>
    <t>R. do Amor, S/N - Vila Sampaio, Barra do Corda - MA, 65950-000, Brasil</t>
  </si>
  <si>
    <t>-5.5214304</t>
  </si>
  <si>
    <t>-45.2255687</t>
  </si>
  <si>
    <t>https://www.google.com/maps/search/?api=1&amp;query=Crysley%20Moreno%20Nails%20Designer&amp;query_place_id=ChIJdZ5-3EBfzZIR1iEv5zcspAA</t>
  </si>
  <si>
    <t>Espaço Maria Lopes Podóloga</t>
  </si>
  <si>
    <t>+55 99 98540-8691</t>
  </si>
  <si>
    <t>+5599985408691</t>
  </si>
  <si>
    <t>Av. Lulú Rodrigues, 1358 - Altamira, Barra do Corda - MA, 65950-000, Brasil</t>
  </si>
  <si>
    <t>-5.5111482</t>
  </si>
  <si>
    <t>-45.2297574</t>
  </si>
  <si>
    <t>https://www.google.com/maps/search/?api=1&amp;query=Espa%C3%A7o%20Maria%20Lopes%20Pod%C3%B3loga&amp;query_place_id=ChIJoRfp5C9fzZIRoV3jzchaiSY</t>
  </si>
  <si>
    <t>Lanny Silva | Lash e Sobrancelhas</t>
  </si>
  <si>
    <t>+55 99 99213-9964</t>
  </si>
  <si>
    <t>+5599992139964</t>
  </si>
  <si>
    <t>R. Doca Barbalho - Piquizinho, Barra do Corda - MA, 65950-000, Brasil</t>
  </si>
  <si>
    <t>-5.5098177</t>
  </si>
  <si>
    <t>-45.2299894</t>
  </si>
  <si>
    <t>https://www.google.com/maps/search/?api=1&amp;query=Lanny%20Silva%20%7C%20Lash%20e%20Sobrancelhas&amp;query_place_id=ChIJ8yE3ZcdfzZIRSNlnP_Gl1jg</t>
  </si>
  <si>
    <t>Studio Adelly carvalho</t>
  </si>
  <si>
    <t>+55 99 99101-1482</t>
  </si>
  <si>
    <t>+5599991011482</t>
  </si>
  <si>
    <t>vila Nair - R. Sete, Rua 7 - Vila-Nair, Barra do Corda - MA, 65950-000, Brasil</t>
  </si>
  <si>
    <t>-5.5183266</t>
  </si>
  <si>
    <t>-45.2239855</t>
  </si>
  <si>
    <t>https://www.google.com/maps/search/?api=1&amp;query=Studio%20Adelly%20carvalho&amp;query_place_id=ChIJS56rHABfzZIRQCDePk9Pb-Q</t>
  </si>
  <si>
    <t>Nail's Brilhante by Juliana Brilhante</t>
  </si>
  <si>
    <t>+55 99 98134-7687</t>
  </si>
  <si>
    <t>+5599981347687</t>
  </si>
  <si>
    <t>R. Isac Martins, 2001, Altamira - MA, 65950-000, Brasil</t>
  </si>
  <si>
    <t>-5.5092512</t>
  </si>
  <si>
    <t>-45.2382882</t>
  </si>
  <si>
    <t>https://www.google.com/maps/search/?api=1&amp;query=Nail's%20Brilhante%20by%20Juliana%20Brilhante&amp;query_place_id=ChIJBS0z8dtezZIRlIjmH1Ir7RY</t>
  </si>
  <si>
    <t>Oneide Cabelos 💇🏼‍♀️</t>
  </si>
  <si>
    <t>+55 99 98119-5858</t>
  </si>
  <si>
    <t>+5599981195858</t>
  </si>
  <si>
    <t>Av. Eliéser Moreira, 67, Barra do Corda - MA, 65950-000, Brasil</t>
  </si>
  <si>
    <t>-5.5044023</t>
  </si>
  <si>
    <t>-45.2511322</t>
  </si>
  <si>
    <t>https://www.google.com/maps/search/?api=1&amp;query=Oneide%20Cabelos%20%F0%9F%92%87%F0%9F%8F%BC%E2%80%8D%E2%99%80%EF%B8%8F&amp;query_place_id=ChIJCeC9NyNfzZIR-vsQX4jPtRw</t>
  </si>
  <si>
    <t>Tok feminino</t>
  </si>
  <si>
    <t>+55 99 98152-2201</t>
  </si>
  <si>
    <t>+5599981522201</t>
  </si>
  <si>
    <t>Rua Combatente Airton, R. Zilmar Arnaldo Leao Alencar - Incra, Barra do Corda - MA, 65950-000, Brasil</t>
  </si>
  <si>
    <t>-5.5123707</t>
  </si>
  <si>
    <t>-45.2509081</t>
  </si>
  <si>
    <t>https://www.google.com/maps/search/?api=1&amp;query=Tok%20feminino&amp;query_place_id=ChIJ-Yznr0xfzZIRl4svVv76rUs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</si>
</sst>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Studio_beautiful12&amp;query_place_id=ChIJP9qnifNfzZIRDnxXLSTaIR8" TargetMode="External"/><Relationship Id="rId42" Type="http://schemas.openxmlformats.org/officeDocument/2006/relationships/hyperlink" Target="https://www.google.com/maps/search/?api=1&amp;query=WANESSA%20RABELO%20STUDIO&amp;query_place_id=ChIJ96dJjJJfzZIRf6F2LC3TDLA" TargetMode="External"/><Relationship Id="rId41" Type="http://schemas.openxmlformats.org/officeDocument/2006/relationships/hyperlink" Target="https://www.google.com/maps/search/?api=1&amp;query=Studio%20Marianne%20Aguiar&amp;query_place_id=ChIJbffm00tfzZIRr1Gr-cyLgfA" TargetMode="External"/><Relationship Id="rId44" Type="http://schemas.openxmlformats.org/officeDocument/2006/relationships/hyperlink" Target="https://www.google.com/maps/search/?api=1&amp;query=Camila%20Beauty%20studio&amp;query_place_id=ChIJY9SlQABfzZIRA3p6JmdjrS8" TargetMode="External"/><Relationship Id="rId43" Type="http://schemas.openxmlformats.org/officeDocument/2006/relationships/hyperlink" Target="https://www.google.com/maps/search/?api=1&amp;query=Studio%20Nanny%20Morais&amp;query_place_id=ChIJm_JpdgBfzZIRMxCApFNgrsI" TargetMode="External"/><Relationship Id="rId46" Type="http://schemas.openxmlformats.org/officeDocument/2006/relationships/hyperlink" Target="https://www.google.com/maps/search/?api=1&amp;query=Essenza%20Beauty%20Studio&amp;query_place_id=ChIJ0dm4C6NfzZIRGMddqWG7J_U" TargetMode="External"/><Relationship Id="rId45" Type="http://schemas.openxmlformats.org/officeDocument/2006/relationships/hyperlink" Target="https://www.google.com/maps/search/?api=1&amp;query=Josiane%20Cardoso%20Studio&amp;query_place_id=ChIJHbBKJydfzZIRFnknd6WWFZw" TargetMode="External"/><Relationship Id="rId107" Type="http://schemas.openxmlformats.org/officeDocument/2006/relationships/hyperlink" Target="https://www.google.com/maps/search/?api=1&amp;query=R.R.BRONZE&amp;query_place_id=ChIJ6zGsRU1fzZIRjr5lkEoLV0E" TargetMode="External"/><Relationship Id="rId106" Type="http://schemas.openxmlformats.org/officeDocument/2006/relationships/hyperlink" Target="https://www.google.com/maps/search/?api=1&amp;query=Erasmo%20Barbearia&amp;query_place_id=ChIJSwUgQCdfzZIR342B3UifzUE" TargetMode="External"/><Relationship Id="rId105" Type="http://schemas.openxmlformats.org/officeDocument/2006/relationships/hyperlink" Target="https://www.google.com/maps/search/?api=1&amp;query=Cris%20moreira%20beauty&amp;query_place_id=ChIJr8PwAQBfzZIReRk7f4i0058" TargetMode="External"/><Relationship Id="rId104" Type="http://schemas.openxmlformats.org/officeDocument/2006/relationships/hyperlink" Target="https://www.google.com/maps/search/?api=1&amp;query=Espa%C3%A7o%20Didy%20Rodrigues&amp;query_place_id=ChIJiZ3UA3hfzZIR2HC26OyEXjw" TargetMode="External"/><Relationship Id="rId109" Type="http://schemas.openxmlformats.org/officeDocument/2006/relationships/hyperlink" Target="https://www.google.com/maps/search/?api=1&amp;query=Doce%20charme%20esmalteria&amp;query_place_id=ChIJZ--pnERZzZIRWp5jVl1lKNg" TargetMode="External"/><Relationship Id="rId108" Type="http://schemas.openxmlformats.org/officeDocument/2006/relationships/hyperlink" Target="https://www.google.com/maps/search/?api=1&amp;query=Angela%20Manicure&amp;query_place_id=ChIJjSBtSURfzZIRyZvlfZvrTQ0" TargetMode="External"/><Relationship Id="rId48" Type="http://schemas.openxmlformats.org/officeDocument/2006/relationships/hyperlink" Target="https://www.google.com/maps/search/?api=1&amp;query=Sol%20Cabelos&amp;query_place_id=ChIJ6cPeO7NfzZIRwOLv3ozfouE" TargetMode="External"/><Relationship Id="rId47" Type="http://schemas.openxmlformats.org/officeDocument/2006/relationships/hyperlink" Target="https://www.google.com/maps/search/?api=1&amp;query=Sal%C3%A3o%20Selma%20Cabelos&amp;query_place_id=ChIJt1i3CwBfzZIRzHraf6xlExw" TargetMode="External"/><Relationship Id="rId49" Type="http://schemas.openxmlformats.org/officeDocument/2006/relationships/hyperlink" Target="https://www.google.com/maps/search/?api=1&amp;query=Sandra%20Manicure&amp;query_place_id=ChIJ5X3d7P5ezZIRpzRyWB2-nwk" TargetMode="External"/><Relationship Id="rId103" Type="http://schemas.openxmlformats.org/officeDocument/2006/relationships/hyperlink" Target="https://www.google.com/maps/search/?api=1&amp;query=Studioarianallima&amp;query_place_id=ChIJSeg00R1fzZIRy4MlzdMbodo" TargetMode="External"/><Relationship Id="rId102" Type="http://schemas.openxmlformats.org/officeDocument/2006/relationships/hyperlink" Target="https://www.google.com/maps/search/?api=1&amp;query=Jeane&amp;query_place_id=ChIJv1OcZwBfzZIRS-Qw-TlUlUI" TargetMode="External"/><Relationship Id="rId101" Type="http://schemas.openxmlformats.org/officeDocument/2006/relationships/hyperlink" Target="https://www.google.com/maps/search/?api=1&amp;query=Ateli%C3%AA%20de%20Beleza%20by%20Dalila%20Santos&amp;query_place_id=ChIJj4KELwBfzZIR7gayrBcNKIc" TargetMode="External"/><Relationship Id="rId100" Type="http://schemas.openxmlformats.org/officeDocument/2006/relationships/hyperlink" Target="https://www.google.com/maps/search/?api=1&amp;query=Deborah%20Brenda%20Lash%20Designer&amp;query_place_id=ChIJqw9qZABfzZIRSaFaoxZtmGM" TargetMode="External"/><Relationship Id="rId31" Type="http://schemas.openxmlformats.org/officeDocument/2006/relationships/hyperlink" Target="https://www.google.com/maps/search/?api=1&amp;query=Sp%20Gard%C3%AAnia%20Hair&amp;query_place_id=ChIJs1NlpIxezZIRqYg4A9F4nmo" TargetMode="External"/><Relationship Id="rId30" Type="http://schemas.openxmlformats.org/officeDocument/2006/relationships/hyperlink" Target="https://www.google.com/maps/search/?api=1&amp;query=KEYLA%20Sal%C3%A3o%20de%20Beleza%20%26%20Terapeuta%20Capilar&amp;query_place_id=ChIJeRpo-JhfzZIReKdvIXVLIak" TargetMode="External"/><Relationship Id="rId33" Type="http://schemas.openxmlformats.org/officeDocument/2006/relationships/hyperlink" Target="https://www.google.com/maps/search/?api=1&amp;query=Mari%20Borges%20Beauty&amp;query_place_id=ChIJER64bL5fzZIRBTEDI2BgUEc" TargetMode="External"/><Relationship Id="rId32" Type="http://schemas.openxmlformats.org/officeDocument/2006/relationships/hyperlink" Target="https://www.google.com/maps/search/?api=1&amp;query=Studio%20Hair%20Bdc%20-%20Pronto%20Socorro%20Dos%20Cabelos.&amp;query_place_id=ChIJyR7_2LVfzZIRhaNj1WrmD6Y" TargetMode="External"/><Relationship Id="rId35" Type="http://schemas.openxmlformats.org/officeDocument/2006/relationships/hyperlink" Target="https://www.google.com/maps/search/?api=1&amp;query=Os%C3%A9lia%20Cabeleireiros&amp;query_place_id=ChIJxfo-rLRfzZIRp4NyEFWz5sY" TargetMode="External"/><Relationship Id="rId34" Type="http://schemas.openxmlformats.org/officeDocument/2006/relationships/hyperlink" Target="https://www.google.com/maps/search/?api=1&amp;query=Salao%20de%20cabeleireiro&amp;query_place_id=ChIJF68uO0dfzZIRlcvym6FDdfY" TargetMode="External"/><Relationship Id="rId37" Type="http://schemas.openxmlformats.org/officeDocument/2006/relationships/hyperlink" Target="https://www.google.com/maps/search/?api=1&amp;query=Studio%20Joselia%20Silva%20nail%20designer&amp;query_place_id=ChIJl8ITyixZzZIRvEiD6LjOKS0" TargetMode="External"/><Relationship Id="rId36" Type="http://schemas.openxmlformats.org/officeDocument/2006/relationships/hyperlink" Target="https://www.google.com/maps/search/?api=1&amp;query=Anny%20Cabelos%20Studio&amp;query_place_id=ChIJtdMTrVZfzZIRLFalQEeFwgg" TargetMode="External"/><Relationship Id="rId39" Type="http://schemas.openxmlformats.org/officeDocument/2006/relationships/hyperlink" Target="https://www.google.com/maps/search/?api=1&amp;query=Studio%20Larissa%20Silva&amp;query_place_id=ChIJ0w3FdkxfzZIRlPAGJR9YayA" TargetMode="External"/><Relationship Id="rId38" Type="http://schemas.openxmlformats.org/officeDocument/2006/relationships/hyperlink" Target="https://www.google.com/maps/search/?api=1&amp;query=Studio%20Toda%20Bella&amp;query_place_id=ChIJW1tRCX5fzZIRKmj473Dd7Fw" TargetMode="External"/><Relationship Id="rId20" Type="http://schemas.openxmlformats.org/officeDocument/2006/relationships/hyperlink" Target="https://www.google.com/maps/search/?api=1&amp;query=Est%C3%A9tica%20Depil%20Bel%C3%ADssima&amp;query_place_id=ChIJiT1tZAVfzZIR6mbzYC2oB9o" TargetMode="External"/><Relationship Id="rId22" Type="http://schemas.openxmlformats.org/officeDocument/2006/relationships/hyperlink" Target="https://www.google.com/maps/search/?api=1&amp;query=Fl%C3%A1via%20Nails%20Designer&amp;query_place_id=ChIJtb08bABfzZIRc-cDP4Xq85c" TargetMode="External"/><Relationship Id="rId21" Type="http://schemas.openxmlformats.org/officeDocument/2006/relationships/hyperlink" Target="https://www.google.com/maps/search/?api=1&amp;query=Morgana%20Designer%20de%20Unha&amp;query_place_id=ChIJVY3U_g1fzZIRrbB-jArIP0U" TargetMode="External"/><Relationship Id="rId24" Type="http://schemas.openxmlformats.org/officeDocument/2006/relationships/hyperlink" Target="https://www.google.com/maps/search/?api=1&amp;query=Giu%20Lima%20Afro%20Hair&amp;query_place_id=ChIJX23LLrFfzZIRvepTnQgTdrM" TargetMode="External"/><Relationship Id="rId23" Type="http://schemas.openxmlformats.org/officeDocument/2006/relationships/hyperlink" Target="https://www.google.com/maps/search/?api=1&amp;query=Studio%20HA&amp;query_place_id=ChIJK0XEM1BfzZIRb_5ViPlzvrg" TargetMode="External"/><Relationship Id="rId26" Type="http://schemas.openxmlformats.org/officeDocument/2006/relationships/hyperlink" Target="https://www.google.com/maps/search/?api=1&amp;query=Pedro%20Neto%20Studio&amp;query_place_id=ChIJY5MHnpZfzZIREf6HBnzK5R8" TargetMode="External"/><Relationship Id="rId25" Type="http://schemas.openxmlformats.org/officeDocument/2006/relationships/hyperlink" Target="https://www.google.com/maps/search/?api=1&amp;query=Jessy%20Cabeloss&amp;query_place_id=ChIJMfSqhGhfzZIR6QE9FAlZmS8" TargetMode="External"/><Relationship Id="rId28" Type="http://schemas.openxmlformats.org/officeDocument/2006/relationships/hyperlink" Target="https://www.google.com/maps/search/?api=1&amp;query=Delza%20Cabeleireira&amp;query_place_id=ChIJYTwxdeZezZIRjURspr3FKM0" TargetMode="External"/><Relationship Id="rId27" Type="http://schemas.openxmlformats.org/officeDocument/2006/relationships/hyperlink" Target="https://www.google.com/maps/search/?api=1&amp;query=Helena%20Hear&amp;query_place_id=ChIJr5zDsTJfzZIRSPjCSzx5Jx0" TargetMode="External"/><Relationship Id="rId29" Type="http://schemas.openxmlformats.org/officeDocument/2006/relationships/hyperlink" Target="https://www.google.com/maps/search/?api=1&amp;query=Sheylla%20cabelos&amp;query_place_id=ChIJF3h_BDdfzZIR5HlLTPQrX-Y" TargetMode="External"/><Relationship Id="rId95" Type="http://schemas.openxmlformats.org/officeDocument/2006/relationships/hyperlink" Target="https://www.google.com/maps/search/?api=1&amp;query=Arleane%20Carvalho%20Clinic%20%26%20Academy&amp;query_place_id=ChIJSXa4xmpfzZIRrSjUgWopLfo" TargetMode="External"/><Relationship Id="rId94" Type="http://schemas.openxmlformats.org/officeDocument/2006/relationships/hyperlink" Target="https://www.google.com/maps/search/?api=1&amp;query=Revitale%20Est%C3%A9tica%20e%20Sa%C3%BAde&amp;query_place_id=ChIJV87rbZxfzZIR3q0m4W5-UDE" TargetMode="External"/><Relationship Id="rId97" Type="http://schemas.openxmlformats.org/officeDocument/2006/relationships/hyperlink" Target="https://www.google.com/maps/search/?api=1&amp;query=D%C3%A9bora%20Brenda%20Lash%20Designer&amp;query_place_id=ChIJY0mJHoOwa0kRRmWD03KMHoY" TargetMode="External"/><Relationship Id="rId96" Type="http://schemas.openxmlformats.org/officeDocument/2006/relationships/hyperlink" Target="https://www.google.com/maps/search/?api=1&amp;query=D'Maria%20Cosm%C3%A9tico%20-%20Centro&amp;query_place_id=ChIJKYv6iI9fzZIRxftzyq2D7Yw" TargetMode="External"/><Relationship Id="rId11" Type="http://schemas.openxmlformats.org/officeDocument/2006/relationships/hyperlink" Target="https://www.google.com/maps/search/?api=1&amp;query=Spa%C3%A7o%20Daniela%20Viana&amp;query_place_id=ChIJlagw4rhfzZIRUp9X-eSjEA0" TargetMode="External"/><Relationship Id="rId99" Type="http://schemas.openxmlformats.org/officeDocument/2006/relationships/hyperlink" Target="https://www.google.com/maps/search/?api=1&amp;query=Ana%20Ferreira&amp;query_place_id=ChIJHeAVWABZzZIRE_F45tWIftM" TargetMode="External"/><Relationship Id="rId10" Type="http://schemas.openxmlformats.org/officeDocument/2006/relationships/hyperlink" Target="https://www.google.com/maps/search/?api=1&amp;query=Milena%20Cabelos&amp;query_place_id=ChIJ8QfSCthZzZIReoNNfDumoIM" TargetMode="External"/><Relationship Id="rId98" Type="http://schemas.openxmlformats.org/officeDocument/2006/relationships/hyperlink" Target="https://www.google.com/maps/search/?api=1&amp;query=Espa%C3%A7o%20Larissa%20Designer&amp;query_place_id=ChIJd_iRtlpfzZIROeLwzFFPRUs" TargetMode="External"/><Relationship Id="rId13" Type="http://schemas.openxmlformats.org/officeDocument/2006/relationships/hyperlink" Target="https://www.google.com/maps/search/?api=1&amp;query=Iala%20Bernardo%20Nail%20Designer&amp;query_place_id=ChIJo3QT7ntfzZIRdh8uVkZF3-g" TargetMode="External"/><Relationship Id="rId12" Type="http://schemas.openxmlformats.org/officeDocument/2006/relationships/hyperlink" Target="https://www.google.com/maps/search/?api=1&amp;query=Menezes%20Cabeleireiro&amp;query_place_id=ChIJtTqyBSlfzZIRxiJT1oovc7E" TargetMode="External"/><Relationship Id="rId91" Type="http://schemas.openxmlformats.org/officeDocument/2006/relationships/hyperlink" Target="https://www.google.com/maps/search/?api=1&amp;query=Espa%C3%A7o%20Daniele%20Santos%2F%20Nail%20designer%20-%20Unhas&amp;query_place_id=ChIJiX6acwAxiAcRdwjjZo_8pJ8" TargetMode="External"/><Relationship Id="rId90" Type="http://schemas.openxmlformats.org/officeDocument/2006/relationships/hyperlink" Target="https://www.google.com/maps/search/?api=1&amp;query=Dhessy%20Ribeiro%20Studio%20Clinic&amp;query_place_id=ChIJ4-8BZX5dzZIRoC_ZeG8DlQA" TargetMode="External"/><Relationship Id="rId93" Type="http://schemas.openxmlformats.org/officeDocument/2006/relationships/hyperlink" Target="https://www.google.com/maps/search/?api=1&amp;query=belissima%20cabelos&amp;query_place_id=ChIJQ_SZjOdezZIRBGetG08sP5c" TargetMode="External"/><Relationship Id="rId92" Type="http://schemas.openxmlformats.org/officeDocument/2006/relationships/hyperlink" Target="https://www.google.com/maps/search/?api=1&amp;query=%40Designer%20de%20Sobrancelhas&amp;query_place_id=ChIJm8chyFRezZIRlBnX_b82WG4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google.com/maps/search/?api=1&amp;query=Tok%20feminino&amp;query_place_id=ChIJ-Yznr0xfzZIRl4svVv76rUs" TargetMode="External"/><Relationship Id="rId115" Type="http://schemas.openxmlformats.org/officeDocument/2006/relationships/hyperlink" Target="https://www.google.com/maps/search/?api=1&amp;query=Oneide%20Cabelos%20%F0%9F%92%87%F0%9F%8F%BC%E2%80%8D%E2%99%80%EF%B8%8F&amp;query_place_id=ChIJCeC9NyNfzZIR-vsQX4jPtRw" TargetMode="External"/><Relationship Id="rId15" Type="http://schemas.openxmlformats.org/officeDocument/2006/relationships/hyperlink" Target="https://www.google.com/maps/search/?api=1&amp;query=Studio%20Wilana%20Ferreira&amp;query_place_id=ChIJRdoak5RfzZIRsl3tDizD2Bs" TargetMode="External"/><Relationship Id="rId110" Type="http://schemas.openxmlformats.org/officeDocument/2006/relationships/hyperlink" Target="https://www.google.com/maps/search/?api=1&amp;query=Crysley%20Moreno%20Nails%20Designer&amp;query_place_id=ChIJdZ5-3EBfzZIR1iEv5zcspAA" TargetMode="External"/><Relationship Id="rId14" Type="http://schemas.openxmlformats.org/officeDocument/2006/relationships/hyperlink" Target="https://www.google.com/maps/search/?api=1&amp;query=Studio%20Monalle%20Dantas&amp;query_place_id=ChIJL4JAQkhfzZIRRveHbE1hAaQ" TargetMode="External"/><Relationship Id="rId17" Type="http://schemas.openxmlformats.org/officeDocument/2006/relationships/hyperlink" Target="https://www.google.com/maps/search/?api=1&amp;query=Espa%C3%A7o%20Bouganville&amp;query_place_id=ChIJYZClrXtfzZIRvjn1VkY3hpc" TargetMode="External"/><Relationship Id="rId16" Type="http://schemas.openxmlformats.org/officeDocument/2006/relationships/hyperlink" Target="https://www.google.com/maps/search/?api=1&amp;query=Sal%C3%A3o%20Ana%20Ferreira&amp;query_place_id=ChIJ0Z8pMTVfzZIR109bSKxnqEw" TargetMode="External"/><Relationship Id="rId19" Type="http://schemas.openxmlformats.org/officeDocument/2006/relationships/hyperlink" Target="https://www.google.com/maps/search/?api=1&amp;query=Sal%C3%A3o%20de%20Beleza%20J%C3%A9ssica%20Silva&amp;query_place_id=ChIJAUElDoZfzZIRDGoxXwxCQiA" TargetMode="External"/><Relationship Id="rId114" Type="http://schemas.openxmlformats.org/officeDocument/2006/relationships/hyperlink" Target="https://www.google.com/maps/search/?api=1&amp;query=Nail's%20Brilhante%20by%20Juliana%20Brilhante&amp;query_place_id=ChIJBS0z8dtezZIRlIjmH1Ir7RY" TargetMode="External"/><Relationship Id="rId18" Type="http://schemas.openxmlformats.org/officeDocument/2006/relationships/hyperlink" Target="https://www.google.com/maps/search/?api=1&amp;query=Studio%20Kelmara%20Louren%C3%A7a%20especialista%20em%20C%C3%ADlios%2CSobrancelhas&amp;query_place_id=ChIJlYAH9exZzZIRXbSzw_F-dCs" TargetMode="External"/><Relationship Id="rId113" Type="http://schemas.openxmlformats.org/officeDocument/2006/relationships/hyperlink" Target="https://www.google.com/maps/search/?api=1&amp;query=Studio%20Adelly%20carvalho&amp;query_place_id=ChIJS56rHABfzZIRQCDePk9Pb-Q" TargetMode="External"/><Relationship Id="rId112" Type="http://schemas.openxmlformats.org/officeDocument/2006/relationships/hyperlink" Target="https://www.google.com/maps/search/?api=1&amp;query=Lanny%20Silva%20%7C%20Lash%20e%20Sobrancelhas&amp;query_place_id=ChIJ8yE3ZcdfzZIRSNlnP_Gl1jg" TargetMode="External"/><Relationship Id="rId111" Type="http://schemas.openxmlformats.org/officeDocument/2006/relationships/hyperlink" Target="https://www.google.com/maps/search/?api=1&amp;query=Espa%C3%A7o%20Maria%20Lopes%20Pod%C3%B3loga&amp;query_place_id=ChIJoRfp5C9fzZIRoV3jzchaiSY" TargetMode="External"/><Relationship Id="rId84" Type="http://schemas.openxmlformats.org/officeDocument/2006/relationships/hyperlink" Target="https://www.google.com/maps/search/?api=1&amp;query=Janna%20Bronze&amp;query_place_id=ChIJkYKlVwBfzZIRFojBvl-ZS9k" TargetMode="External"/><Relationship Id="rId83" Type="http://schemas.openxmlformats.org/officeDocument/2006/relationships/hyperlink" Target="https://www.google.com/maps/search/?api=1&amp;query=Priscyla%20Noellen%20Est%C3%A9tica%20Facial&amp;query_place_id=ChIJuQQOzb5fzZIRWN1f55E_KAY" TargetMode="External"/><Relationship Id="rId86" Type="http://schemas.openxmlformats.org/officeDocument/2006/relationships/hyperlink" Target="https://www.google.com/maps/search/?api=1&amp;query=Romaires%20matos%20nail%20designer&amp;query_place_id=ChIJh1P9wexfzZIRH_JZ4gpx11Y" TargetMode="External"/><Relationship Id="rId85" Type="http://schemas.openxmlformats.org/officeDocument/2006/relationships/hyperlink" Target="https://www.google.com/maps/search/?api=1&amp;query=Andr%C3%A9ia%20Carvalho%20nails&amp;query_place_id=ChIJT0HvA8c1zZIR76wo8rRjAZM" TargetMode="External"/><Relationship Id="rId88" Type="http://schemas.openxmlformats.org/officeDocument/2006/relationships/hyperlink" Target="https://www.google.com/maps/search/?api=1&amp;query=Studio%20Deynna%20Silvah&amp;query_place_id=ChIJ23PNiRoziqoRcxtBOHRUAJA" TargetMode="External"/><Relationship Id="rId87" Type="http://schemas.openxmlformats.org/officeDocument/2006/relationships/hyperlink" Target="https://www.google.com/maps/search/?api=1&amp;query=Studio%20Amanda%20Luz&amp;query_place_id=ChIJtxhwtF9fzZIRIln63eYz1tc" TargetMode="External"/><Relationship Id="rId89" Type="http://schemas.openxmlformats.org/officeDocument/2006/relationships/hyperlink" Target="https://www.google.com/maps/search/?api=1&amp;query=Studio%20ellena%20Nolberto&amp;query_place_id=ChIJV9-4dRpfzZIRvkWeUJ4M76k" TargetMode="External"/><Relationship Id="rId80" Type="http://schemas.openxmlformats.org/officeDocument/2006/relationships/hyperlink" Target="https://www.google.com/maps/search/?api=1&amp;query=Luanadepil&amp;query_place_id=ChIJ1T2cU4lfzZIRUTfCOvFTYSs" TargetMode="External"/><Relationship Id="rId82" Type="http://schemas.openxmlformats.org/officeDocument/2006/relationships/hyperlink" Target="https://www.google.com/maps/search/?api=1&amp;query=Est%C3%A9tica%20Depil%20Bel%C3%ADssima&amp;query_place_id=ChIJOzwVaL9fzZIR9LittD5_XjE" TargetMode="External"/><Relationship Id="rId81" Type="http://schemas.openxmlformats.org/officeDocument/2006/relationships/hyperlink" Target="https://www.google.com/maps/search/?api=1&amp;query=Gisele%20Luz%20Nail%20St%C3%BAdio&amp;query_place_id=ChIJXyfAyLNfzZIRb6LArTzhMeQ" TargetMode="External"/><Relationship Id="rId1" Type="http://schemas.openxmlformats.org/officeDocument/2006/relationships/hyperlink" Target="https://www.google.com/maps/search/?api=1&amp;query=Studio%20Adriele&amp;query_place_id=ChIJ75fkNQBJzZIRoQFgHST5esw" TargetMode="External"/><Relationship Id="rId2" Type="http://schemas.openxmlformats.org/officeDocument/2006/relationships/hyperlink" Target="https://www.google.com/maps/search/?api=1&amp;query=Studio%20Siumaria%20Design&amp;query_place_id=ChIJgVTSLwBJzZIRiEqUbJcdkGQ" TargetMode="External"/><Relationship Id="rId3" Type="http://schemas.openxmlformats.org/officeDocument/2006/relationships/hyperlink" Target="https://www.google.com/maps/search/?api=1&amp;query=Centro%20T%C3%A9cnico%20Delvane%20Rocha&amp;query_place_id=ChIJobS2PX9fzZIR0SeR-jzPwDM" TargetMode="External"/><Relationship Id="rId4" Type="http://schemas.openxmlformats.org/officeDocument/2006/relationships/hyperlink" Target="https://www.google.com/maps/search/?api=1&amp;query=Jane%20Instituto%20de%20Beleza&amp;query_place_id=ChIJdTnX5PJfzZIRURVJ8At5OKk" TargetMode="External"/><Relationship Id="rId9" Type="http://schemas.openxmlformats.org/officeDocument/2006/relationships/hyperlink" Target="https://www.google.com/maps/search/?api=1&amp;query=Eduarda%20Lima%20Beauty%20Studio&amp;query_place_id=ChIJ5b-NubhfzZIRlowh6R7EIEs" TargetMode="External"/><Relationship Id="rId5" Type="http://schemas.openxmlformats.org/officeDocument/2006/relationships/hyperlink" Target="https://www.google.com/maps/search/?api=1&amp;query=Espa%C3%A7o%20F%C3%A1tima%20Silva&amp;query_place_id=ChIJxZR7KGJfzZIRtnqA0ChHVME" TargetMode="External"/><Relationship Id="rId6" Type="http://schemas.openxmlformats.org/officeDocument/2006/relationships/hyperlink" Target="https://www.google.com/maps/search/?api=1&amp;query=ESPA%C3%87O%20DA%20Beleza&amp;query_place_id=ChIJLZBiBHFezZIRTruEFyNW1GQ" TargetMode="External"/><Relationship Id="rId7" Type="http://schemas.openxmlformats.org/officeDocument/2006/relationships/hyperlink" Target="https://www.google.com/maps/search/?api=1&amp;query=Marina%20Cabelos%20-%20Especialista%20em%20Loiras&amp;query_place_id=ChIJmVfCHlRfzZIRMrPGJdq9O84" TargetMode="External"/><Relationship Id="rId8" Type="http://schemas.openxmlformats.org/officeDocument/2006/relationships/hyperlink" Target="https://www.google.com/maps/search/?api=1&amp;query=Studio%20Francielle%20Sousa&amp;query_place_id=ChIJwYzORMhfzZIRlxI4IkhEEUg" TargetMode="External"/><Relationship Id="rId73" Type="http://schemas.openxmlformats.org/officeDocument/2006/relationships/hyperlink" Target="https://www.google.com/maps/search/?api=1&amp;query=PH%20Sobrancelhas&amp;query_place_id=ChIJ22qvw-RfzZIR5qKbgYchE_w" TargetMode="External"/><Relationship Id="rId72" Type="http://schemas.openxmlformats.org/officeDocument/2006/relationships/hyperlink" Target="https://www.google.com/maps/search/?api=1&amp;query=Espa%C3%A7o%20MULHER&amp;query_place_id=ChIJlSZDhJJezZIR_KzCFJ_01B4" TargetMode="External"/><Relationship Id="rId75" Type="http://schemas.openxmlformats.org/officeDocument/2006/relationships/hyperlink" Target="https://www.google.com/maps/search/?api=1&amp;query=Ligia%20Azevedo%20US&amp;query_place_id=ChIJwTIq4DlfzZIRIdIP68bz2R8" TargetMode="External"/><Relationship Id="rId74" Type="http://schemas.openxmlformats.org/officeDocument/2006/relationships/hyperlink" Target="https://www.google.com/maps/search/?api=1&amp;query=Let%C3%ADcia%20Alves%20Designer%20de%20Sobrancelhas&amp;query_place_id=ChIJ0xY5FwBfzZIRulUhSHviz7I" TargetMode="External"/><Relationship Id="rId77" Type="http://schemas.openxmlformats.org/officeDocument/2006/relationships/hyperlink" Target="https://www.google.com/maps/search/?api=1&amp;query=Studio%20Raylany%20Almeida%20Nails%20Designer%20-%20Barra%20do%20Corda&amp;query_place_id=ChIJSws20aFfzZIRn9OMKMcvGr0" TargetMode="External"/><Relationship Id="rId76" Type="http://schemas.openxmlformats.org/officeDocument/2006/relationships/hyperlink" Target="https://www.google.com/maps/search/?api=1&amp;query=Studio%20Wanessa%20Costa&amp;query_place_id=ChIJj0Vd6GtfzZIRQVuO9yIWgyo" TargetMode="External"/><Relationship Id="rId79" Type="http://schemas.openxmlformats.org/officeDocument/2006/relationships/hyperlink" Target="https://www.google.com/maps/search/?api=1&amp;query=Marylu%20Unhas&amp;query_place_id=ChIJYcaRD45ezZIRQSuzfdnzPbk" TargetMode="External"/><Relationship Id="rId78" Type="http://schemas.openxmlformats.org/officeDocument/2006/relationships/hyperlink" Target="https://www.google.com/maps/search/?api=1&amp;query=Sal%C3%A3o%20taty%20cabelos&amp;query_place_id=ChIJt5Q6SwBJzZIRkR754ZaKfms" TargetMode="External"/><Relationship Id="rId71" Type="http://schemas.openxmlformats.org/officeDocument/2006/relationships/hyperlink" Target="https://www.google.com/maps/search/?api=1&amp;query=Studio%20Juliene%20Martins&amp;query_place_id=ChIJzz4wxC5dzZIRpqUoJ1sGrWQ" TargetMode="External"/><Relationship Id="rId70" Type="http://schemas.openxmlformats.org/officeDocument/2006/relationships/hyperlink" Target="https://www.google.com/maps/search/?api=1&amp;query=Espa%C3%A7o%20Bellas%20Unhas&amp;query_place_id=ChIJacI2OHRfzZIRoAmEh5haYnk" TargetMode="External"/><Relationship Id="rId62" Type="http://schemas.openxmlformats.org/officeDocument/2006/relationships/hyperlink" Target="https://www.google.com/maps/search/?api=1&amp;query=Yanna%20Cabelos&amp;query_place_id=ChIJ-aCRrHBfzZIRh99UPuGWKSQ" TargetMode="External"/><Relationship Id="rId61" Type="http://schemas.openxmlformats.org/officeDocument/2006/relationships/hyperlink" Target="https://www.google.com/maps/search/?api=1&amp;query=Studio%20Beatriz%20Makeup&amp;query_place_id=ChIJi1-_JlhfzZIRQbssBx06LRk" TargetMode="External"/><Relationship Id="rId64" Type="http://schemas.openxmlformats.org/officeDocument/2006/relationships/hyperlink" Target="https://www.google.com/maps/search/?api=1&amp;query=Carla%20Andrade%20cabelos&amp;query_place_id=ChIJT3Ht60RfzZIRRAcBAJPuCH8" TargetMode="External"/><Relationship Id="rId63" Type="http://schemas.openxmlformats.org/officeDocument/2006/relationships/hyperlink" Target="https://www.google.com/maps/search/?api=1&amp;query=Espa%C3%A7o%20Arleth%20Mac%C3%AAdo&amp;query_place_id=ChIJb-rZCQBdzZIRosaGKkfz2uM" TargetMode="External"/><Relationship Id="rId66" Type="http://schemas.openxmlformats.org/officeDocument/2006/relationships/hyperlink" Target="https://www.google.com/maps/search/?api=1&amp;query=Josino%20Cabeleireiro&amp;query_place_id=ChIJqUTUcoRfzZIRIIQDiQucSmA" TargetMode="External"/><Relationship Id="rId65" Type="http://schemas.openxmlformats.org/officeDocument/2006/relationships/hyperlink" Target="https://www.google.com/maps/search/?api=1&amp;query=Sal%C3%A3o%20Star%20Cabeleireiro&amp;query_place_id=ChIJIa7EGyZfzZIRxoDDQMtC8WI" TargetMode="External"/><Relationship Id="rId68" Type="http://schemas.openxmlformats.org/officeDocument/2006/relationships/hyperlink" Target="https://www.google.com/maps/search/?api=1&amp;query=Duda%20Cabelos&amp;query_place_id=ChIJK1DAoZJezZIRTQ6FFUjC9dA" TargetMode="External"/><Relationship Id="rId67" Type="http://schemas.openxmlformats.org/officeDocument/2006/relationships/hyperlink" Target="https://www.google.com/maps/search/?api=1&amp;query=Ana%20Hair&amp;query_place_id=ChIJEbVaqMNfzZIRPsWIzI3w_Dc" TargetMode="External"/><Relationship Id="rId60" Type="http://schemas.openxmlformats.org/officeDocument/2006/relationships/hyperlink" Target="https://www.google.com/maps/search/?api=1&amp;query=Raianny%20Oliveira%20nails&amp;query_place_id=ChIJ1TWDJaFfzZIR2qJO2rgAHe0" TargetMode="External"/><Relationship Id="rId69" Type="http://schemas.openxmlformats.org/officeDocument/2006/relationships/hyperlink" Target="https://www.google.com/maps/search/?api=1&amp;query=Barbearia%20Novo%20Visual&amp;query_place_id=ChIJTf7Sbr9fzZIRokGk7CIHzK4" TargetMode="External"/><Relationship Id="rId51" Type="http://schemas.openxmlformats.org/officeDocument/2006/relationships/hyperlink" Target="https://www.google.com/maps/search/?api=1&amp;query=Dra.Lunara%20sousa%20Tricologista%20capilar%20e%20Cosmetologista%20d%C3%A9rmica&amp;query_place_id=ChIJ8398kpFfzZIR4lzFeua4oSM" TargetMode="External"/><Relationship Id="rId50" Type="http://schemas.openxmlformats.org/officeDocument/2006/relationships/hyperlink" Target="https://www.google.com/maps/search/?api=1&amp;query=Studio%20Thais%20Milhomem&amp;query_place_id=ChIJEwMLcxBfzZIR5DsCpK-zW44" TargetMode="External"/><Relationship Id="rId53" Type="http://schemas.openxmlformats.org/officeDocument/2006/relationships/hyperlink" Target="https://www.google.com/maps/search/?api=1&amp;query=Espa%C3%A7o%20Lanny&amp;query_place_id=ChIJWTvBbItfzZIRgELTJHWZWY0" TargetMode="External"/><Relationship Id="rId52" Type="http://schemas.openxmlformats.org/officeDocument/2006/relationships/hyperlink" Target="https://www.google.com/maps/search/?api=1&amp;query=Keylla%20Sousa%20Lash%20designer&amp;query_place_id=ChIJX6GH2lxfzZIRCU_6K-Q5hdw" TargetMode="External"/><Relationship Id="rId55" Type="http://schemas.openxmlformats.org/officeDocument/2006/relationships/hyperlink" Target="https://www.google.com/maps/search/?api=1&amp;query=Nails%20Studium%20Lucineia%20Paiva&amp;query_place_id=ChIJL-LJQu1fzZIRqN_RrUxPs4M" TargetMode="External"/><Relationship Id="rId54" Type="http://schemas.openxmlformats.org/officeDocument/2006/relationships/hyperlink" Target="https://www.google.com/maps/search/?api=1&amp;query=Sirlleny%20Cabelos&amp;query_place_id=ChIJWwg1Q9xfzZIRwyFsNdux0qI" TargetMode="External"/><Relationship Id="rId57" Type="http://schemas.openxmlformats.org/officeDocument/2006/relationships/hyperlink" Target="https://www.google.com/maps/search/?api=1&amp;query=Sayonara%20Cabelos&amp;query_place_id=ChIJvczy_9JfzZIRMgV9ofPHqwU" TargetMode="External"/><Relationship Id="rId56" Type="http://schemas.openxmlformats.org/officeDocument/2006/relationships/hyperlink" Target="https://www.google.com/maps/search/?api=1&amp;query=K%20Studio%20de%20beleza&amp;query_place_id=ChIJAy1SqZNfzZIRxzNa9pVESDY" TargetMode="External"/><Relationship Id="rId59" Type="http://schemas.openxmlformats.org/officeDocument/2006/relationships/hyperlink" Target="https://www.google.com/maps/search/?api=1&amp;query=espa%C3%A7o%20francilda%20fashion&amp;query_place_id=ChIJ_bFEeSNfzZIRZU-MFWceRUI" TargetMode="External"/><Relationship Id="rId58" Type="http://schemas.openxmlformats.org/officeDocument/2006/relationships/hyperlink" Target="https://www.google.com/maps/search/?api=1&amp;query=Fabiana%20Ilka%20Designer%20de%20Sobrancelhas&amp;query_place_id=ChIJfSeUsfRezZIRWJmHEDkoS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  <c r="H3" s="2" t="s">
        <v>19</v>
      </c>
      <c r="I3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2" t="s">
        <v>26</v>
      </c>
      <c r="I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13</v>
      </c>
      <c r="H5" s="2" t="s">
        <v>33</v>
      </c>
      <c r="I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13</v>
      </c>
      <c r="H6" s="2" t="s">
        <v>40</v>
      </c>
      <c r="I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41</v>
      </c>
      <c r="D7" s="1" t="s">
        <v>16</v>
      </c>
      <c r="E7" s="1" t="s">
        <v>42</v>
      </c>
      <c r="F7" s="1" t="s">
        <v>43</v>
      </c>
      <c r="G7" s="1" t="s">
        <v>13</v>
      </c>
      <c r="H7" s="2" t="s">
        <v>44</v>
      </c>
      <c r="I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13</v>
      </c>
      <c r="H8" s="2" t="s">
        <v>51</v>
      </c>
      <c r="I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13</v>
      </c>
      <c r="H9" s="2" t="s">
        <v>58</v>
      </c>
      <c r="I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10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13</v>
      </c>
      <c r="H10" s="2" t="s">
        <v>65</v>
      </c>
      <c r="I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13</v>
      </c>
      <c r="H11" s="2" t="s">
        <v>72</v>
      </c>
      <c r="I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13</v>
      </c>
      <c r="H12" s="2" t="s">
        <v>79</v>
      </c>
      <c r="I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80</v>
      </c>
      <c r="D13" s="1" t="s">
        <v>81</v>
      </c>
      <c r="E13" s="1" t="s">
        <v>82</v>
      </c>
      <c r="F13" s="1" t="s">
        <v>83</v>
      </c>
      <c r="G13" s="1" t="s">
        <v>13</v>
      </c>
      <c r="H13" s="2" t="s">
        <v>84</v>
      </c>
      <c r="I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Beleza""))"),"Salão de Beleza")</f>
        <v>Salão de Beleza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13</v>
      </c>
      <c r="H14" s="2" t="s">
        <v>91</v>
      </c>
      <c r="I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Beleza""))"),"Manicure - Esmalteria")</f>
        <v>Manicure - Esmalteria</v>
      </c>
    </row>
    <row r="1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13</v>
      </c>
      <c r="H15" s="2" t="s">
        <v>98</v>
      </c>
      <c r="I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13</v>
      </c>
      <c r="H16" s="2" t="s">
        <v>105</v>
      </c>
      <c r="I16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13</v>
      </c>
      <c r="H17" s="2" t="s">
        <v>112</v>
      </c>
      <c r="I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13</v>
      </c>
      <c r="H18" s="2" t="s">
        <v>119</v>
      </c>
      <c r="I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 t="s">
        <v>13</v>
      </c>
      <c r="H19" s="2" t="s">
        <v>126</v>
      </c>
      <c r="I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Beleza""))"),"Sobrancelhas e Cílios")</f>
        <v>Sobrancelhas e Cílios</v>
      </c>
    </row>
    <row r="20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</v>
      </c>
      <c r="H20" s="2" t="s">
        <v>133</v>
      </c>
      <c r="I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134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139</v>
      </c>
      <c r="G21" s="1" t="s">
        <v>13</v>
      </c>
      <c r="H21" s="2" t="s">
        <v>140</v>
      </c>
      <c r="I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Beleza""))"),"Depilação")</f>
        <v>Depilação</v>
      </c>
    </row>
    <row r="22">
      <c r="A22" s="1" t="s">
        <v>141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  <c r="G22" s="1" t="s">
        <v>13</v>
      </c>
      <c r="H22" s="2" t="s">
        <v>147</v>
      </c>
      <c r="I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Beleza""))"),"Manicure - Esmalteria")</f>
        <v>Manicure - Esmalteria</v>
      </c>
    </row>
    <row r="23">
      <c r="A23" s="1" t="s">
        <v>148</v>
      </c>
      <c r="D23" s="1" t="s">
        <v>149</v>
      </c>
      <c r="E23" s="1" t="s">
        <v>150</v>
      </c>
      <c r="F23" s="1" t="s">
        <v>151</v>
      </c>
      <c r="G23" s="1" t="s">
        <v>13</v>
      </c>
      <c r="H23" s="2" t="s">
        <v>152</v>
      </c>
      <c r="I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Beleza""))"),"Manicure - Esmalteria")</f>
        <v>Manicure - Esmalteria</v>
      </c>
    </row>
    <row r="24">
      <c r="A24" s="1" t="s">
        <v>153</v>
      </c>
      <c r="B24" s="1" t="s">
        <v>154</v>
      </c>
      <c r="C24" s="1" t="s">
        <v>155</v>
      </c>
      <c r="D24" s="1" t="s">
        <v>156</v>
      </c>
      <c r="E24" s="1" t="s">
        <v>157</v>
      </c>
      <c r="F24" s="1" t="s">
        <v>158</v>
      </c>
      <c r="G24" s="1" t="s">
        <v>13</v>
      </c>
      <c r="H24" s="2" t="s">
        <v>159</v>
      </c>
      <c r="I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160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13</v>
      </c>
      <c r="H25" s="2" t="s">
        <v>166</v>
      </c>
      <c r="I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13</v>
      </c>
      <c r="H26" s="2" t="s">
        <v>173</v>
      </c>
      <c r="I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7">
      <c r="A27" s="1" t="s">
        <v>174</v>
      </c>
      <c r="B27" s="1" t="s">
        <v>175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13</v>
      </c>
      <c r="H27" s="2" t="s">
        <v>180</v>
      </c>
      <c r="I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8">
      <c r="A28" s="1" t="s">
        <v>181</v>
      </c>
      <c r="D28" s="1" t="s">
        <v>182</v>
      </c>
      <c r="E28" s="1" t="s">
        <v>183</v>
      </c>
      <c r="F28" s="1" t="s">
        <v>184</v>
      </c>
      <c r="G28" s="1" t="s">
        <v>13</v>
      </c>
      <c r="H28" s="2" t="s">
        <v>185</v>
      </c>
      <c r="I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186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191</v>
      </c>
      <c r="G29" s="1" t="s">
        <v>13</v>
      </c>
      <c r="H29" s="2" t="s">
        <v>192</v>
      </c>
      <c r="I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193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13</v>
      </c>
      <c r="H30" s="2" t="s">
        <v>199</v>
      </c>
      <c r="I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Beleza""))"),"Salão de Beleza")</f>
        <v>Salão de Beleza</v>
      </c>
    </row>
    <row r="31">
      <c r="A31" s="1" t="s">
        <v>200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205</v>
      </c>
      <c r="G31" s="1" t="s">
        <v>13</v>
      </c>
      <c r="H31" s="2" t="s">
        <v>206</v>
      </c>
      <c r="I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Beleza""))"),"Clínica de Estética")</f>
        <v>Clínica de Estética</v>
      </c>
    </row>
    <row r="32">
      <c r="A32" s="1" t="s">
        <v>207</v>
      </c>
      <c r="B32" s="1" t="s">
        <v>208</v>
      </c>
      <c r="C32" s="1" t="s">
        <v>209</v>
      </c>
      <c r="D32" s="1" t="s">
        <v>210</v>
      </c>
      <c r="E32" s="1" t="s">
        <v>211</v>
      </c>
      <c r="F32" s="1" t="s">
        <v>212</v>
      </c>
      <c r="G32" s="1" t="s">
        <v>13</v>
      </c>
      <c r="H32" s="2" t="s">
        <v>213</v>
      </c>
      <c r="I32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214</v>
      </c>
      <c r="B33" s="1" t="s">
        <v>215</v>
      </c>
      <c r="C33" s="1" t="s">
        <v>216</v>
      </c>
      <c r="D33" s="1" t="s">
        <v>217</v>
      </c>
      <c r="E33" s="1" t="s">
        <v>218</v>
      </c>
      <c r="F33" s="1" t="s">
        <v>219</v>
      </c>
      <c r="G33" s="1" t="s">
        <v>13</v>
      </c>
      <c r="H33" s="2" t="s">
        <v>220</v>
      </c>
      <c r="I33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4">
      <c r="A34" s="1" t="s">
        <v>221</v>
      </c>
      <c r="B34" s="1" t="s">
        <v>222</v>
      </c>
      <c r="C34" s="1" t="s">
        <v>223</v>
      </c>
      <c r="D34" s="1" t="s">
        <v>224</v>
      </c>
      <c r="E34" s="1" t="s">
        <v>225</v>
      </c>
      <c r="F34" s="1" t="s">
        <v>226</v>
      </c>
      <c r="G34" s="1" t="s">
        <v>13</v>
      </c>
      <c r="H34" s="2" t="s">
        <v>227</v>
      </c>
      <c r="I34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228</v>
      </c>
      <c r="D35" s="1" t="s">
        <v>229</v>
      </c>
      <c r="E35" s="1" t="s">
        <v>230</v>
      </c>
      <c r="F35" s="1" t="s">
        <v>231</v>
      </c>
      <c r="G35" s="1" t="s">
        <v>13</v>
      </c>
      <c r="H35" s="2" t="s">
        <v>232</v>
      </c>
      <c r="I35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Beleza""))"),"Salão de Beleza")</f>
        <v>Salão de Beleza</v>
      </c>
    </row>
    <row r="36">
      <c r="A36" s="1" t="s">
        <v>233</v>
      </c>
      <c r="B36" s="1" t="s">
        <v>234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13</v>
      </c>
      <c r="H36" s="2" t="s">
        <v>239</v>
      </c>
      <c r="I36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240</v>
      </c>
      <c r="B37" s="1" t="s">
        <v>241</v>
      </c>
      <c r="C37" s="1" t="s">
        <v>242</v>
      </c>
      <c r="D37" s="1" t="s">
        <v>243</v>
      </c>
      <c r="E37" s="1" t="s">
        <v>244</v>
      </c>
      <c r="F37" s="1" t="s">
        <v>245</v>
      </c>
      <c r="G37" s="1" t="s">
        <v>13</v>
      </c>
      <c r="H37" s="2" t="s">
        <v>246</v>
      </c>
      <c r="I37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247</v>
      </c>
      <c r="B38" s="1" t="s">
        <v>248</v>
      </c>
      <c r="C38" s="1" t="s">
        <v>249</v>
      </c>
      <c r="D38" s="1" t="s">
        <v>250</v>
      </c>
      <c r="E38" s="1" t="s">
        <v>251</v>
      </c>
      <c r="F38" s="1" t="s">
        <v>252</v>
      </c>
      <c r="G38" s="1" t="s">
        <v>13</v>
      </c>
      <c r="H38" s="2" t="s">
        <v>253</v>
      </c>
      <c r="I38" s="3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Beleza""))"),"Manicure - Esmalteria")</f>
        <v>Manicure - Esmalteria</v>
      </c>
    </row>
    <row r="39">
      <c r="A39" s="1" t="s">
        <v>254</v>
      </c>
      <c r="D39" s="1" t="s">
        <v>255</v>
      </c>
      <c r="E39" s="1" t="s">
        <v>256</v>
      </c>
      <c r="F39" s="1" t="s">
        <v>257</v>
      </c>
      <c r="G39" s="1" t="s">
        <v>13</v>
      </c>
      <c r="H39" s="2" t="s">
        <v>258</v>
      </c>
      <c r="I39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40">
      <c r="A40" s="1" t="s">
        <v>259</v>
      </c>
      <c r="B40" s="1" t="s">
        <v>260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13</v>
      </c>
      <c r="H40" s="2" t="s">
        <v>265</v>
      </c>
      <c r="I40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1">
      <c r="A41" s="1" t="s">
        <v>266</v>
      </c>
      <c r="B41" s="1" t="s">
        <v>267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13</v>
      </c>
      <c r="H41" s="2" t="s">
        <v>272</v>
      </c>
      <c r="I41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2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13</v>
      </c>
      <c r="H42" s="2" t="s">
        <v>279</v>
      </c>
      <c r="I42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Beleza""))"),"Salão de Beleza")</f>
        <v>Salão de Beleza</v>
      </c>
    </row>
    <row r="43">
      <c r="A43" s="1" t="s">
        <v>280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285</v>
      </c>
      <c r="G43" s="1" t="s">
        <v>13</v>
      </c>
      <c r="H43" s="2" t="s">
        <v>286</v>
      </c>
      <c r="I43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4">
      <c r="A44" s="1" t="s">
        <v>287</v>
      </c>
      <c r="B44" s="1" t="s">
        <v>288</v>
      </c>
      <c r="C44" s="1" t="s">
        <v>289</v>
      </c>
      <c r="D44" s="1" t="s">
        <v>290</v>
      </c>
      <c r="E44" s="1" t="s">
        <v>291</v>
      </c>
      <c r="F44" s="1" t="s">
        <v>292</v>
      </c>
      <c r="G44" s="1" t="s">
        <v>13</v>
      </c>
      <c r="H44" s="2" t="s">
        <v>293</v>
      </c>
      <c r="I44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Beleza""))"),"Salão de Beleza")</f>
        <v>Salão de Beleza</v>
      </c>
    </row>
    <row r="45">
      <c r="A45" s="1" t="s">
        <v>294</v>
      </c>
      <c r="B45" s="1" t="s">
        <v>295</v>
      </c>
      <c r="C45" s="1" t="s">
        <v>296</v>
      </c>
      <c r="D45" s="1" t="s">
        <v>297</v>
      </c>
      <c r="E45" s="1" t="s">
        <v>298</v>
      </c>
      <c r="F45" s="1" t="s">
        <v>299</v>
      </c>
      <c r="G45" s="1" t="s">
        <v>13</v>
      </c>
      <c r="H45" s="2" t="s">
        <v>300</v>
      </c>
      <c r="I45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6">
      <c r="A46" s="1" t="s">
        <v>301</v>
      </c>
      <c r="B46" s="1" t="s">
        <v>302</v>
      </c>
      <c r="C46" s="1" t="s">
        <v>303</v>
      </c>
      <c r="D46" s="1" t="s">
        <v>304</v>
      </c>
      <c r="E46" s="1" t="s">
        <v>305</v>
      </c>
      <c r="F46" s="1" t="s">
        <v>306</v>
      </c>
      <c r="G46" s="1" t="s">
        <v>13</v>
      </c>
      <c r="H46" s="2" t="s">
        <v>307</v>
      </c>
      <c r="I46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7">
      <c r="A47" s="1" t="s">
        <v>308</v>
      </c>
      <c r="D47" s="1" t="s">
        <v>309</v>
      </c>
      <c r="E47" s="1" t="s">
        <v>310</v>
      </c>
      <c r="F47" s="1" t="s">
        <v>311</v>
      </c>
      <c r="G47" s="1" t="s">
        <v>13</v>
      </c>
      <c r="H47" s="2" t="s">
        <v>312</v>
      </c>
      <c r="I47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8">
      <c r="A48" s="1" t="s">
        <v>313</v>
      </c>
      <c r="D48" s="1" t="s">
        <v>314</v>
      </c>
      <c r="E48" s="1" t="s">
        <v>315</v>
      </c>
      <c r="F48" s="1" t="s">
        <v>316</v>
      </c>
      <c r="G48" s="1" t="s">
        <v>13</v>
      </c>
      <c r="H48" s="2" t="s">
        <v>317</v>
      </c>
      <c r="I48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9">
      <c r="A49" s="1" t="s">
        <v>318</v>
      </c>
      <c r="B49" s="1" t="s">
        <v>319</v>
      </c>
      <c r="C49" s="1" t="s">
        <v>320</v>
      </c>
      <c r="D49" s="1" t="s">
        <v>321</v>
      </c>
      <c r="E49" s="1" t="s">
        <v>322</v>
      </c>
      <c r="F49" s="1" t="s">
        <v>323</v>
      </c>
      <c r="G49" s="1" t="s">
        <v>13</v>
      </c>
      <c r="H49" s="2" t="s">
        <v>324</v>
      </c>
      <c r="I49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Beleza""))"),"Salão de Beleza")</f>
        <v>Salão de Beleza</v>
      </c>
    </row>
    <row r="50">
      <c r="A50" s="1" t="s">
        <v>325</v>
      </c>
      <c r="D50" s="1" t="s">
        <v>326</v>
      </c>
      <c r="E50" s="1" t="s">
        <v>327</v>
      </c>
      <c r="F50" s="1" t="s">
        <v>328</v>
      </c>
      <c r="G50" s="1" t="s">
        <v>13</v>
      </c>
      <c r="H50" s="2" t="s">
        <v>329</v>
      </c>
      <c r="I50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Beleza""))"),"Manicure - Esmalteria")</f>
        <v>Manicure - Esmalteria</v>
      </c>
    </row>
    <row r="51">
      <c r="A51" s="1" t="s">
        <v>330</v>
      </c>
      <c r="B51" s="1" t="s">
        <v>331</v>
      </c>
      <c r="C51" s="1" t="s">
        <v>332</v>
      </c>
      <c r="D51" s="1" t="s">
        <v>333</v>
      </c>
      <c r="E51" s="1" t="s">
        <v>334</v>
      </c>
      <c r="F51" s="1" t="s">
        <v>335</v>
      </c>
      <c r="G51" s="1" t="s">
        <v>13</v>
      </c>
      <c r="H51" s="2" t="s">
        <v>336</v>
      </c>
      <c r="I51" s="3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337</v>
      </c>
      <c r="B52" s="1" t="s">
        <v>338</v>
      </c>
      <c r="C52" s="1" t="s">
        <v>339</v>
      </c>
      <c r="D52" s="1" t="s">
        <v>340</v>
      </c>
      <c r="E52" s="1" t="s">
        <v>341</v>
      </c>
      <c r="F52" s="1" t="s">
        <v>342</v>
      </c>
      <c r="G52" s="1" t="s">
        <v>13</v>
      </c>
      <c r="H52" s="2" t="s">
        <v>343</v>
      </c>
      <c r="I52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Beleza""))"),"Clínica de Estética")</f>
        <v>Clínica de Estética</v>
      </c>
    </row>
    <row r="53">
      <c r="A53" s="1" t="s">
        <v>344</v>
      </c>
      <c r="B53" s="1" t="s">
        <v>345</v>
      </c>
      <c r="C53" s="1" t="s">
        <v>346</v>
      </c>
      <c r="D53" s="1" t="s">
        <v>347</v>
      </c>
      <c r="E53" s="1" t="s">
        <v>348</v>
      </c>
      <c r="F53" s="1" t="s">
        <v>349</v>
      </c>
      <c r="G53" s="1" t="s">
        <v>13</v>
      </c>
      <c r="H53" s="2" t="s">
        <v>350</v>
      </c>
      <c r="I53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Beleza""))"),"Sobrancelhas e Cílios")</f>
        <v>Sobrancelhas e Cílios</v>
      </c>
    </row>
    <row r="54">
      <c r="A54" s="1" t="s">
        <v>351</v>
      </c>
      <c r="B54" s="1" t="s">
        <v>352</v>
      </c>
      <c r="C54" s="1" t="s">
        <v>353</v>
      </c>
      <c r="D54" s="1" t="s">
        <v>354</v>
      </c>
      <c r="E54" s="1" t="s">
        <v>355</v>
      </c>
      <c r="F54" s="1" t="s">
        <v>356</v>
      </c>
      <c r="G54" s="1" t="s">
        <v>13</v>
      </c>
      <c r="H54" s="2" t="s">
        <v>357</v>
      </c>
      <c r="I54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5">
      <c r="A55" s="1" t="s">
        <v>358</v>
      </c>
      <c r="B55" s="1" t="s">
        <v>359</v>
      </c>
      <c r="C55" s="1" t="s">
        <v>360</v>
      </c>
      <c r="D55" s="1" t="s">
        <v>361</v>
      </c>
      <c r="E55" s="1" t="s">
        <v>362</v>
      </c>
      <c r="F55" s="1" t="s">
        <v>363</v>
      </c>
      <c r="G55" s="1" t="s">
        <v>13</v>
      </c>
      <c r="H55" s="2" t="s">
        <v>364</v>
      </c>
      <c r="I55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6">
      <c r="A56" s="1" t="s">
        <v>365</v>
      </c>
      <c r="B56" s="1" t="s">
        <v>366</v>
      </c>
      <c r="C56" s="1" t="s">
        <v>367</v>
      </c>
      <c r="D56" s="1" t="s">
        <v>368</v>
      </c>
      <c r="E56" s="1" t="s">
        <v>369</v>
      </c>
      <c r="F56" s="1" t="s">
        <v>370</v>
      </c>
      <c r="G56" s="1" t="s">
        <v>13</v>
      </c>
      <c r="H56" s="2" t="s">
        <v>371</v>
      </c>
      <c r="I56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Beleza""))"),"Manicure - Esmalteria")</f>
        <v>Manicure - Esmalteria</v>
      </c>
    </row>
    <row r="57">
      <c r="A57" s="1" t="s">
        <v>372</v>
      </c>
      <c r="B57" s="1" t="s">
        <v>373</v>
      </c>
      <c r="C57" s="1" t="s">
        <v>374</v>
      </c>
      <c r="D57" s="1" t="s">
        <v>375</v>
      </c>
      <c r="E57" s="1" t="s">
        <v>376</v>
      </c>
      <c r="F57" s="1" t="s">
        <v>377</v>
      </c>
      <c r="G57" s="1" t="s">
        <v>13</v>
      </c>
      <c r="H57" s="2" t="s">
        <v>378</v>
      </c>
      <c r="I57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Beleza""))"),"Salão de Beleza")</f>
        <v>Salão de Beleza</v>
      </c>
    </row>
    <row r="58">
      <c r="A58" s="1" t="s">
        <v>379</v>
      </c>
      <c r="B58" s="1" t="s">
        <v>380</v>
      </c>
      <c r="C58" s="1" t="s">
        <v>381</v>
      </c>
      <c r="D58" s="1" t="s">
        <v>382</v>
      </c>
      <c r="E58" s="1" t="s">
        <v>383</v>
      </c>
      <c r="F58" s="1" t="s">
        <v>384</v>
      </c>
      <c r="G58" s="1" t="s">
        <v>13</v>
      </c>
      <c r="H58" s="2" t="s">
        <v>385</v>
      </c>
      <c r="I58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386</v>
      </c>
      <c r="B59" s="1" t="s">
        <v>387</v>
      </c>
      <c r="C59" s="1" t="s">
        <v>388</v>
      </c>
      <c r="D59" s="1" t="s">
        <v>389</v>
      </c>
      <c r="E59" s="1" t="s">
        <v>390</v>
      </c>
      <c r="F59" s="1" t="s">
        <v>391</v>
      </c>
      <c r="G59" s="1" t="s">
        <v>13</v>
      </c>
      <c r="H59" s="2" t="s">
        <v>392</v>
      </c>
      <c r="I59" s="3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Beleza""))"),"Sobrancelhas e Cílios")</f>
        <v>Sobrancelhas e Cílios</v>
      </c>
    </row>
    <row r="60">
      <c r="A60" s="1" t="s">
        <v>393</v>
      </c>
      <c r="B60" s="1" t="s">
        <v>394</v>
      </c>
      <c r="C60" s="1" t="s">
        <v>395</v>
      </c>
      <c r="D60" s="1" t="s">
        <v>396</v>
      </c>
      <c r="E60" s="1" t="s">
        <v>397</v>
      </c>
      <c r="F60" s="1" t="s">
        <v>398</v>
      </c>
      <c r="G60" s="1" t="s">
        <v>13</v>
      </c>
      <c r="H60" s="2" t="s">
        <v>399</v>
      </c>
      <c r="I60" s="3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Beleza""))"),"Salão de Beleza")</f>
        <v>Salão de Beleza</v>
      </c>
    </row>
    <row r="61">
      <c r="A61" s="1" t="s">
        <v>400</v>
      </c>
      <c r="B61" s="1" t="s">
        <v>401</v>
      </c>
      <c r="C61" s="1" t="s">
        <v>402</v>
      </c>
      <c r="D61" s="1" t="s">
        <v>403</v>
      </c>
      <c r="E61" s="1" t="s">
        <v>404</v>
      </c>
      <c r="F61" s="1" t="s">
        <v>405</v>
      </c>
      <c r="G61" s="1" t="s">
        <v>13</v>
      </c>
      <c r="H61" s="2" t="s">
        <v>406</v>
      </c>
      <c r="I61" s="3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Beleza""))"),"Manicure - Esmalteria")</f>
        <v>Manicure - Esmalteria</v>
      </c>
    </row>
    <row r="62">
      <c r="A62" s="1" t="s">
        <v>407</v>
      </c>
      <c r="B62" s="1" t="s">
        <v>408</v>
      </c>
      <c r="C62" s="1" t="s">
        <v>409</v>
      </c>
      <c r="D62" s="1" t="s">
        <v>410</v>
      </c>
      <c r="E62" s="1" t="s">
        <v>411</v>
      </c>
      <c r="F62" s="1" t="s">
        <v>412</v>
      </c>
      <c r="G62" s="1" t="s">
        <v>13</v>
      </c>
      <c r="H62" s="2" t="s">
        <v>413</v>
      </c>
      <c r="I62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Beleza""))"),"Maquiagem")</f>
        <v>Maquiagem</v>
      </c>
    </row>
    <row r="63">
      <c r="A63" s="1" t="s">
        <v>414</v>
      </c>
      <c r="D63" s="1" t="s">
        <v>415</v>
      </c>
      <c r="E63" s="1" t="s">
        <v>416</v>
      </c>
      <c r="F63" s="1" t="s">
        <v>417</v>
      </c>
      <c r="G63" s="1" t="s">
        <v>13</v>
      </c>
      <c r="H63" s="2" t="s">
        <v>418</v>
      </c>
      <c r="I63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Beleza""))"),"Salão de Beleza")</f>
        <v>Salão de Beleza</v>
      </c>
    </row>
    <row r="64">
      <c r="A64" s="1" t="s">
        <v>419</v>
      </c>
      <c r="D64" s="1" t="s">
        <v>217</v>
      </c>
      <c r="E64" s="1" t="s">
        <v>420</v>
      </c>
      <c r="F64" s="1" t="s">
        <v>421</v>
      </c>
      <c r="G64" s="1" t="s">
        <v>13</v>
      </c>
      <c r="H64" s="2" t="s">
        <v>422</v>
      </c>
      <c r="I64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5">
      <c r="A65" s="1" t="s">
        <v>423</v>
      </c>
      <c r="B65" s="1" t="s">
        <v>424</v>
      </c>
      <c r="C65" s="1" t="s">
        <v>425</v>
      </c>
      <c r="D65" s="1" t="s">
        <v>426</v>
      </c>
      <c r="E65" s="1" t="s">
        <v>427</v>
      </c>
      <c r="F65" s="1" t="s">
        <v>428</v>
      </c>
      <c r="G65" s="1" t="s">
        <v>13</v>
      </c>
      <c r="H65" s="2" t="s">
        <v>429</v>
      </c>
      <c r="I65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Beleza""))"),"Clínica de Estética")</f>
        <v>Clínica de Estética</v>
      </c>
    </row>
    <row r="66">
      <c r="A66" s="1" t="s">
        <v>430</v>
      </c>
      <c r="D66" s="1" t="s">
        <v>431</v>
      </c>
      <c r="E66" s="1" t="s">
        <v>432</v>
      </c>
      <c r="F66" s="1" t="s">
        <v>433</v>
      </c>
      <c r="G66" s="1" t="s">
        <v>13</v>
      </c>
      <c r="H66" s="2" t="s">
        <v>434</v>
      </c>
      <c r="I66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435</v>
      </c>
      <c r="B67" s="1" t="s">
        <v>436</v>
      </c>
      <c r="C67" s="1" t="s">
        <v>437</v>
      </c>
      <c r="D67" s="1" t="s">
        <v>16</v>
      </c>
      <c r="E67" s="1" t="s">
        <v>438</v>
      </c>
      <c r="F67" s="1" t="s">
        <v>439</v>
      </c>
      <c r="G67" s="1" t="s">
        <v>13</v>
      </c>
      <c r="H67" s="2" t="s">
        <v>440</v>
      </c>
      <c r="I67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8">
      <c r="A68" s="1" t="s">
        <v>441</v>
      </c>
      <c r="B68" s="1" t="s">
        <v>442</v>
      </c>
      <c r="C68" s="1" t="s">
        <v>443</v>
      </c>
      <c r="D68" s="1" t="s">
        <v>444</v>
      </c>
      <c r="E68" s="1" t="s">
        <v>445</v>
      </c>
      <c r="F68" s="1" t="s">
        <v>446</v>
      </c>
      <c r="G68" s="1" t="s">
        <v>13</v>
      </c>
      <c r="H68" s="2" t="s">
        <v>447</v>
      </c>
      <c r="I68" s="3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Beleza""))"),"Salão de Beleza")</f>
        <v>Salão de Beleza</v>
      </c>
    </row>
    <row r="69">
      <c r="A69" s="1" t="s">
        <v>448</v>
      </c>
      <c r="B69" s="1" t="s">
        <v>449</v>
      </c>
      <c r="D69" s="1" t="s">
        <v>450</v>
      </c>
      <c r="E69" s="1" t="s">
        <v>451</v>
      </c>
      <c r="F69" s="1" t="s">
        <v>452</v>
      </c>
      <c r="G69" s="1" t="s">
        <v>13</v>
      </c>
      <c r="H69" s="2" t="s">
        <v>453</v>
      </c>
      <c r="I69" s="3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Beleza""))"),"Salão de Beleza")</f>
        <v>Salão de Beleza</v>
      </c>
    </row>
    <row r="70">
      <c r="A70" s="1" t="s">
        <v>454</v>
      </c>
      <c r="B70" s="1" t="s">
        <v>455</v>
      </c>
      <c r="C70" s="1" t="s">
        <v>456</v>
      </c>
      <c r="D70" s="1" t="s">
        <v>457</v>
      </c>
      <c r="E70" s="1" t="s">
        <v>458</v>
      </c>
      <c r="F70" s="1" t="s">
        <v>459</v>
      </c>
      <c r="G70" s="1" t="s">
        <v>13</v>
      </c>
      <c r="H70" s="2" t="s">
        <v>460</v>
      </c>
      <c r="I70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Beleza""))"),"Barbearia")</f>
        <v>Barbearia</v>
      </c>
    </row>
    <row r="71">
      <c r="A71" s="1" t="s">
        <v>461</v>
      </c>
      <c r="B71" s="1" t="s">
        <v>462</v>
      </c>
      <c r="C71" s="1" t="s">
        <v>463</v>
      </c>
      <c r="D71" s="1" t="s">
        <v>464</v>
      </c>
      <c r="E71" s="1" t="s">
        <v>465</v>
      </c>
      <c r="F71" s="1" t="s">
        <v>466</v>
      </c>
      <c r="G71" s="1" t="s">
        <v>13</v>
      </c>
      <c r="H71" s="2" t="s">
        <v>467</v>
      </c>
      <c r="I71" s="3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Beleza""))"),"Manicure - Esmalteria")</f>
        <v>Manicure - Esmalteria</v>
      </c>
    </row>
    <row r="72">
      <c r="A72" s="1" t="s">
        <v>468</v>
      </c>
      <c r="B72" s="1" t="s">
        <v>469</v>
      </c>
      <c r="C72" s="1" t="s">
        <v>470</v>
      </c>
      <c r="D72" s="1" t="s">
        <v>471</v>
      </c>
      <c r="E72" s="1" t="s">
        <v>472</v>
      </c>
      <c r="F72" s="1" t="s">
        <v>473</v>
      </c>
      <c r="G72" s="1" t="s">
        <v>13</v>
      </c>
      <c r="H72" s="2" t="s">
        <v>474</v>
      </c>
      <c r="I72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3">
      <c r="A73" s="1" t="s">
        <v>475</v>
      </c>
      <c r="B73" s="1" t="s">
        <v>476</v>
      </c>
      <c r="C73" s="1" t="s">
        <v>477</v>
      </c>
      <c r="D73" s="1" t="s">
        <v>478</v>
      </c>
      <c r="E73" s="1" t="s">
        <v>479</v>
      </c>
      <c r="F73" s="1" t="s">
        <v>480</v>
      </c>
      <c r="G73" s="1" t="s">
        <v>13</v>
      </c>
      <c r="H73" s="2" t="s">
        <v>481</v>
      </c>
      <c r="I73" s="3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Beleza""))"),"Salão de Beleza")</f>
        <v>Salão de Beleza</v>
      </c>
    </row>
    <row r="74">
      <c r="A74" s="1" t="s">
        <v>482</v>
      </c>
      <c r="B74" s="1" t="s">
        <v>483</v>
      </c>
      <c r="C74" s="1" t="s">
        <v>484</v>
      </c>
      <c r="D74" s="1" t="s">
        <v>485</v>
      </c>
      <c r="E74" s="1" t="s">
        <v>486</v>
      </c>
      <c r="F74" s="1" t="s">
        <v>487</v>
      </c>
      <c r="G74" s="1" t="s">
        <v>13</v>
      </c>
      <c r="H74" s="2" t="s">
        <v>488</v>
      </c>
      <c r="I74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Beleza""))"),"Sobrancelhas e Cílios")</f>
        <v>Sobrancelhas e Cílios</v>
      </c>
    </row>
    <row r="75">
      <c r="A75" s="1" t="s">
        <v>489</v>
      </c>
      <c r="B75" s="1" t="s">
        <v>490</v>
      </c>
      <c r="C75" s="1" t="s">
        <v>491</v>
      </c>
      <c r="D75" s="1" t="s">
        <v>492</v>
      </c>
      <c r="E75" s="1" t="s">
        <v>493</v>
      </c>
      <c r="F75" s="1" t="s">
        <v>494</v>
      </c>
      <c r="G75" s="1" t="s">
        <v>13</v>
      </c>
      <c r="H75" s="2" t="s">
        <v>495</v>
      </c>
      <c r="I75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Beleza""))"),"Sobrancelhas e Cílios")</f>
        <v>Sobrancelhas e Cílios</v>
      </c>
    </row>
    <row r="76">
      <c r="A76" s="1" t="s">
        <v>496</v>
      </c>
      <c r="D76" s="1" t="s">
        <v>497</v>
      </c>
      <c r="E76" s="1" t="s">
        <v>498</v>
      </c>
      <c r="F76" s="1" t="s">
        <v>499</v>
      </c>
      <c r="G76" s="1" t="s">
        <v>13</v>
      </c>
      <c r="H76" s="2" t="s">
        <v>500</v>
      </c>
      <c r="I76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7">
      <c r="A77" s="1" t="s">
        <v>501</v>
      </c>
      <c r="B77" s="1" t="s">
        <v>502</v>
      </c>
      <c r="C77" s="1" t="s">
        <v>503</v>
      </c>
      <c r="D77" s="1" t="s">
        <v>504</v>
      </c>
      <c r="E77" s="1" t="s">
        <v>505</v>
      </c>
      <c r="F77" s="1" t="s">
        <v>506</v>
      </c>
      <c r="G77" s="1" t="s">
        <v>13</v>
      </c>
      <c r="H77" s="2" t="s">
        <v>507</v>
      </c>
      <c r="I77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Beleza""))"),"Salão de Beleza")</f>
        <v>Salão de Beleza</v>
      </c>
    </row>
    <row r="78">
      <c r="A78" s="1" t="s">
        <v>508</v>
      </c>
      <c r="B78" s="1" t="s">
        <v>509</v>
      </c>
      <c r="C78" s="1" t="s">
        <v>510</v>
      </c>
      <c r="D78" s="1" t="s">
        <v>511</v>
      </c>
      <c r="E78" s="1" t="s">
        <v>512</v>
      </c>
      <c r="F78" s="1" t="s">
        <v>513</v>
      </c>
      <c r="G78" s="1" t="s">
        <v>13</v>
      </c>
      <c r="H78" s="2" t="s">
        <v>514</v>
      </c>
      <c r="I78" s="3" t="str">
        <f>IFERROR(__xludf.DUMMYFUNCTION("IF(A78="""", """", IFS(REGEXMATCH(LOWER(A78), ""barbearia|barber""), ""Barbearia"", REGEXMATCH(LOWER(A78), ""sobrancelh|c[ií]lio|lash|micropigment|showbrancelhas""), ""Sobrancelhas e Cílios"", REGEXMATCH(LOWER(A78), ""maquia|make""), ""Maquiagem"", REGEXM"&amp;"ATCH(LOWER(A78), ""depil|epil""), ""Depilação"", REGEXMATCH(LOWER(A78), ""esmalteria|unha|nail|manicur|spa dos p[eé]s|kauu_nhas""), ""Manicure - Esmalteria"", REGEXMATCH(LOWER(A78), ""est[eé]tic|bronze|massot|terap|pilates|revitalize|dra""), ""Clínica de "&amp;"Estética"", TRUE, ""Salão de Beleza""))"),"Manicure - Esmalteria")</f>
        <v>Manicure - Esmalteria</v>
      </c>
    </row>
    <row r="79">
      <c r="A79" s="1" t="s">
        <v>515</v>
      </c>
      <c r="D79" s="1" t="s">
        <v>16</v>
      </c>
      <c r="E79" s="1" t="s">
        <v>516</v>
      </c>
      <c r="F79" s="1" t="s">
        <v>517</v>
      </c>
      <c r="G79" s="1" t="s">
        <v>13</v>
      </c>
      <c r="H79" s="2" t="s">
        <v>518</v>
      </c>
      <c r="I79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Beleza""))"),"Salão de Beleza")</f>
        <v>Salão de Beleza</v>
      </c>
    </row>
    <row r="80">
      <c r="A80" s="1" t="s">
        <v>519</v>
      </c>
      <c r="B80" s="1" t="s">
        <v>520</v>
      </c>
      <c r="C80" s="1" t="s">
        <v>521</v>
      </c>
      <c r="D80" s="1" t="s">
        <v>464</v>
      </c>
      <c r="E80" s="1" t="s">
        <v>465</v>
      </c>
      <c r="F80" s="1" t="s">
        <v>466</v>
      </c>
      <c r="G80" s="1" t="s">
        <v>13</v>
      </c>
      <c r="H80" s="2" t="s">
        <v>522</v>
      </c>
      <c r="I80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Beleza""))"),"Manicure - Esmalteria")</f>
        <v>Manicure - Esmalteria</v>
      </c>
    </row>
    <row r="81">
      <c r="A81" s="1" t="s">
        <v>523</v>
      </c>
      <c r="B81" s="1" t="s">
        <v>524</v>
      </c>
      <c r="C81" s="1" t="s">
        <v>525</v>
      </c>
      <c r="D81" s="1" t="s">
        <v>526</v>
      </c>
      <c r="E81" s="1" t="s">
        <v>527</v>
      </c>
      <c r="F81" s="1" t="s">
        <v>528</v>
      </c>
      <c r="G81" s="1" t="s">
        <v>13</v>
      </c>
      <c r="H81" s="2" t="s">
        <v>529</v>
      </c>
      <c r="I81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Beleza""))"),"Depilação")</f>
        <v>Depilação</v>
      </c>
    </row>
    <row r="82">
      <c r="A82" s="1" t="s">
        <v>530</v>
      </c>
      <c r="B82" s="1" t="s">
        <v>531</v>
      </c>
      <c r="C82" s="1" t="s">
        <v>532</v>
      </c>
      <c r="D82" s="1" t="s">
        <v>533</v>
      </c>
      <c r="E82" s="1" t="s">
        <v>534</v>
      </c>
      <c r="F82" s="1" t="s">
        <v>535</v>
      </c>
      <c r="G82" s="1" t="s">
        <v>13</v>
      </c>
      <c r="H82" s="2" t="s">
        <v>536</v>
      </c>
      <c r="I82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Beleza""))"),"Manicure - Esmalteria")</f>
        <v>Manicure - Esmalteria</v>
      </c>
    </row>
    <row r="83">
      <c r="A83" s="1" t="s">
        <v>134</v>
      </c>
      <c r="B83" s="1" t="s">
        <v>135</v>
      </c>
      <c r="C83" s="1" t="s">
        <v>136</v>
      </c>
      <c r="D83" s="1" t="s">
        <v>537</v>
      </c>
      <c r="E83" s="1" t="s">
        <v>538</v>
      </c>
      <c r="F83" s="1" t="s">
        <v>539</v>
      </c>
      <c r="G83" s="1" t="s">
        <v>13</v>
      </c>
      <c r="H83" s="2" t="s">
        <v>540</v>
      </c>
      <c r="I83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Beleza""))"),"Depilação")</f>
        <v>Depilação</v>
      </c>
    </row>
    <row r="84">
      <c r="A84" s="1" t="s">
        <v>541</v>
      </c>
      <c r="E84" s="1" t="s">
        <v>542</v>
      </c>
      <c r="F84" s="1" t="s">
        <v>543</v>
      </c>
      <c r="G84" s="1" t="s">
        <v>13</v>
      </c>
      <c r="H84" s="2" t="s">
        <v>544</v>
      </c>
      <c r="I84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Beleza""))"),"Clínica de Estética")</f>
        <v>Clínica de Estética</v>
      </c>
    </row>
    <row r="85">
      <c r="A85" s="1" t="s">
        <v>545</v>
      </c>
      <c r="D85" s="1" t="s">
        <v>546</v>
      </c>
      <c r="E85" s="1" t="s">
        <v>547</v>
      </c>
      <c r="F85" s="1" t="s">
        <v>548</v>
      </c>
      <c r="G85" s="1" t="s">
        <v>13</v>
      </c>
      <c r="H85" s="2" t="s">
        <v>549</v>
      </c>
      <c r="I85" s="3" t="str">
        <f>IFERROR(__xludf.DUMMYFUNCTION("IF(A85="""", """", IFS(REGEXMATCH(LOWER(A85), ""barbearia|barber""), ""Barbearia"", REGEXMATCH(LOWER(A85), ""sobrancelh|c[ií]lio|lash|micropigment|showbrancelhas""), ""Sobrancelhas e Cílios"", REGEXMATCH(LOWER(A85), ""maquia|make""), ""Maquiagem"", REGEXM"&amp;"ATCH(LOWER(A85), ""depil|epil""), ""Depilação"", REGEXMATCH(LOWER(A85), ""esmalteria|unha|nail|manicur|spa dos p[eé]s|kauu_nhas""), ""Manicure - Esmalteria"", REGEXMATCH(LOWER(A85), ""est[eé]tic|bronze|massot|terap|pilates|revitalize|dra""), ""Clínica de "&amp;"Estética"", TRUE, ""Salão de Beleza""))"),"Clínica de Estética")</f>
        <v>Clínica de Estética</v>
      </c>
    </row>
    <row r="86">
      <c r="A86" s="1" t="s">
        <v>550</v>
      </c>
      <c r="D86" s="1" t="s">
        <v>16</v>
      </c>
      <c r="E86" s="1" t="s">
        <v>551</v>
      </c>
      <c r="F86" s="1" t="s">
        <v>552</v>
      </c>
      <c r="G86" s="1" t="s">
        <v>13</v>
      </c>
      <c r="H86" s="2" t="s">
        <v>553</v>
      </c>
      <c r="I86" s="3" t="str">
        <f>IFERROR(__xludf.DUMMYFUNCTION("IF(A86="""", """", IFS(REGEXMATCH(LOWER(A86), ""barbearia|barber""), ""Barbearia"", REGEXMATCH(LOWER(A86), ""sobrancelh|c[ií]lio|lash|micropigment|showbrancelhas""), ""Sobrancelhas e Cílios"", REGEXMATCH(LOWER(A86), ""maquia|make""), ""Maquiagem"", REGEXM"&amp;"ATCH(LOWER(A86), ""depil|epil""), ""Depilação"", REGEXMATCH(LOWER(A86), ""esmalteria|unha|nail|manicur|spa dos p[eé]s|kauu_nhas""), ""Manicure - Esmalteria"", REGEXMATCH(LOWER(A86), ""est[eé]tic|bronze|massot|terap|pilates|revitalize|dra""), ""Clínica de "&amp;"Estética"", TRUE, ""Salão de Beleza""))"),"Manicure - Esmalteria")</f>
        <v>Manicure - Esmalteria</v>
      </c>
    </row>
    <row r="87">
      <c r="A87" s="1" t="s">
        <v>554</v>
      </c>
      <c r="B87" s="1" t="s">
        <v>555</v>
      </c>
      <c r="C87" s="1" t="s">
        <v>556</v>
      </c>
      <c r="D87" s="1" t="s">
        <v>557</v>
      </c>
      <c r="E87" s="1" t="s">
        <v>445</v>
      </c>
      <c r="F87" s="1" t="s">
        <v>446</v>
      </c>
      <c r="G87" s="1" t="s">
        <v>13</v>
      </c>
      <c r="H87" s="2" t="s">
        <v>558</v>
      </c>
      <c r="I87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Beleza""))"),"Manicure - Esmalteria")</f>
        <v>Manicure - Esmalteria</v>
      </c>
    </row>
    <row r="88">
      <c r="A88" s="1" t="s">
        <v>559</v>
      </c>
      <c r="B88" s="1" t="s">
        <v>560</v>
      </c>
      <c r="C88" s="1" t="s">
        <v>561</v>
      </c>
      <c r="E88" s="1" t="s">
        <v>542</v>
      </c>
      <c r="F88" s="1" t="s">
        <v>543</v>
      </c>
      <c r="G88" s="1" t="s">
        <v>13</v>
      </c>
      <c r="H88" s="2" t="s">
        <v>562</v>
      </c>
      <c r="I88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Beleza""))"),"Salão de Beleza")</f>
        <v>Salão de Beleza</v>
      </c>
    </row>
    <row r="89">
      <c r="A89" s="1" t="s">
        <v>563</v>
      </c>
      <c r="B89" s="1" t="s">
        <v>564</v>
      </c>
      <c r="C89" s="1" t="s">
        <v>565</v>
      </c>
      <c r="E89" s="1" t="s">
        <v>542</v>
      </c>
      <c r="F89" s="1" t="s">
        <v>543</v>
      </c>
      <c r="G89" s="1" t="s">
        <v>13</v>
      </c>
      <c r="H89" s="2" t="s">
        <v>566</v>
      </c>
      <c r="I89" s="3" t="str">
        <f>IFERROR(__xludf.DUMMYFUNCTION("IF(A89="""", """", IFS(REGEXMATCH(LOWER(A89), ""barbearia|barber""), ""Barbearia"", REGEXMATCH(LOWER(A89), ""sobrancelh|c[ií]lio|lash|micropigment|showbrancelhas""), ""Sobrancelhas e Cílios"", REGEXMATCH(LOWER(A89), ""maquia|make""), ""Maquiagem"", REGEXM"&amp;"ATCH(LOWER(A89), ""depil|epil""), ""Depilação"", REGEXMATCH(LOWER(A89), ""esmalteria|unha|nail|manicur|spa dos p[eé]s|kauu_nhas""), ""Manicure - Esmalteria"", REGEXMATCH(LOWER(A89), ""est[eé]tic|bronze|massot|terap|pilates|revitalize|dra""), ""Clínica de "&amp;"Estética"", TRUE, ""Salão de Beleza""))"),"Salão de Beleza")</f>
        <v>Salão de Beleza</v>
      </c>
    </row>
    <row r="90">
      <c r="A90" s="1" t="s">
        <v>567</v>
      </c>
      <c r="B90" s="1" t="s">
        <v>568</v>
      </c>
      <c r="C90" s="1" t="s">
        <v>569</v>
      </c>
      <c r="D90" s="1" t="s">
        <v>570</v>
      </c>
      <c r="E90" s="1" t="s">
        <v>571</v>
      </c>
      <c r="F90" s="1" t="s">
        <v>572</v>
      </c>
      <c r="G90" s="1" t="s">
        <v>13</v>
      </c>
      <c r="H90" s="2" t="s">
        <v>573</v>
      </c>
      <c r="I90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Beleza""))"),"Salão de Beleza")</f>
        <v>Salão de Beleza</v>
      </c>
    </row>
    <row r="91">
      <c r="A91" s="1" t="s">
        <v>574</v>
      </c>
      <c r="B91" s="1" t="s">
        <v>575</v>
      </c>
      <c r="C91" s="1" t="s">
        <v>576</v>
      </c>
      <c r="D91" s="1" t="s">
        <v>577</v>
      </c>
      <c r="E91" s="1" t="s">
        <v>578</v>
      </c>
      <c r="F91" s="1" t="s">
        <v>579</v>
      </c>
      <c r="G91" s="1" t="s">
        <v>13</v>
      </c>
      <c r="H91" s="2" t="s">
        <v>580</v>
      </c>
      <c r="I91" s="3" t="str">
        <f>IFERROR(__xludf.DUMMYFUNCTION("IF(A91="""", """", IFS(REGEXMATCH(LOWER(A91), ""barbearia|barber""), ""Barbearia"", REGEXMATCH(LOWER(A91), ""sobrancelh|c[ií]lio|lash|micropigment|showbrancelhas""), ""Sobrancelhas e Cílios"", REGEXMATCH(LOWER(A91), ""maquia|make""), ""Maquiagem"", REGEXM"&amp;"ATCH(LOWER(A91), ""depil|epil""), ""Depilação"", REGEXMATCH(LOWER(A91), ""esmalteria|unha|nail|manicur|spa dos p[eé]s|kauu_nhas""), ""Manicure - Esmalteria"", REGEXMATCH(LOWER(A91), ""est[eé]tic|bronze|massot|terap|pilates|revitalize|dra""), ""Clínica de "&amp;"Estética"", TRUE, ""Salão de Beleza""))"),"Salão de Beleza")</f>
        <v>Salão de Beleza</v>
      </c>
    </row>
    <row r="92">
      <c r="A92" s="1" t="s">
        <v>581</v>
      </c>
      <c r="D92" s="1" t="s">
        <v>582</v>
      </c>
      <c r="E92" s="1" t="s">
        <v>583</v>
      </c>
      <c r="F92" s="1" t="s">
        <v>584</v>
      </c>
      <c r="G92" s="1" t="s">
        <v>13</v>
      </c>
      <c r="H92" s="2" t="s">
        <v>585</v>
      </c>
      <c r="I92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Beleza""))"),"Manicure - Esmalteria")</f>
        <v>Manicure - Esmalteria</v>
      </c>
    </row>
    <row r="93">
      <c r="A93" s="1" t="s">
        <v>586</v>
      </c>
      <c r="B93" s="1" t="s">
        <v>587</v>
      </c>
      <c r="D93" s="1" t="s">
        <v>588</v>
      </c>
      <c r="E93" s="1" t="s">
        <v>589</v>
      </c>
      <c r="F93" s="1" t="s">
        <v>590</v>
      </c>
      <c r="G93" s="1" t="s">
        <v>13</v>
      </c>
      <c r="H93" s="2" t="s">
        <v>591</v>
      </c>
      <c r="I93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Beleza""))"),"Sobrancelhas e Cílios")</f>
        <v>Sobrancelhas e Cílios</v>
      </c>
    </row>
    <row r="94">
      <c r="A94" s="1" t="s">
        <v>592</v>
      </c>
      <c r="B94" s="1" t="s">
        <v>593</v>
      </c>
      <c r="C94" s="1" t="s">
        <v>594</v>
      </c>
      <c r="D94" s="1" t="s">
        <v>595</v>
      </c>
      <c r="E94" s="1" t="s">
        <v>596</v>
      </c>
      <c r="F94" s="1" t="s">
        <v>597</v>
      </c>
      <c r="G94" s="1" t="s">
        <v>13</v>
      </c>
      <c r="H94" s="2" t="s">
        <v>598</v>
      </c>
      <c r="I94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5">
      <c r="A95" s="1" t="s">
        <v>599</v>
      </c>
      <c r="B95" s="1" t="s">
        <v>600</v>
      </c>
      <c r="C95" s="1" t="s">
        <v>601</v>
      </c>
      <c r="D95" s="1" t="s">
        <v>602</v>
      </c>
      <c r="E95" s="1" t="s">
        <v>603</v>
      </c>
      <c r="F95" s="1" t="s">
        <v>604</v>
      </c>
      <c r="G95" s="1" t="s">
        <v>13</v>
      </c>
      <c r="H95" s="2" t="s">
        <v>605</v>
      </c>
      <c r="I95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Beleza""))"),"Clínica de Estética")</f>
        <v>Clínica de Estética</v>
      </c>
    </row>
    <row r="96">
      <c r="A96" s="1" t="s">
        <v>606</v>
      </c>
      <c r="B96" s="1" t="s">
        <v>607</v>
      </c>
      <c r="C96" s="1" t="s">
        <v>608</v>
      </c>
      <c r="D96" s="1" t="s">
        <v>609</v>
      </c>
      <c r="E96" s="1" t="s">
        <v>610</v>
      </c>
      <c r="F96" s="1" t="s">
        <v>611</v>
      </c>
      <c r="G96" s="1" t="s">
        <v>13</v>
      </c>
      <c r="H96" s="2" t="s">
        <v>612</v>
      </c>
      <c r="I96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Beleza""))"),"Salão de Beleza")</f>
        <v>Salão de Beleza</v>
      </c>
    </row>
    <row r="97">
      <c r="A97" s="1" t="s">
        <v>613</v>
      </c>
      <c r="B97" s="1" t="s">
        <v>614</v>
      </c>
      <c r="C97" s="1" t="s">
        <v>615</v>
      </c>
      <c r="D97" s="1" t="s">
        <v>616</v>
      </c>
      <c r="E97" s="1" t="s">
        <v>617</v>
      </c>
      <c r="F97" s="1" t="s">
        <v>618</v>
      </c>
      <c r="G97" s="1" t="s">
        <v>13</v>
      </c>
      <c r="H97" s="2" t="s">
        <v>619</v>
      </c>
      <c r="I97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Beleza""))"),"Salão de Beleza")</f>
        <v>Salão de Beleza</v>
      </c>
    </row>
    <row r="98">
      <c r="A98" s="1" t="s">
        <v>620</v>
      </c>
      <c r="B98" s="1" t="s">
        <v>621</v>
      </c>
      <c r="C98" s="1" t="s">
        <v>622</v>
      </c>
      <c r="E98" s="1" t="s">
        <v>542</v>
      </c>
      <c r="F98" s="1" t="s">
        <v>543</v>
      </c>
      <c r="G98" s="1" t="s">
        <v>13</v>
      </c>
      <c r="H98" s="2" t="s">
        <v>623</v>
      </c>
      <c r="I98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Beleza""))"),"Sobrancelhas e Cílios")</f>
        <v>Sobrancelhas e Cílios</v>
      </c>
    </row>
    <row r="99">
      <c r="A99" s="1" t="s">
        <v>624</v>
      </c>
      <c r="B99" s="1" t="s">
        <v>625</v>
      </c>
      <c r="C99" s="1" t="s">
        <v>626</v>
      </c>
      <c r="D99" s="1" t="s">
        <v>627</v>
      </c>
      <c r="E99" s="1" t="s">
        <v>628</v>
      </c>
      <c r="F99" s="1" t="s">
        <v>629</v>
      </c>
      <c r="G99" s="1" t="s">
        <v>13</v>
      </c>
      <c r="H99" s="2" t="s">
        <v>630</v>
      </c>
      <c r="I99" s="3" t="str">
        <f>IFERROR(__xludf.DUMMYFUNCTION("IF(A99="""", """", IFS(REGEXMATCH(LOWER(A99), ""barbearia|barber""), ""Barbearia"", REGEXMATCH(LOWER(A99), ""sobrancelh|c[ií]lio|lash|micropigment|showbrancelhas""), ""Sobrancelhas e Cílios"", REGEXMATCH(LOWER(A99), ""maquia|make""), ""Maquiagem"", REGEXM"&amp;"ATCH(LOWER(A99), ""depil|epil""), ""Depilação"", REGEXMATCH(LOWER(A99), ""esmalteria|unha|nail|manicur|spa dos p[eé]s|kauu_nhas""), ""Manicure - Esmalteria"", REGEXMATCH(LOWER(A99), ""est[eé]tic|bronze|massot|terap|pilates|revitalize|dra""), ""Clínica de "&amp;"Estética"", TRUE, ""Salão de Beleza""))"),"Salão de Beleza")</f>
        <v>Salão de Beleza</v>
      </c>
    </row>
    <row r="100">
      <c r="A100" s="1" t="s">
        <v>631</v>
      </c>
      <c r="D100" s="1" t="s">
        <v>16</v>
      </c>
      <c r="E100" s="1" t="s">
        <v>632</v>
      </c>
      <c r="F100" s="1" t="s">
        <v>633</v>
      </c>
      <c r="G100" s="1" t="s">
        <v>13</v>
      </c>
      <c r="H100" s="2" t="s">
        <v>634</v>
      </c>
      <c r="I100" s="3" t="str">
        <f>IFERROR(__xludf.DUMMYFUNCTION("IF(A100="""", """", IFS(REGEXMATCH(LOWER(A100), ""barbearia|barber""), ""Barbearia"", REGEXMATCH(LOWER(A100), ""sobrancelh|c[ií]lio|lash|micropigment|showbrancelhas""), ""Sobrancelhas e Cílios"", REGEXMATCH(LOWER(A100), ""maquia|make""), ""Maquiagem"", RE"&amp;"GEXMATCH(LOWER(A100), ""depil|epil""), ""Depilação"", REGEXMATCH(LOWER(A100), ""esmalteria|unha|nail|manicur|spa dos p[eé]s|kauu_nhas""), ""Manicure - Esmalteria"", REGEXMATCH(LOWER(A100), ""est[eé]tic|bronze|massot|terap|pilates|revitalize|dra""), ""Clín"&amp;"ica de Estética"", TRUE, ""Salão de Beleza""))"),"Salão de Beleza")</f>
        <v>Salão de Beleza</v>
      </c>
    </row>
    <row r="101">
      <c r="A101" s="1" t="s">
        <v>635</v>
      </c>
      <c r="B101" s="1" t="s">
        <v>621</v>
      </c>
      <c r="C101" s="1" t="s">
        <v>622</v>
      </c>
      <c r="D101" s="1" t="s">
        <v>636</v>
      </c>
      <c r="E101" s="1" t="s">
        <v>637</v>
      </c>
      <c r="F101" s="1" t="s">
        <v>638</v>
      </c>
      <c r="G101" s="1" t="s">
        <v>13</v>
      </c>
      <c r="H101" s="2" t="s">
        <v>639</v>
      </c>
      <c r="I101" s="3" t="str">
        <f>IFERROR(__xludf.DUMMYFUNCTION("IF(A101="""", """", IFS(REGEXMATCH(LOWER(A101), ""barbearia|barber""), ""Barbearia"", REGEXMATCH(LOWER(A101), ""sobrancelh|c[ií]lio|lash|micropigment|showbrancelhas""), ""Sobrancelhas e Cílios"", REGEXMATCH(LOWER(A101), ""maquia|make""), ""Maquiagem"", RE"&amp;"GEXMATCH(LOWER(A101), ""depil|epil""), ""Depilação"", REGEXMATCH(LOWER(A101), ""esmalteria|unha|nail|manicur|spa dos p[eé]s|kauu_nhas""), ""Manicure - Esmalteria"", REGEXMATCH(LOWER(A101), ""est[eé]tic|bronze|massot|terap|pilates|revitalize|dra""), ""Clín"&amp;"ica de Estética"", TRUE, ""Salão de Beleza""))"),"Sobrancelhas e Cílios")</f>
        <v>Sobrancelhas e Cílios</v>
      </c>
    </row>
    <row r="102">
      <c r="A102" s="1" t="s">
        <v>640</v>
      </c>
      <c r="B102" s="1" t="s">
        <v>641</v>
      </c>
      <c r="C102" s="1" t="s">
        <v>642</v>
      </c>
      <c r="D102" s="1" t="s">
        <v>643</v>
      </c>
      <c r="E102" s="1" t="s">
        <v>644</v>
      </c>
      <c r="F102" s="1" t="s">
        <v>645</v>
      </c>
      <c r="G102" s="1" t="s">
        <v>13</v>
      </c>
      <c r="H102" s="2" t="s">
        <v>646</v>
      </c>
      <c r="I102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Beleza""))"),"Salão de Beleza")</f>
        <v>Salão de Beleza</v>
      </c>
    </row>
    <row r="103">
      <c r="A103" s="1" t="s">
        <v>647</v>
      </c>
      <c r="D103" s="1" t="s">
        <v>636</v>
      </c>
      <c r="E103" s="1" t="s">
        <v>648</v>
      </c>
      <c r="F103" s="1" t="s">
        <v>649</v>
      </c>
      <c r="G103" s="1" t="s">
        <v>13</v>
      </c>
      <c r="H103" s="2" t="s">
        <v>650</v>
      </c>
      <c r="I103" s="3" t="str">
        <f>IFERROR(__xludf.DUMMYFUNCTION("IF(A103="""", """", IFS(REGEXMATCH(LOWER(A103), ""barbearia|barber""), ""Barbearia"", REGEXMATCH(LOWER(A103), ""sobrancelh|c[ií]lio|lash|micropigment|showbrancelhas""), ""Sobrancelhas e Cílios"", REGEXMATCH(LOWER(A103), ""maquia|make""), ""Maquiagem"", RE"&amp;"GEXMATCH(LOWER(A103), ""depil|epil""), ""Depilação"", REGEXMATCH(LOWER(A103), ""esmalteria|unha|nail|manicur|spa dos p[eé]s|kauu_nhas""), ""Manicure - Esmalteria"", REGEXMATCH(LOWER(A103), ""est[eé]tic|bronze|massot|terap|pilates|revitalize|dra""), ""Clín"&amp;"ica de Estética"", TRUE, ""Salão de Beleza""))"),"Salão de Beleza")</f>
        <v>Salão de Beleza</v>
      </c>
    </row>
    <row r="104">
      <c r="A104" s="1" t="s">
        <v>651</v>
      </c>
      <c r="B104" s="1" t="s">
        <v>652</v>
      </c>
      <c r="C104" s="1" t="s">
        <v>653</v>
      </c>
      <c r="D104" s="1" t="s">
        <v>654</v>
      </c>
      <c r="E104" s="1" t="s">
        <v>655</v>
      </c>
      <c r="F104" s="1" t="s">
        <v>656</v>
      </c>
      <c r="G104" s="1" t="s">
        <v>13</v>
      </c>
      <c r="H104" s="2" t="s">
        <v>657</v>
      </c>
      <c r="I104" s="3" t="str">
        <f>IFERROR(__xludf.DUMMYFUNCTION("IF(A104="""", """", IFS(REGEXMATCH(LOWER(A104), ""barbearia|barber""), ""Barbearia"", REGEXMATCH(LOWER(A104), ""sobrancelh|c[ií]lio|lash|micropigment|showbrancelhas""), ""Sobrancelhas e Cílios"", REGEXMATCH(LOWER(A104), ""maquia|make""), ""Maquiagem"", RE"&amp;"GEXMATCH(LOWER(A104), ""depil|epil""), ""Depilação"", REGEXMATCH(LOWER(A104), ""esmalteria|unha|nail|manicur|spa dos p[eé]s|kauu_nhas""), ""Manicure - Esmalteria"", REGEXMATCH(LOWER(A104), ""est[eé]tic|bronze|massot|terap|pilates|revitalize|dra""), ""Clín"&amp;"ica de Estética"", TRUE, ""Salão de Beleza""))"),"Salão de Beleza")</f>
        <v>Salão de Beleza</v>
      </c>
    </row>
    <row r="105">
      <c r="A105" s="1" t="s">
        <v>658</v>
      </c>
      <c r="B105" s="1" t="s">
        <v>659</v>
      </c>
      <c r="C105" s="1" t="s">
        <v>660</v>
      </c>
      <c r="D105" s="1" t="s">
        <v>661</v>
      </c>
      <c r="E105" s="1" t="s">
        <v>662</v>
      </c>
      <c r="F105" s="1" t="s">
        <v>663</v>
      </c>
      <c r="G105" s="1" t="s">
        <v>13</v>
      </c>
      <c r="H105" s="2" t="s">
        <v>664</v>
      </c>
      <c r="I105" s="3" t="str">
        <f>IFERROR(__xludf.DUMMYFUNCTION("IF(A105="""", """", IFS(REGEXMATCH(LOWER(A105), ""barbearia|barber""), ""Barbearia"", REGEXMATCH(LOWER(A105), ""sobrancelh|c[ií]lio|lash|micropigment|showbrancelhas""), ""Sobrancelhas e Cílios"", REGEXMATCH(LOWER(A105), ""maquia|make""), ""Maquiagem"", RE"&amp;"GEXMATCH(LOWER(A105), ""depil|epil""), ""Depilação"", REGEXMATCH(LOWER(A105), ""esmalteria|unha|nail|manicur|spa dos p[eé]s|kauu_nhas""), ""Manicure - Esmalteria"", REGEXMATCH(LOWER(A105), ""est[eé]tic|bronze|massot|terap|pilates|revitalize|dra""), ""Clín"&amp;"ica de Estética"", TRUE, ""Salão de Beleza""))"),"Salão de Beleza")</f>
        <v>Salão de Beleza</v>
      </c>
    </row>
    <row r="106">
      <c r="A106" s="1" t="s">
        <v>665</v>
      </c>
      <c r="D106" s="1" t="s">
        <v>666</v>
      </c>
      <c r="E106" s="1" t="s">
        <v>667</v>
      </c>
      <c r="F106" s="1" t="s">
        <v>668</v>
      </c>
      <c r="G106" s="1" t="s">
        <v>13</v>
      </c>
      <c r="H106" s="2" t="s">
        <v>669</v>
      </c>
      <c r="I106" s="3" t="str">
        <f>IFERROR(__xludf.DUMMYFUNCTION("IF(A106="""", """", IFS(REGEXMATCH(LOWER(A106), ""barbearia|barber""), ""Barbearia"", REGEXMATCH(LOWER(A106), ""sobrancelh|c[ií]lio|lash|micropigment|showbrancelhas""), ""Sobrancelhas e Cílios"", REGEXMATCH(LOWER(A106), ""maquia|make""), ""Maquiagem"", RE"&amp;"GEXMATCH(LOWER(A106), ""depil|epil""), ""Depilação"", REGEXMATCH(LOWER(A106), ""esmalteria|unha|nail|manicur|spa dos p[eé]s|kauu_nhas""), ""Manicure - Esmalteria"", REGEXMATCH(LOWER(A106), ""est[eé]tic|bronze|massot|terap|pilates|revitalize|dra""), ""Clín"&amp;"ica de Estética"", TRUE, ""Salão de Beleza""))"),"Salão de Beleza")</f>
        <v>Salão de Beleza</v>
      </c>
    </row>
    <row r="107">
      <c r="A107" s="1" t="s">
        <v>670</v>
      </c>
      <c r="B107" s="1" t="s">
        <v>671</v>
      </c>
      <c r="C107" s="1" t="s">
        <v>672</v>
      </c>
      <c r="D107" s="1" t="s">
        <v>673</v>
      </c>
      <c r="E107" s="1" t="s">
        <v>674</v>
      </c>
      <c r="F107" s="1" t="s">
        <v>675</v>
      </c>
      <c r="G107" s="1" t="s">
        <v>13</v>
      </c>
      <c r="H107" s="2" t="s">
        <v>676</v>
      </c>
      <c r="I107" s="3" t="str">
        <f>IFERROR(__xludf.DUMMYFUNCTION("IF(A107="""", """", IFS(REGEXMATCH(LOWER(A107), ""barbearia|barber""), ""Barbearia"", REGEXMATCH(LOWER(A107), ""sobrancelh|c[ií]lio|lash|micropigment|showbrancelhas""), ""Sobrancelhas e Cílios"", REGEXMATCH(LOWER(A107), ""maquia|make""), ""Maquiagem"", RE"&amp;"GEXMATCH(LOWER(A107), ""depil|epil""), ""Depilação"", REGEXMATCH(LOWER(A107), ""esmalteria|unha|nail|manicur|spa dos p[eé]s|kauu_nhas""), ""Manicure - Esmalteria"", REGEXMATCH(LOWER(A107), ""est[eé]tic|bronze|massot|terap|pilates|revitalize|dra""), ""Clín"&amp;"ica de Estética"", TRUE, ""Salão de Beleza""))"),"Barbearia")</f>
        <v>Barbearia</v>
      </c>
    </row>
    <row r="108">
      <c r="A108" s="1" t="s">
        <v>677</v>
      </c>
      <c r="B108" s="1" t="s">
        <v>678</v>
      </c>
      <c r="C108" s="1" t="s">
        <v>679</v>
      </c>
      <c r="D108" s="1" t="s">
        <v>680</v>
      </c>
      <c r="E108" s="1" t="s">
        <v>681</v>
      </c>
      <c r="F108" s="1" t="s">
        <v>682</v>
      </c>
      <c r="G108" s="1" t="s">
        <v>13</v>
      </c>
      <c r="H108" s="2" t="s">
        <v>683</v>
      </c>
      <c r="I108" s="3" t="str">
        <f>IFERROR(__xludf.DUMMYFUNCTION("IF(A108="""", """", IFS(REGEXMATCH(LOWER(A108), ""barbearia|barber""), ""Barbearia"", REGEXMATCH(LOWER(A108), ""sobrancelh|c[ií]lio|lash|micropigment|showbrancelhas""), ""Sobrancelhas e Cílios"", REGEXMATCH(LOWER(A108), ""maquia|make""), ""Maquiagem"", RE"&amp;"GEXMATCH(LOWER(A108), ""depil|epil""), ""Depilação"", REGEXMATCH(LOWER(A108), ""esmalteria|unha|nail|manicur|spa dos p[eé]s|kauu_nhas""), ""Manicure - Esmalteria"", REGEXMATCH(LOWER(A108), ""est[eé]tic|bronze|massot|terap|pilates|revitalize|dra""), ""Clín"&amp;"ica de Estética"", TRUE, ""Salão de Beleza""))"),"Clínica de Estética")</f>
        <v>Clínica de Estética</v>
      </c>
    </row>
    <row r="109">
      <c r="A109" s="1" t="s">
        <v>684</v>
      </c>
      <c r="D109" s="1" t="s">
        <v>685</v>
      </c>
      <c r="E109" s="1" t="s">
        <v>686</v>
      </c>
      <c r="F109" s="1" t="s">
        <v>687</v>
      </c>
      <c r="G109" s="1" t="s">
        <v>13</v>
      </c>
      <c r="H109" s="2" t="s">
        <v>688</v>
      </c>
      <c r="I109" s="3" t="str">
        <f>IFERROR(__xludf.DUMMYFUNCTION("IF(A109="""", """", IFS(REGEXMATCH(LOWER(A109), ""barbearia|barber""), ""Barbearia"", REGEXMATCH(LOWER(A109), ""sobrancelh|c[ií]lio|lash|micropigment|showbrancelhas""), ""Sobrancelhas e Cílios"", REGEXMATCH(LOWER(A109), ""maquia|make""), ""Maquiagem"", RE"&amp;"GEXMATCH(LOWER(A109), ""depil|epil""), ""Depilação"", REGEXMATCH(LOWER(A109), ""esmalteria|unha|nail|manicur|spa dos p[eé]s|kauu_nhas""), ""Manicure - Esmalteria"", REGEXMATCH(LOWER(A109), ""est[eé]tic|bronze|massot|terap|pilates|revitalize|dra""), ""Clín"&amp;"ica de Estética"", TRUE, ""Salão de Beleza""))"),"Manicure - Esmalteria")</f>
        <v>Manicure - Esmalteria</v>
      </c>
    </row>
    <row r="110">
      <c r="A110" s="1" t="s">
        <v>689</v>
      </c>
      <c r="B110" s="1" t="s">
        <v>690</v>
      </c>
      <c r="C110" s="1" t="s">
        <v>691</v>
      </c>
      <c r="D110" s="1" t="s">
        <v>692</v>
      </c>
      <c r="E110" s="1" t="s">
        <v>693</v>
      </c>
      <c r="F110" s="1" t="s">
        <v>694</v>
      </c>
      <c r="G110" s="1" t="s">
        <v>13</v>
      </c>
      <c r="H110" s="2" t="s">
        <v>695</v>
      </c>
      <c r="I110" s="3" t="str">
        <f>IFERROR(__xludf.DUMMYFUNCTION("IF(A110="""", """", IFS(REGEXMATCH(LOWER(A110), ""barbearia|barber""), ""Barbearia"", REGEXMATCH(LOWER(A110), ""sobrancelh|c[ií]lio|lash|micropigment|showbrancelhas""), ""Sobrancelhas e Cílios"", REGEXMATCH(LOWER(A110), ""maquia|make""), ""Maquiagem"", RE"&amp;"GEXMATCH(LOWER(A110), ""depil|epil""), ""Depilação"", REGEXMATCH(LOWER(A110), ""esmalteria|unha|nail|manicur|spa dos p[eé]s|kauu_nhas""), ""Manicure - Esmalteria"", REGEXMATCH(LOWER(A110), ""est[eé]tic|bronze|massot|terap|pilates|revitalize|dra""), ""Clín"&amp;"ica de Estética"", TRUE, ""Salão de Beleza""))"),"Manicure - Esmalteria")</f>
        <v>Manicure - Esmalteria</v>
      </c>
    </row>
    <row r="111">
      <c r="A111" s="1" t="s">
        <v>696</v>
      </c>
      <c r="B111" s="1" t="s">
        <v>697</v>
      </c>
      <c r="C111" s="1" t="s">
        <v>698</v>
      </c>
      <c r="D111" s="1" t="s">
        <v>699</v>
      </c>
      <c r="E111" s="1" t="s">
        <v>700</v>
      </c>
      <c r="F111" s="1" t="s">
        <v>701</v>
      </c>
      <c r="G111" s="1" t="s">
        <v>13</v>
      </c>
      <c r="H111" s="2" t="s">
        <v>702</v>
      </c>
      <c r="I111" s="3" t="str">
        <f>IFERROR(__xludf.DUMMYFUNCTION("IF(A111="""", """", IFS(REGEXMATCH(LOWER(A111), ""barbearia|barber""), ""Barbearia"", REGEXMATCH(LOWER(A111), ""sobrancelh|c[ií]lio|lash|micropigment|showbrancelhas""), ""Sobrancelhas e Cílios"", REGEXMATCH(LOWER(A111), ""maquia|make""), ""Maquiagem"", RE"&amp;"GEXMATCH(LOWER(A111), ""depil|epil""), ""Depilação"", REGEXMATCH(LOWER(A111), ""esmalteria|unha|nail|manicur|spa dos p[eé]s|kauu_nhas""), ""Manicure - Esmalteria"", REGEXMATCH(LOWER(A111), ""est[eé]tic|bronze|massot|terap|pilates|revitalize|dra""), ""Clín"&amp;"ica de Estética"", TRUE, ""Salão de Beleza""))"),"Manicure - Esmalteria")</f>
        <v>Manicure - Esmalteria</v>
      </c>
    </row>
    <row r="112">
      <c r="A112" s="1" t="s">
        <v>703</v>
      </c>
      <c r="B112" s="1" t="s">
        <v>704</v>
      </c>
      <c r="C112" s="1" t="s">
        <v>705</v>
      </c>
      <c r="D112" s="1" t="s">
        <v>706</v>
      </c>
      <c r="E112" s="1" t="s">
        <v>707</v>
      </c>
      <c r="F112" s="1" t="s">
        <v>708</v>
      </c>
      <c r="G112" s="1" t="s">
        <v>13</v>
      </c>
      <c r="H112" s="2" t="s">
        <v>709</v>
      </c>
      <c r="I112" s="3" t="str">
        <f>IFERROR(__xludf.DUMMYFUNCTION("IF(A112="""", """", IFS(REGEXMATCH(LOWER(A112), ""barbearia|barber""), ""Barbearia"", REGEXMATCH(LOWER(A112), ""sobrancelh|c[ií]lio|lash|micropigment|showbrancelhas""), ""Sobrancelhas e Cílios"", REGEXMATCH(LOWER(A112), ""maquia|make""), ""Maquiagem"", RE"&amp;"GEXMATCH(LOWER(A112), ""depil|epil""), ""Depilação"", REGEXMATCH(LOWER(A112), ""esmalteria|unha|nail|manicur|spa dos p[eé]s|kauu_nhas""), ""Manicure - Esmalteria"", REGEXMATCH(LOWER(A112), ""est[eé]tic|bronze|massot|terap|pilates|revitalize|dra""), ""Clín"&amp;"ica de Estética"", TRUE, ""Salão de Beleza""))"),"Salão de Beleza")</f>
        <v>Salão de Beleza</v>
      </c>
    </row>
    <row r="113">
      <c r="A113" s="1" t="s">
        <v>710</v>
      </c>
      <c r="B113" s="1" t="s">
        <v>711</v>
      </c>
      <c r="C113" s="1" t="s">
        <v>712</v>
      </c>
      <c r="D113" s="1" t="s">
        <v>713</v>
      </c>
      <c r="E113" s="1" t="s">
        <v>714</v>
      </c>
      <c r="F113" s="1" t="s">
        <v>715</v>
      </c>
      <c r="G113" s="1" t="s">
        <v>13</v>
      </c>
      <c r="H113" s="2" t="s">
        <v>716</v>
      </c>
      <c r="I113" s="3" t="str">
        <f>IFERROR(__xludf.DUMMYFUNCTION("IF(A113="""", """", IFS(REGEXMATCH(LOWER(A113), ""barbearia|barber""), ""Barbearia"", REGEXMATCH(LOWER(A113), ""sobrancelh|c[ií]lio|lash|micropigment|showbrancelhas""), ""Sobrancelhas e Cílios"", REGEXMATCH(LOWER(A113), ""maquia|make""), ""Maquiagem"", RE"&amp;"GEXMATCH(LOWER(A113), ""depil|epil""), ""Depilação"", REGEXMATCH(LOWER(A113), ""esmalteria|unha|nail|manicur|spa dos p[eé]s|kauu_nhas""), ""Manicure - Esmalteria"", REGEXMATCH(LOWER(A113), ""est[eé]tic|bronze|massot|terap|pilates|revitalize|dra""), ""Clín"&amp;"ica de Estética"", TRUE, ""Salão de Beleza""))"),"Sobrancelhas e Cílios")</f>
        <v>Sobrancelhas e Cílios</v>
      </c>
    </row>
    <row r="114">
      <c r="A114" s="1" t="s">
        <v>717</v>
      </c>
      <c r="B114" s="1" t="s">
        <v>718</v>
      </c>
      <c r="C114" s="1" t="s">
        <v>719</v>
      </c>
      <c r="D114" s="1" t="s">
        <v>720</v>
      </c>
      <c r="E114" s="1" t="s">
        <v>721</v>
      </c>
      <c r="F114" s="1" t="s">
        <v>722</v>
      </c>
      <c r="G114" s="1" t="s">
        <v>13</v>
      </c>
      <c r="H114" s="2" t="s">
        <v>723</v>
      </c>
      <c r="I114" s="3" t="str">
        <f>IFERROR(__xludf.DUMMYFUNCTION("IF(A114="""", """", IFS(REGEXMATCH(LOWER(A114), ""barbearia|barber""), ""Barbearia"", REGEXMATCH(LOWER(A114), ""sobrancelh|c[ií]lio|lash|micropigment|showbrancelhas""), ""Sobrancelhas e Cílios"", REGEXMATCH(LOWER(A114), ""maquia|make""), ""Maquiagem"", RE"&amp;"GEXMATCH(LOWER(A114), ""depil|epil""), ""Depilação"", REGEXMATCH(LOWER(A114), ""esmalteria|unha|nail|manicur|spa dos p[eé]s|kauu_nhas""), ""Manicure - Esmalteria"", REGEXMATCH(LOWER(A114), ""est[eé]tic|bronze|massot|terap|pilates|revitalize|dra""), ""Clín"&amp;"ica de Estética"", TRUE, ""Salão de Beleza""))"),"Salão de Beleza")</f>
        <v>Salão de Beleza</v>
      </c>
    </row>
    <row r="115">
      <c r="A115" s="1" t="s">
        <v>724</v>
      </c>
      <c r="B115" s="1" t="s">
        <v>725</v>
      </c>
      <c r="C115" s="1" t="s">
        <v>726</v>
      </c>
      <c r="D115" s="1" t="s">
        <v>727</v>
      </c>
      <c r="E115" s="1" t="s">
        <v>728</v>
      </c>
      <c r="F115" s="1" t="s">
        <v>729</v>
      </c>
      <c r="G115" s="1" t="s">
        <v>13</v>
      </c>
      <c r="H115" s="2" t="s">
        <v>730</v>
      </c>
      <c r="I115" s="3" t="str">
        <f>IFERROR(__xludf.DUMMYFUNCTION("IF(A115="""", """", IFS(REGEXMATCH(LOWER(A115), ""barbearia|barber""), ""Barbearia"", REGEXMATCH(LOWER(A115), ""sobrancelh|c[ií]lio|lash|micropigment|showbrancelhas""), ""Sobrancelhas e Cílios"", REGEXMATCH(LOWER(A115), ""maquia|make""), ""Maquiagem"", RE"&amp;"GEXMATCH(LOWER(A115), ""depil|epil""), ""Depilação"", REGEXMATCH(LOWER(A115), ""esmalteria|unha|nail|manicur|spa dos p[eé]s|kauu_nhas""), ""Manicure - Esmalteria"", REGEXMATCH(LOWER(A115), ""est[eé]tic|bronze|massot|terap|pilates|revitalize|dra""), ""Clín"&amp;"ica de Estética"", TRUE, ""Salão de Beleza""))"),"Manicure - Esmalteria")</f>
        <v>Manicure - Esmalteria</v>
      </c>
    </row>
    <row r="116">
      <c r="A116" s="1" t="s">
        <v>731</v>
      </c>
      <c r="B116" s="1" t="s">
        <v>732</v>
      </c>
      <c r="C116" s="1" t="s">
        <v>733</v>
      </c>
      <c r="D116" s="1" t="s">
        <v>734</v>
      </c>
      <c r="E116" s="1" t="s">
        <v>735</v>
      </c>
      <c r="F116" s="1" t="s">
        <v>736</v>
      </c>
      <c r="G116" s="1" t="s">
        <v>13</v>
      </c>
      <c r="H116" s="2" t="s">
        <v>737</v>
      </c>
      <c r="I116" s="3" t="str">
        <f>IFERROR(__xludf.DUMMYFUNCTION("IF(A116="""", """", IFS(REGEXMATCH(LOWER(A116), ""barbearia|barber""), ""Barbearia"", REGEXMATCH(LOWER(A116), ""sobrancelh|c[ií]lio|lash|micropigment|showbrancelhas""), ""Sobrancelhas e Cílios"", REGEXMATCH(LOWER(A116), ""maquia|make""), ""Maquiagem"", RE"&amp;"GEXMATCH(LOWER(A116), ""depil|epil""), ""Depilação"", REGEXMATCH(LOWER(A116), ""esmalteria|unha|nail|manicur|spa dos p[eé]s|kauu_nhas""), ""Manicure - Esmalteria"", REGEXMATCH(LOWER(A116), ""est[eé]tic|bronze|massot|terap|pilates|revitalize|dra""), ""Clín"&amp;"ica de Estética"", TRUE, ""Salão de Beleza""))"),"Salão de Beleza")</f>
        <v>Salão de Beleza</v>
      </c>
    </row>
    <row r="117">
      <c r="A117" s="1" t="s">
        <v>738</v>
      </c>
      <c r="B117" s="1" t="s">
        <v>739</v>
      </c>
      <c r="C117" s="1" t="s">
        <v>740</v>
      </c>
      <c r="D117" s="1" t="s">
        <v>741</v>
      </c>
      <c r="E117" s="1" t="s">
        <v>742</v>
      </c>
      <c r="F117" s="1" t="s">
        <v>743</v>
      </c>
      <c r="G117" s="1" t="s">
        <v>13</v>
      </c>
      <c r="H117" s="2" t="s">
        <v>744</v>
      </c>
      <c r="I117" s="3" t="str">
        <f>IFERROR(__xludf.DUMMYFUNCTION("IF(A117="""", """", IFS(REGEXMATCH(LOWER(A117), ""barbearia|barber""), ""Barbearia"", REGEXMATCH(LOWER(A117), ""sobrancelh|c[ií]lio|lash|micropigment|showbrancelhas""), ""Sobrancelhas e Cílios"", REGEXMATCH(LOWER(A117), ""maquia|make""), ""Maquiagem"", RE"&amp;"GEXMATCH(LOWER(A117), ""depil|epil""), ""Depilação"", REGEXMATCH(LOWER(A117), ""esmalteria|unha|nail|manicur|spa dos p[eé]s|kauu_nhas""), ""Manicure - Esmalteria"", REGEXMATCH(LOWER(A117), ""est[eé]tic|bronze|massot|terap|pilates|revitalize|dra""), ""Clín"&amp;"ica de 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</hyperlinks>
  <drawing r:id="rId117"/>
</worksheet>
</file>