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Bacabal _2026-09-1" sheetId="1" r:id="rId5"/>
  </sheets>
  <definedNames/>
  <calcPr/>
</workbook>
</file>

<file path=xl/sharedStrings.xml><?xml version="1.0" encoding="utf-8"?>
<sst xmlns="http://schemas.openxmlformats.org/spreadsheetml/2006/main" count="1618" uniqueCount="1283">
  <si>
    <t>Nome</t>
  </si>
  <si>
    <t>phone</t>
  </si>
  <si>
    <t>WhatsApp</t>
  </si>
  <si>
    <t>address</t>
  </si>
  <si>
    <t>Latitude</t>
  </si>
  <si>
    <t>Longitude</t>
  </si>
  <si>
    <t>Cidade</t>
  </si>
  <si>
    <t>url</t>
  </si>
  <si>
    <t>Categoria</t>
  </si>
  <si>
    <t>F.A Studio de Beleza</t>
  </si>
  <si>
    <t>+55 99 98101-9154</t>
  </si>
  <si>
    <t>+5599981019154</t>
  </si>
  <si>
    <t>R. Nova, 59, Bacabal - MA, 65700-000, Brasil</t>
  </si>
  <si>
    <t>-4.2145412</t>
  </si>
  <si>
    <t>-44.7915636</t>
  </si>
  <si>
    <t>Bacabal</t>
  </si>
  <si>
    <t>https://www.google.com/maps/search/?api=1&amp;query=F.A%20Studio%20de%20Beleza&amp;query_place_id=ChIJBUIDgJdvigcRxrh1vNeDR14</t>
  </si>
  <si>
    <t>Studio Beleza &amp; Estetica</t>
  </si>
  <si>
    <t>Bacabal - MA, 65700-000, Brasil</t>
  </si>
  <si>
    <t>-4.224807</t>
  </si>
  <si>
    <t>-44.7912924</t>
  </si>
  <si>
    <t>https://www.google.com/maps/search/?api=1&amp;query=Studio%20Beleza%20%26%20Estetica&amp;query_place_id=ChIJ1z7KE99uigcR1uFQLA-ZNxY</t>
  </si>
  <si>
    <t>BRUNA MACEDO BEAUTY STUDIO</t>
  </si>
  <si>
    <t>+55 99 92000-2903</t>
  </si>
  <si>
    <t>+5599920002903</t>
  </si>
  <si>
    <t>R. Jorge José de Mendonça - Centro, Bacabal - MA, 65700-000, Brasil</t>
  </si>
  <si>
    <t>-4.2216085</t>
  </si>
  <si>
    <t>-44.7690267</t>
  </si>
  <si>
    <t>https://www.google.com/maps/search/?api=1&amp;query=BRUNA%20MACEDO%20BEAUTY%20STUDIO&amp;query_place_id=ChIJm7qugbZpigcRyiUmsic0YJM</t>
  </si>
  <si>
    <t>Centro de beleza CBMARGÔ</t>
  </si>
  <si>
    <t>R. Seis, 219-327, Bacabal - MA, 65700-000, Brasil</t>
  </si>
  <si>
    <t>-4.2080766</t>
  </si>
  <si>
    <t>-44.7935695</t>
  </si>
  <si>
    <t>https://www.google.com/maps/search/?api=1&amp;query=Centro%20de%20beleza%20CBMARG%C3%94&amp;query_place_id=ChIJM9qLEgBvigcRzw0zNGPdjxA</t>
  </si>
  <si>
    <t>Salão daliana e michelle</t>
  </si>
  <si>
    <t>+55 99 98270-5344</t>
  </si>
  <si>
    <t>+5599982705344</t>
  </si>
  <si>
    <t>Av 4 Quadra 22 casa 5, Av. Cohab, 2, Bacabal - MA, 65700-000, Brasil</t>
  </si>
  <si>
    <t>-4.2259172</t>
  </si>
  <si>
    <t>-44.796057</t>
  </si>
  <si>
    <t>https://www.google.com/maps/search/?api=1&amp;query=Sal%C3%A3o%20daliana%20e%20michelle&amp;query_place_id=ChIJN-IxzW1vigcRJf3KoIURVEU</t>
  </si>
  <si>
    <t>Espaço de beleza JS</t>
  </si>
  <si>
    <t>+55 88 98104-2121</t>
  </si>
  <si>
    <t>+5588981042121</t>
  </si>
  <si>
    <t>R. Teixeira de Freitas, 22 - Centro, Bacabal - MA, 65700-000, Brasil</t>
  </si>
  <si>
    <t>-4.2338271</t>
  </si>
  <si>
    <t>-44.7740484</t>
  </si>
  <si>
    <t>https://www.google.com/maps/search/?api=1&amp;query=Espa%C3%A7o%20de%20beleza%20JS&amp;query_place_id=ChIJLaiRceFpigcRcJsKbvo0t8A</t>
  </si>
  <si>
    <t>STUDIO GLAM Centro de Beleza</t>
  </si>
  <si>
    <t>+55 99 98551-6161</t>
  </si>
  <si>
    <t>+5599985516161</t>
  </si>
  <si>
    <t>R. Maranhão Sobrinho, 1557 - Centro, Bacabal - MA, 65700-000, Brasil</t>
  </si>
  <si>
    <t>-4.2252769</t>
  </si>
  <si>
    <t>-44.7875797</t>
  </si>
  <si>
    <t>https://www.google.com/maps/search/?api=1&amp;query=STUDIO%20GLAM%20Centro%20de%20Beleza&amp;query_place_id=ChIJgT5bC9RpigcR4kV_fnivVgI</t>
  </si>
  <si>
    <t>Me Espaço De Beleza</t>
  </si>
  <si>
    <t>-4.2183272</t>
  </si>
  <si>
    <t>-44.768218</t>
  </si>
  <si>
    <t>https://www.google.com/maps/search/?api=1&amp;query=Me%20Espa%C3%A7o%20De%20Beleza&amp;query_place_id=ChIJHyPFMdBoigcRaj1teX-G3pM</t>
  </si>
  <si>
    <t>Espaço de Beleza Rita Sousa</t>
  </si>
  <si>
    <t>+55 99 98128-6304</t>
  </si>
  <si>
    <t>+5599981286304</t>
  </si>
  <si>
    <t>Em frente o Shopping da Madeira - Estr. Bela Vista, 22 - Parque Manoel Lacerda, Bacabal - MA, 65700-000, Brasil</t>
  </si>
  <si>
    <t>-4.2187836</t>
  </si>
  <si>
    <t>-44.7870676</t>
  </si>
  <si>
    <t>https://www.google.com/maps/search/?api=1&amp;query=Espa%C3%A7o%20de%20Beleza%20Rita%20Sousa&amp;query_place_id=ChIJdb6p5VRvigcRq2Rng8tpRtc</t>
  </si>
  <si>
    <t>Salão de Beleza</t>
  </si>
  <si>
    <t>Estética Paula Marcelly</t>
  </si>
  <si>
    <t>+55 99 98129-6056</t>
  </si>
  <si>
    <t>+5599981296056</t>
  </si>
  <si>
    <t>R. Dezoito, 50 - Vila São João, Bacabal - MA, 65700-000, Brasil</t>
  </si>
  <si>
    <t>-4.250693</t>
  </si>
  <si>
    <t>-44.785191</t>
  </si>
  <si>
    <t>https://www.google.com/maps/search/?api=1&amp;query=Est%C3%A9tica%20Paula%20Marcelly&amp;query_place_id=ChIJHzcn1iZvigcR3WOrFSAwmcg</t>
  </si>
  <si>
    <t>Espaço Da Beleza Andréia Cunnha</t>
  </si>
  <si>
    <t>Bacabal - MA, 65708-000, Brasil</t>
  </si>
  <si>
    <t>-4.250081</t>
  </si>
  <si>
    <t>-44.7882167</t>
  </si>
  <si>
    <t>https://www.google.com/maps/search/?api=1&amp;query=Espa%C3%A7o%20Da%20Beleza%20Andr%C3%A9ia%20Cunnha&amp;query_place_id=ChIJAdCrJqRuigcRudbReNlpn7U</t>
  </si>
  <si>
    <t>Barbearia do Leleco</t>
  </si>
  <si>
    <t>+55 99 99215-0542</t>
  </si>
  <si>
    <t>+5599992150542</t>
  </si>
  <si>
    <t>Rua Ruir barbosa, Bacabal - MA, 65700-000, Brasil</t>
  </si>
  <si>
    <t>-4.1204745</t>
  </si>
  <si>
    <t>-44.5764243</t>
  </si>
  <si>
    <t>https://www.google.com/maps/search/?api=1&amp;query=Barbearia%20do%20Leleco&amp;query_place_id=ChIJs2-P7d5ZigcRSK70p0mbDJ4</t>
  </si>
  <si>
    <t>Barbearia</t>
  </si>
  <si>
    <t>Dona Crespa</t>
  </si>
  <si>
    <t>+55 99 99174-8082</t>
  </si>
  <si>
    <t>+5599991748082</t>
  </si>
  <si>
    <t>R. Getúlio Vargas, 678, Bacabal - MA, 65700-000, Brasil</t>
  </si>
  <si>
    <t>-4.2358057</t>
  </si>
  <si>
    <t>-44.7836777</t>
  </si>
  <si>
    <t>https://www.google.com/maps/search/?api=1&amp;query=Dona%20Crespa&amp;query_place_id=ChIJywPVPE1vigcRe09OMegTkXM</t>
  </si>
  <si>
    <t>Espaço Elinalda mega hair</t>
  </si>
  <si>
    <t>+55 99 98434-8824</t>
  </si>
  <si>
    <t>+5599984348824</t>
  </si>
  <si>
    <t>R. João Alberto, casa 93 - Vila Pedro Brito, Bacabal - MA, 65700-000, Brasil</t>
  </si>
  <si>
    <t>-4.2116529</t>
  </si>
  <si>
    <t>-44.7832772</t>
  </si>
  <si>
    <t>https://www.google.com/maps/search/?api=1&amp;query=Espa%C3%A7o%20Elinalda%20mega%20hair&amp;query_place_id=ChIJXWkjemlvigcRMvbp32dONQc</t>
  </si>
  <si>
    <t>Espaço Valdene Gomez</t>
  </si>
  <si>
    <t>+55 99 98401-1926</t>
  </si>
  <si>
    <t>+5599984011926</t>
  </si>
  <si>
    <t>Galeria da Blitz - R. Osvaldo Cruz, Sl 04 - Centro, Bacabal - MA, 65700-000, Brasil</t>
  </si>
  <si>
    <t>-4.2294085</t>
  </si>
  <si>
    <t>-44.7885655</t>
  </si>
  <si>
    <t>https://www.google.com/maps/search/?api=1&amp;query=Espa%C3%A7o%20Valdene%20Gomez&amp;query_place_id=ChIJqQrqqHVvigcRCyFJVNgW3m4</t>
  </si>
  <si>
    <t>Salao Do Chinês - BARBER SHOP TUNAI MARINHO</t>
  </si>
  <si>
    <t>+55 99 98141-6157</t>
  </si>
  <si>
    <t>+5599981416157</t>
  </si>
  <si>
    <t>R. Carlos Pereira, 643, Bacabal - MA, 65700-000, Brasil</t>
  </si>
  <si>
    <t>-4.229672</t>
  </si>
  <si>
    <t>-44.7819837</t>
  </si>
  <si>
    <t>https://www.google.com/maps/search/?api=1&amp;query=Salao%20Do%20Chin%C3%AAs%20-%20BARBER%20SHOP%20TUNAI%20MARINHO&amp;query_place_id=ChIJgxcsDtFuigcRTVruOOFKUSc</t>
  </si>
  <si>
    <t>Laís Gabrielli Makeup</t>
  </si>
  <si>
    <t>+55 98 98300-0089</t>
  </si>
  <si>
    <t>+5598983000089</t>
  </si>
  <si>
    <t>Vp16 quadra 37 casa 02 - Cohab II, Bacabal - MA, 65700-000, Brasil</t>
  </si>
  <si>
    <t>-4.2274289</t>
  </si>
  <si>
    <t>-44.7976927</t>
  </si>
  <si>
    <t>https://www.google.com/maps/search/?api=1&amp;query=La%C3%ADs%20Gabrielli%20Makeup&amp;query_place_id=ChIJowE00OZuigcRx94lFo3boPI</t>
  </si>
  <si>
    <t>Maquiagem</t>
  </si>
  <si>
    <t>CarlMary</t>
  </si>
  <si>
    <t>+55 99 98446-3003</t>
  </si>
  <si>
    <t>+5599984463003</t>
  </si>
  <si>
    <t>Rua Barão De Rio Branca, 216, Bacabal - MA, 65700-000, Brasil</t>
  </si>
  <si>
    <t>-4.2298876</t>
  </si>
  <si>
    <t>-44.7758948</t>
  </si>
  <si>
    <t>https://www.google.com/maps/search/?api=1&amp;query=CarlMary&amp;query_place_id=ChIJuTR16u5vigcRpRMLZtk7p5I</t>
  </si>
  <si>
    <t>Espaço Driica Makeup</t>
  </si>
  <si>
    <t>+55 99 99649-1646</t>
  </si>
  <si>
    <t>+5599996491646</t>
  </si>
  <si>
    <t>R. Taváres de Moura, 421 - Esperanca, Bacabal - MA, 65700-000, Brasil</t>
  </si>
  <si>
    <t>-4.241763</t>
  </si>
  <si>
    <t>-44.7861639</t>
  </si>
  <si>
    <t>https://www.google.com/maps/search/?api=1&amp;query=Espa%C3%A7o%20Driica%20Makeup&amp;query_place_id=ChIJcRzNrK1vigcRC8xSpw6RcLY</t>
  </si>
  <si>
    <t>Salão Juliana Cabeleireira</t>
  </si>
  <si>
    <t>+55 99 99217-4837</t>
  </si>
  <si>
    <t>+5599992174837</t>
  </si>
  <si>
    <t>-4.1993197</t>
  </si>
  <si>
    <t>-44.7832569</t>
  </si>
  <si>
    <t>https://www.google.com/maps/search/?api=1&amp;query=Sal%C3%A3o%20Juliana%20Cabeleireira&amp;query_place_id=ChIJMRqkySFvigcRWOsGoglzaMI</t>
  </si>
  <si>
    <t>Wk_estudiodebeleza</t>
  </si>
  <si>
    <t>+55 99 98488-5637</t>
  </si>
  <si>
    <t>+5599984885637</t>
  </si>
  <si>
    <t>R. da Forquilha, Bacabal - MA, 65700-000, Brasil</t>
  </si>
  <si>
    <t>-4.2245805</t>
  </si>
  <si>
    <t>-44.7847947</t>
  </si>
  <si>
    <t>https://www.google.com/maps/search/?api=1&amp;query=Wk_estudiodebeleza&amp;query_place_id=ChIJ3RpxFBVvigcR5CsJcm4Dj6Q</t>
  </si>
  <si>
    <t>Jessie cabeleireira</t>
  </si>
  <si>
    <t>R. Djalma Dutra, 1714 - da areia, Bacabal - MA, 65700-000, Brasil</t>
  </si>
  <si>
    <t>-4.2204621</t>
  </si>
  <si>
    <t>-44.776185</t>
  </si>
  <si>
    <t>https://www.google.com/maps/search/?api=1&amp;query=Jessie%20cabeleireira&amp;query_place_id=ChIJ9ztpCoJvigcRQ7D6GZqSZSk</t>
  </si>
  <si>
    <t>Studio Rosilene Santos</t>
  </si>
  <si>
    <t>R. Carlos Pereira, 982A, Bacabal - MA, 65700-000, Brasil</t>
  </si>
  <si>
    <t>-4.230763</t>
  </si>
  <si>
    <t>-44.7838119</t>
  </si>
  <si>
    <t>https://www.google.com/maps/search/?api=1&amp;query=Studio%20Rosilene%20Santos&amp;query_place_id=ChIJDxXHir5vigcRQ5DStg0n30o</t>
  </si>
  <si>
    <t>Salão Realce</t>
  </si>
  <si>
    <t>-4.2378833</t>
  </si>
  <si>
    <t>-44.7830481</t>
  </si>
  <si>
    <t>https://www.google.com/maps/search/?api=1&amp;query=Sal%C3%A3o%20Realce&amp;query_place_id=ChIJ8ZC-UchuigcRWc2xpYq7jCs</t>
  </si>
  <si>
    <t>Salão da Nalvinha</t>
  </si>
  <si>
    <t>+55 99 98214-3293</t>
  </si>
  <si>
    <t>+5599982143293</t>
  </si>
  <si>
    <t>Av. Dom Banco, 520, Bacabal - MA, 65700-000, Brasil</t>
  </si>
  <si>
    <t>-4.2081888</t>
  </si>
  <si>
    <t>-44.8007741</t>
  </si>
  <si>
    <t>https://www.google.com/maps/search/?api=1&amp;query=Sal%C3%A3o%20da%20Nalvinha&amp;query_place_id=ChIJUZ10zwJvigcR4_LEP4FQZwA</t>
  </si>
  <si>
    <t>Corpo Bronzeado estetica</t>
  </si>
  <si>
    <t>+55 99 98271-8536</t>
  </si>
  <si>
    <t>+5599982718536</t>
  </si>
  <si>
    <t>Av. Um, 223 - residencial bela vista, Bacabal - MA, 65700-000, Brasil</t>
  </si>
  <si>
    <t>-4.2073012</t>
  </si>
  <si>
    <t>-44.8032254</t>
  </si>
  <si>
    <t>https://www.google.com/maps/search/?api=1&amp;query=Corpo%20Bronzeado%20estetica&amp;query_place_id=ChIJA7OGKABvigcRGhp-_SkfUFs</t>
  </si>
  <si>
    <t>Bronzeamento</t>
  </si>
  <si>
    <t>Iza Santos</t>
  </si>
  <si>
    <t>-4.2083335</t>
  </si>
  <si>
    <t>-44.8010728</t>
  </si>
  <si>
    <t>https://www.google.com/maps/search/?api=1&amp;query=Iza%20Santos&amp;query_place_id=ChIJDUJFLxNvigcR__6ciSrIcx0</t>
  </si>
  <si>
    <t>Espaço de Beleza Yanne</t>
  </si>
  <si>
    <t>+55 99 98413-1945</t>
  </si>
  <si>
    <t>+5599984131945</t>
  </si>
  <si>
    <t>Av. B, 36, Bacabal - MA, 65700-000, Brasil</t>
  </si>
  <si>
    <t>-4.2090524</t>
  </si>
  <si>
    <t>-44.7998713</t>
  </si>
  <si>
    <t>https://www.google.com/maps/search/?api=1&amp;query=Espa%C3%A7o%20de%20Beleza%20Yanne&amp;query_place_id=ChIJt1PBPCdvigcR7cg3d3eG8M4</t>
  </si>
  <si>
    <t>Nails_studio</t>
  </si>
  <si>
    <t>+55 99 99150-7172</t>
  </si>
  <si>
    <t>+5599991507172</t>
  </si>
  <si>
    <t>R. Santa Catarina, 251 - Novo Bacabal, Bacabal - MA, 65700-000, Brasil</t>
  </si>
  <si>
    <t>-4.2084395</t>
  </si>
  <si>
    <t>-44.8042674</t>
  </si>
  <si>
    <t>https://www.google.com/maps/search/?api=1&amp;query=Nails_studio&amp;query_place_id=ChIJD_p0kIJvigcRBSLGshZuu18</t>
  </si>
  <si>
    <t>Manicure - Esmalteria</t>
  </si>
  <si>
    <t>Studio Jamilly vitória</t>
  </si>
  <si>
    <t>+55 99 98424-0826</t>
  </si>
  <si>
    <t>+5599984240826</t>
  </si>
  <si>
    <t>R. Antonio Almeida, Bacabal - MA, 65708-000, Brasil</t>
  </si>
  <si>
    <t>-4.2523096</t>
  </si>
  <si>
    <t>-44.8034431</t>
  </si>
  <si>
    <t>https://www.google.com/maps/search/?api=1&amp;query=Studio%20Jamilly%20vit%C3%B3ria&amp;query_place_id=ChIJcXJQTQBvigcR0MWHd2GKd9M</t>
  </si>
  <si>
    <t>Sobrancelhas e Cílios</t>
  </si>
  <si>
    <t>Lm Nails Design</t>
  </si>
  <si>
    <t>+55 99 99202-8097</t>
  </si>
  <si>
    <t>+5599992028097</t>
  </si>
  <si>
    <t>Rua Santo André N:17A próximo ao comercial Dom Bosco Novo, Bacabal - MA, 65700-000, Brasil</t>
  </si>
  <si>
    <t>-4.2080855</t>
  </si>
  <si>
    <t>-44.800172</t>
  </si>
  <si>
    <t>https://www.google.com/maps/search/?api=1&amp;query=Lm%20Nails%20Design&amp;query_place_id=ChIJ02jhimVvigcRiaHhM2POsSo</t>
  </si>
  <si>
    <t>Tainá Cardoso Beauty</t>
  </si>
  <si>
    <t>Rua Dom Bôsco, Bacabal - MA, 65700-000, Brasil</t>
  </si>
  <si>
    <t>-4.2084523</t>
  </si>
  <si>
    <t>-44.8006475</t>
  </si>
  <si>
    <t>https://www.google.com/maps/search/?api=1&amp;query=Tain%C3%A1%20Cardoso%20Beauty&amp;query_place_id=ChIJgWiwUABvigcRHC-GDtw1KmM</t>
  </si>
  <si>
    <t>Beijadas Pelo Sol</t>
  </si>
  <si>
    <t>+55 99 98200-1130</t>
  </si>
  <si>
    <t>+5599982001130</t>
  </si>
  <si>
    <t>Av. Marcone Caldas - Santa Marina, Bacabal - MA, 65700-000, Brasil</t>
  </si>
  <si>
    <t>-4.2303937</t>
  </si>
  <si>
    <t>-44.7967958</t>
  </si>
  <si>
    <t>https://www.google.com/maps/search/?api=1&amp;query=Beijadas%20Pelo%20Sol&amp;query_place_id=ChIJCcohLeZuigcRbWaQfPUafrs</t>
  </si>
  <si>
    <t>Studio Milena Santos</t>
  </si>
  <si>
    <t>+55 99 98119-2573</t>
  </si>
  <si>
    <t>+5599981192573</t>
  </si>
  <si>
    <t>Rua do Sol, 2, Bacabal - MA, 65700-000, Brasil</t>
  </si>
  <si>
    <t>-4.1964103</t>
  </si>
  <si>
    <t>-44.7891066</t>
  </si>
  <si>
    <t>https://www.google.com/maps/search/?api=1&amp;query=Studio%20Milena%20Santos&amp;query_place_id=ChIJ_6WLZABvigcRkoeOeBe_PIo</t>
  </si>
  <si>
    <t>Salão Naldo Ferreira</t>
  </si>
  <si>
    <t>+55 99 98118-0269</t>
  </si>
  <si>
    <t>+5599981180269</t>
  </si>
  <si>
    <t>Av. Um, 13, Bacabal - MA, 65700-000, Brasil</t>
  </si>
  <si>
    <t>-4.2248367</t>
  </si>
  <si>
    <t>-44.7935584</t>
  </si>
  <si>
    <t>https://www.google.com/maps/search/?api=1&amp;query=Sal%C3%A3o%20Naldo%20Ferreira&amp;query_place_id=ChIJo9bIxd9uigcRv3jshMH43h4</t>
  </si>
  <si>
    <t>Eudiane Bronze</t>
  </si>
  <si>
    <t>+55 99 99150-4283</t>
  </si>
  <si>
    <t>+5599991504283</t>
  </si>
  <si>
    <t>R. José Coutinho, 18, Bacabal - MA, 65708-000, Brasil</t>
  </si>
  <si>
    <t>-4.2514193</t>
  </si>
  <si>
    <t>-44.8033506</t>
  </si>
  <si>
    <t>https://www.google.com/maps/search/?api=1&amp;query=Eudiane%20Bronze&amp;query_place_id=ChIJp2VXCABvigcRhCqyv10spHo</t>
  </si>
  <si>
    <t>Estúdio de beleza MA&amp;TL</t>
  </si>
  <si>
    <t>+55 99 99904-9790</t>
  </si>
  <si>
    <t>+5599999049790</t>
  </si>
  <si>
    <t>R. Onze, Bacabal - MA, 65708-000, Brasil</t>
  </si>
  <si>
    <t>-4.2515238</t>
  </si>
  <si>
    <t>-44.7843944</t>
  </si>
  <si>
    <t>https://www.google.com/maps/search/?api=1&amp;query=Est%C3%BAdio%20de%20beleza%20MA%26TL&amp;query_place_id=ChIJ1zc6agBvigcRFkWrqP4LKu4</t>
  </si>
  <si>
    <t>Clínica TS Estética</t>
  </si>
  <si>
    <t>+55 99 98193-0306</t>
  </si>
  <si>
    <t>+5599981930306</t>
  </si>
  <si>
    <t>Posto Qatar - BR-316 - Cohab l, Bacabal - MA, 65700-000, Brasil</t>
  </si>
  <si>
    <t>-4.2240011</t>
  </si>
  <si>
    <t>-44.7941388</t>
  </si>
  <si>
    <t>https://www.google.com/maps/search/?api=1&amp;query=Cl%C3%ADnica%20TS%20Est%C3%A9tica&amp;query_place_id=ChIJb5vvP_lvigcRKj02lg43RAc</t>
  </si>
  <si>
    <t>Wm_tranças</t>
  </si>
  <si>
    <t>+55 99 98213-0373</t>
  </si>
  <si>
    <t>+5599982130373</t>
  </si>
  <si>
    <t>R. Quatorze, Casa 29 - Vila da paz, Bacabal - MA, 65700-000, Brasil</t>
  </si>
  <si>
    <t>-4.2546233</t>
  </si>
  <si>
    <t>-44.7913048</t>
  </si>
  <si>
    <t>https://www.google.com/maps/search/?api=1&amp;query=Wm_tran%C3%A7as&amp;query_place_id=ChIJe328MGBvigcRNltAze_sB8Y</t>
  </si>
  <si>
    <t>ESPAÇO DE BELEZA ELIS</t>
  </si>
  <si>
    <t>R. Varsia Formosa, 63, Bacabal - MA, 65700-000, Brasil</t>
  </si>
  <si>
    <t>-4.2186537</t>
  </si>
  <si>
    <t>-44.7908731</t>
  </si>
  <si>
    <t>https://www.google.com/maps/search/?api=1&amp;query=ESPA%C3%87O%20DE%20BELEZA%20ELIS&amp;query_place_id=ChIJqRL-PgBvigcRW9_oElef6CM</t>
  </si>
  <si>
    <t>Studio Thais Lucena</t>
  </si>
  <si>
    <t>+55 99 98484-5783</t>
  </si>
  <si>
    <t>+5599984845783</t>
  </si>
  <si>
    <t>R. Cloris Miranda, Bacabal - MA, 65700-000, Brasil</t>
  </si>
  <si>
    <t>-4.231371</t>
  </si>
  <si>
    <t>-44.7822293</t>
  </si>
  <si>
    <t>https://www.google.com/maps/search/?api=1&amp;query=Studio%20Thais%20Lucena&amp;query_place_id=ChIJAV8ygHtvigcR0IfVHR0qXpI</t>
  </si>
  <si>
    <t>Studio Lucivan Lima</t>
  </si>
  <si>
    <t>+55 99 98207-9291</t>
  </si>
  <si>
    <t>+5599982079291</t>
  </si>
  <si>
    <t>R. Viriato Corrêa, 824 - Bairro da areia, Bacabal - MA, 65700-000, Brasil</t>
  </si>
  <si>
    <t>-4.2176664</t>
  </si>
  <si>
    <t>-44.778323</t>
  </si>
  <si>
    <t>https://www.google.com/maps/search/?api=1&amp;query=Studio%20Lucivan%20Lima&amp;query_place_id=ChIJCYMOG7BvigcR11JsiXVCJXo</t>
  </si>
  <si>
    <t>Stúdio de Beleza Vitória Régia</t>
  </si>
  <si>
    <t>-4.2162061</t>
  </si>
  <si>
    <t>-44.7899859</t>
  </si>
  <si>
    <t>https://www.google.com/maps/search/?api=1&amp;query=St%C3%BAdio%20de%20Beleza%20Vit%C3%B3ria%20R%C3%A9gia&amp;query_place_id=ChIJIWEOUSNvigcRZ9bhKN7-PRc</t>
  </si>
  <si>
    <t>Studio Vanessa Valentin</t>
  </si>
  <si>
    <t>+55 99 98464-2034</t>
  </si>
  <si>
    <t>+5599984642034</t>
  </si>
  <si>
    <t>Rua São Pantaleão - Pedro Brito, Bacabal - MA, 65700-000, Brasil</t>
  </si>
  <si>
    <t>-4.2141172</t>
  </si>
  <si>
    <t>-44.7848158</t>
  </si>
  <si>
    <t>https://www.google.com/maps/search/?api=1&amp;query=Studio%20Vanessa%20Valentin&amp;query_place_id=ChIJL6BykPtvigcR8bTsVlWVRBE</t>
  </si>
  <si>
    <t>Nrj Studio De Beleza</t>
  </si>
  <si>
    <t>-4.2244831</t>
  </si>
  <si>
    <t>-44.7846625</t>
  </si>
  <si>
    <t>https://www.google.com/maps/search/?api=1&amp;query=Nrj%20Studio%20De%20Beleza&amp;query_place_id=ChIJ3YYe-tduigcRA4awYzM4wgM</t>
  </si>
  <si>
    <t>Espaço de beleza Conselheiro e cida</t>
  </si>
  <si>
    <t>Vp 15 quadra 36, Av. Cohab, 2 - casa 2, Bacabal - MA, 65700-000, Brasil</t>
  </si>
  <si>
    <t>-4.22755</t>
  </si>
  <si>
    <t>-44.7923494</t>
  </si>
  <si>
    <t>https://www.google.com/maps/search/?api=1&amp;query=Espa%C3%A7o%20de%20beleza%20Conselheiro%20e%20cida&amp;query_place_id=ChIJReC0gVFvigcR-QH7ZJ5MPb8</t>
  </si>
  <si>
    <t>Espaço Da Beleza Suêla Segadilha</t>
  </si>
  <si>
    <t>R. Magalhães de Almeida, 209, Bacabal - MA, 65700-000, Brasil</t>
  </si>
  <si>
    <t>-4.2313713</t>
  </si>
  <si>
    <t>-44.7799167</t>
  </si>
  <si>
    <t>https://www.google.com/maps/search/?api=1&amp;query=Espa%C3%A7o%20Da%20Beleza%20Su%C3%AAla%20Segadilha&amp;query_place_id=ChIJP1LQG9JuigcRKlHY9BXf58g</t>
  </si>
  <si>
    <t>Kely Gomes Beleza e Cuidado</t>
  </si>
  <si>
    <t>+55 99 99165-3113</t>
  </si>
  <si>
    <t>+5599991653113</t>
  </si>
  <si>
    <t>R. São Joaquim, n°12 - Areal, Bacabal - MA, 65700-000, Brasil</t>
  </si>
  <si>
    <t>-4.2422797</t>
  </si>
  <si>
    <t>-44.8086782</t>
  </si>
  <si>
    <t>https://www.google.com/maps/search/?api=1&amp;query=Kely%20Gomes%20Beleza%20e%20Cuidado&amp;query_place_id=ChIJp_FXas1vigcREatqYWR6bVo</t>
  </si>
  <si>
    <t>Studio Mariana Assunção</t>
  </si>
  <si>
    <t>+55 99 98130-8604</t>
  </si>
  <si>
    <t>+5599981308604</t>
  </si>
  <si>
    <t>R. Santa Catarina, Bacabal - MA, 65700-000, Brasil</t>
  </si>
  <si>
    <t>-4.207763</t>
  </si>
  <si>
    <t>-44.8001742</t>
  </si>
  <si>
    <t>https://www.google.com/maps/search/?api=1&amp;query=Studio%20Mariana%20Assun%C3%A7%C3%A3o&amp;query_place_id=ChIJ1xb3WldvigcReUGuyv9Oyr4</t>
  </si>
  <si>
    <t>Maison Centro De Beleza E Estética</t>
  </si>
  <si>
    <t>+55 99 98122-6986</t>
  </si>
  <si>
    <t>+5599981226986</t>
  </si>
  <si>
    <t>R. VP-7, 12, Bacabal - MA, 65700-000, Brasil</t>
  </si>
  <si>
    <t>-4.2272137</t>
  </si>
  <si>
    <t>-44.793671</t>
  </si>
  <si>
    <t>https://www.google.com/maps/search/?api=1&amp;query=Maison%20Centro%20De%20Beleza%20E%20Est%C3%A9tica&amp;query_place_id=ChIJobpLCN5uigcRjwHIzM7fg1c</t>
  </si>
  <si>
    <t>Centro de Beleza Cleidimar Almeida</t>
  </si>
  <si>
    <t>R. Mariano Couto, 40 - Madre Rosa, Bacabal - MA, 65700-000, Brasil</t>
  </si>
  <si>
    <t>-4.2318088</t>
  </si>
  <si>
    <t>-44.7878168</t>
  </si>
  <si>
    <t>https://www.google.com/maps/search/?api=1&amp;query=Centro%20de%20Beleza%20Cleidimar%20Almeida&amp;query_place_id=ChIJWUCsEoRvigcRiSY42EkAO7Q</t>
  </si>
  <si>
    <t>salão e centro de estética toda bela</t>
  </si>
  <si>
    <t>+55 99 3621-5917</t>
  </si>
  <si>
    <t>+559936215917</t>
  </si>
  <si>
    <t>R. 10 de Novembro, 167, Bacabal - MA, 65700-000, Brasil</t>
  </si>
  <si>
    <t>-4.2405448</t>
  </si>
  <si>
    <t>-44.7826058</t>
  </si>
  <si>
    <t>https://www.google.com/maps/search/?api=1&amp;query=sal%C3%A3o%20e%20centro%20de%20est%C3%A9tica%20toda%20bela&amp;query_place_id=ChIJ7cNGg7luigcRkr0d8MTSfCk</t>
  </si>
  <si>
    <t>Salão De Beleza Espaço Beleza Dhara</t>
  </si>
  <si>
    <t>+55 99 98226-7695</t>
  </si>
  <si>
    <t>+5599982267695</t>
  </si>
  <si>
    <t>Tv. Gomes Vidal, 38, Bacabal - MA, 65700-000, Brasil</t>
  </si>
  <si>
    <t>-4.239663</t>
  </si>
  <si>
    <t>-44.78267</t>
  </si>
  <si>
    <t>https://www.google.com/maps/search/?api=1&amp;query=Sal%C3%A3o%20De%20Beleza%20Espa%C3%A7o%20Beleza%20Dhara&amp;query_place_id=ChIJB-2uLLZuigcRtSQuOQeIgpE</t>
  </si>
  <si>
    <t>Salão Tok de Beleza</t>
  </si>
  <si>
    <t>+55 99 98106-2067</t>
  </si>
  <si>
    <t>+5599981062067</t>
  </si>
  <si>
    <t>R. Getúlio Vargas, 665 - Centro, Bacabal - MA, 65700-000, Brasil</t>
  </si>
  <si>
    <t>-4.2355711</t>
  </si>
  <si>
    <t>-44.7830333</t>
  </si>
  <si>
    <t>https://www.google.com/maps/search/?api=1&amp;query=Sal%C3%A3o%20Tok%20de%20Beleza&amp;query_place_id=ChIJH3_7KuVvigcR__gGLDcqI3Y</t>
  </si>
  <si>
    <t>Studio Janaina Barbosa</t>
  </si>
  <si>
    <t>+55 99 98130-1178</t>
  </si>
  <si>
    <t>+5599981301178</t>
  </si>
  <si>
    <t>-4.2252636</t>
  </si>
  <si>
    <t>-44.7875684</t>
  </si>
  <si>
    <t>https://www.google.com/maps/search/?api=1&amp;query=Studio%20Janaina%20Barbosa&amp;query_place_id=ChIJ_3jaNg5vigcRVpjJLBdLS7Y</t>
  </si>
  <si>
    <t>Depilação</t>
  </si>
  <si>
    <t>Pathy Chiquetosa</t>
  </si>
  <si>
    <t>R. Rui Barbosa, 1246 - Centro, Bacabal - MA, 65700-000, Brasil</t>
  </si>
  <si>
    <t>-4.2223761</t>
  </si>
  <si>
    <t>-44.7826755</t>
  </si>
  <si>
    <t>https://www.google.com/maps/search/?api=1&amp;query=Pathy%20Chiquetosa&amp;query_place_id=ChIJ0_geLapvigcRDJh7TcLg7p4</t>
  </si>
  <si>
    <t>‍ ️Barbearia Gomes</t>
  </si>
  <si>
    <t>+55 99 99136-5337</t>
  </si>
  <si>
    <t>+5599991365337</t>
  </si>
  <si>
    <t>Ao lado do Bar do seu Chico Careca - R. São Joaquim, N° 37 - Areal, Bacabal - MA, 65700-000, Brasil</t>
  </si>
  <si>
    <t>-4.2422967</t>
  </si>
  <si>
    <t>-44.8089236</t>
  </si>
  <si>
    <t>https://www.google.com/maps/search/?api=1&amp;query=%E2%80%8D%20%EF%B8%8FBarbearia%20Gomes&amp;query_place_id=ChIJr-bXoy5vigcRaxD0YMPKUdY</t>
  </si>
  <si>
    <t>Márcia Cabelos</t>
  </si>
  <si>
    <t>+55 99 98186-0209</t>
  </si>
  <si>
    <t>+5599981860209</t>
  </si>
  <si>
    <t>R. Cloris Miranda, 466, Bacabal - MA, 65700-000, Brasil</t>
  </si>
  <si>
    <t>-4.2307605</t>
  </si>
  <si>
    <t>-44.7816556</t>
  </si>
  <si>
    <t>https://www.google.com/maps/search/?api=1&amp;query=M%C3%A1rcia%20Cabelos&amp;query_place_id=ChIJoWTWvdFuigcR9xrET8LXxeU</t>
  </si>
  <si>
    <t>Janny E Jhenny Cabelo E Depilação</t>
  </si>
  <si>
    <t>-4.1954625</t>
  </si>
  <si>
    <t>-44.7882644</t>
  </si>
  <si>
    <t>https://www.google.com/maps/search/?api=1&amp;query=Janny%20E%20Jhenny%20Cabelo%20E%20Depila%C3%A7%C3%A3o&amp;query_place_id=ChIJIX0q4lhvigcR-aKNsPX14s0</t>
  </si>
  <si>
    <t>Jk BARBEARIA é estética ele ela</t>
  </si>
  <si>
    <t>R. Vp 06, Av. Cohab, box 04, Bacabal - MA, 65700-000, Brasil</t>
  </si>
  <si>
    <t>-4.2266703</t>
  </si>
  <si>
    <t>-44.7937777</t>
  </si>
  <si>
    <t>https://www.google.com/maps/search/?api=1&amp;query=Jk%20BARBEARIA%20%C3%A9%20est%C3%A9tica%20ele%20ela&amp;query_place_id=ChIJNYD0uQVvigcRbXgqx4KIOL0</t>
  </si>
  <si>
    <t>Brasil Barbearia</t>
  </si>
  <si>
    <t>+55 99 98135-4630</t>
  </si>
  <si>
    <t>+5599981354630</t>
  </si>
  <si>
    <t>Praça da Cohab - Av. 1, Av. Cohab, 1 - Box 20, Bacabal - MA, 65700-000, Brasil</t>
  </si>
  <si>
    <t>-4.2263967</t>
  </si>
  <si>
    <t>-44.7934927</t>
  </si>
  <si>
    <t>https://www.google.com/maps/search/?api=1&amp;query=Brasil%20Barbearia&amp;query_place_id=ChIJpeg-wrduigcRTZHyJn6R5L8</t>
  </si>
  <si>
    <t>Cris Cosméticos Cabelo E Estética</t>
  </si>
  <si>
    <t>+55 99 98111-7059</t>
  </si>
  <si>
    <t>+5599981117059</t>
  </si>
  <si>
    <t>R. Maranhão Sobrinho, 1108, Bacabal - MA, 65700-000, Brasil</t>
  </si>
  <si>
    <t>-4.2304459</t>
  </si>
  <si>
    <t>-44.7837331</t>
  </si>
  <si>
    <t>https://www.google.com/maps/search/?api=1&amp;query=Cris%20Cosm%C3%A9ticos%20Cabelo%20E%20Est%C3%A9tica&amp;query_place_id=ChIJFdtYQtBuigcRSbQlRN3mTP0</t>
  </si>
  <si>
    <t>Studio Nayara Carvalho</t>
  </si>
  <si>
    <t>+55 99 98162-9401</t>
  </si>
  <si>
    <t>+5599981629401</t>
  </si>
  <si>
    <t>R. Cleomenes Falcão, 860 - Esperança, Bacabal - MA, 65700-000, Brasil</t>
  </si>
  <si>
    <t>-4.2437955</t>
  </si>
  <si>
    <t>-44.781904</t>
  </si>
  <si>
    <t>https://www.google.com/maps/search/?api=1&amp;query=Studio%20Nayara%20Carvalho&amp;query_place_id=ChIJV2RrFv5vigcRdHgKPUtnyaE</t>
  </si>
  <si>
    <t>Salão Belíssima</t>
  </si>
  <si>
    <t>+55 99 98115-2372</t>
  </si>
  <si>
    <t>+5599981152372</t>
  </si>
  <si>
    <t>R. do Arame, Bacabal - MA, 65700-000, Brasil</t>
  </si>
  <si>
    <t>-4.2239178</t>
  </si>
  <si>
    <t>-44.7902512</t>
  </si>
  <si>
    <t>https://www.google.com/maps/search/?api=1&amp;query=Sal%C3%A3o%20Bel%C3%ADssima&amp;query_place_id=ChIJbZhtuQFvigcRYlhGNCTeRVA</t>
  </si>
  <si>
    <t>Studio Lya Thayne</t>
  </si>
  <si>
    <t>+55 99 98118-8042</t>
  </si>
  <si>
    <t>+5599981188042</t>
  </si>
  <si>
    <t>R. Cleomenes Falcão, 860, Bacabal - MA, 65700-000, Brasil</t>
  </si>
  <si>
    <t>https://www.google.com/maps/search/?api=1&amp;query=Studio%20Lya%20Thayne&amp;query_place_id=ChIJ2_u0VBxvigcRevYXoDHtE2A</t>
  </si>
  <si>
    <t>Studio A</t>
  </si>
  <si>
    <t>+55 99 98109-2591</t>
  </si>
  <si>
    <t>+5599981092591</t>
  </si>
  <si>
    <t>R. das Tulipas, 143 - Cidade Jardins, Bacabal - MA, 65700-000, Brasil</t>
  </si>
  <si>
    <t>-4.2491736</t>
  </si>
  <si>
    <t>-44.8021263</t>
  </si>
  <si>
    <t>https://www.google.com/maps/search/?api=1&amp;query=Studio%20A&amp;query_place_id=ChIJG4Gi7W9vigcRecCiSBfVByw</t>
  </si>
  <si>
    <t>Divas Make-Up</t>
  </si>
  <si>
    <t>+55 99 98450-9224</t>
  </si>
  <si>
    <t>+5599984509224</t>
  </si>
  <si>
    <t>R. Doze, Bacabal - MA, 65700-000, Brasil</t>
  </si>
  <si>
    <t>-4.2085872</t>
  </si>
  <si>
    <t>-44.7965224</t>
  </si>
  <si>
    <t>https://www.google.com/maps/search/?api=1&amp;query=Divas%20Make-Up&amp;query_place_id=ChIJy1g98xxvigcR8gEnpL8OXpA</t>
  </si>
  <si>
    <t>Chiquetosa On- Bacabal/Ma</t>
  </si>
  <si>
    <t>+55 99 98100-3424</t>
  </si>
  <si>
    <t>+5599981003424</t>
  </si>
  <si>
    <t>Rua Carlos Pereira 629, piso II, sala 01, R. Carlos Pereira, 623 - Centro, Bacabal - MA, 65700-000, Brasil</t>
  </si>
  <si>
    <t>-4.2295455</t>
  </si>
  <si>
    <t>-44.7818153</t>
  </si>
  <si>
    <t>https://www.google.com/maps/search/?api=1&amp;query=Chiquetosa%20On-%20Bacabal%2FMa&amp;query_place_id=ChIJoZEvfMpvigcREHStVN6MXTA</t>
  </si>
  <si>
    <t>Studio Ada Oliveira Makeup</t>
  </si>
  <si>
    <t>+55 99 98471-1361</t>
  </si>
  <si>
    <t>+5599984711361</t>
  </si>
  <si>
    <t>R. Gonçalves Dias, 425, Bacabal - MA, 65700-000, Brasil</t>
  </si>
  <si>
    <t>-4.2255516</t>
  </si>
  <si>
    <t>-44.7791002</t>
  </si>
  <si>
    <t>https://www.google.com/maps/search/?api=1&amp;query=Studio%20Ada%20Oliveira%20Makeup&amp;query_place_id=ChIJb7UoJABvigcRoeX1MeXcfC0</t>
  </si>
  <si>
    <t>Lene cabelos e estéticas</t>
  </si>
  <si>
    <t>+55 98 99236-7896</t>
  </si>
  <si>
    <t>+5598992367896</t>
  </si>
  <si>
    <t>Pov.Brejinho - Rua Lucélio Pinto, Bacabal - MA, 65700-000, Brasil</t>
  </si>
  <si>
    <t>-4.2939857</t>
  </si>
  <si>
    <t>-45.0078592</t>
  </si>
  <si>
    <t>https://www.google.com/maps/search/?api=1&amp;query=Lene%20cabelos%20e%20est%C3%A9ticas&amp;query_place_id=ChIJgUpexds1y5IR8oZew7e2AMY</t>
  </si>
  <si>
    <t>Salao Da Ivone</t>
  </si>
  <si>
    <t>+55 99 98184-8219</t>
  </si>
  <si>
    <t>+5599981848219</t>
  </si>
  <si>
    <t>R. 3 3 - Vila Jurandir, Rio de Janeiro - MA, 65708-000, Brasil</t>
  </si>
  <si>
    <t>-4.2473384</t>
  </si>
  <si>
    <t>-44.7855828</t>
  </si>
  <si>
    <t>https://www.google.com/maps/search/?api=1&amp;query=Salao%20Da%20Ivone&amp;query_place_id=ChIJwzOjWqVuigcRoU-Og6XhTIs</t>
  </si>
  <si>
    <t>TUILZA ESTETICA</t>
  </si>
  <si>
    <t>+55 99 98113-8252</t>
  </si>
  <si>
    <t>+5599981138252</t>
  </si>
  <si>
    <t>R. Padre Mahana, Bacabal - MA, 65700-000, Brasil</t>
  </si>
  <si>
    <t>-4.2290255</t>
  </si>
  <si>
    <t>-44.7825765</t>
  </si>
  <si>
    <t>https://www.google.com/maps/search/?api=1&amp;query=TUILZA%20ESTETICA&amp;query_place_id=ChIJI8uoztBuigcR7NB1KTzXOuY</t>
  </si>
  <si>
    <t>Rosa Matos Salao De Beleza</t>
  </si>
  <si>
    <t>+55 99 98143-3777</t>
  </si>
  <si>
    <t>+5599981433777</t>
  </si>
  <si>
    <t>R. Dr. Paulo Ramos, 75, Bacabal - MA, 65700-000, Brasil</t>
  </si>
  <si>
    <t>-4.2295656</t>
  </si>
  <si>
    <t>-44.7774259</t>
  </si>
  <si>
    <t>https://www.google.com/maps/search/?api=1&amp;query=Rosa%20Matos%20Salao%20De%20Beleza&amp;query_place_id=ChIJI_SODdNuigcRWQjvSrBgnpk</t>
  </si>
  <si>
    <t>Dell Gomes Hairstylist</t>
  </si>
  <si>
    <t>+55 99 98254-6065</t>
  </si>
  <si>
    <t>+5599982546065</t>
  </si>
  <si>
    <t>R. José Bonifácio, 161A - Esperança, Bacabal - MA, 65700-000, Brasil</t>
  </si>
  <si>
    <t>-4.2425431</t>
  </si>
  <si>
    <t>-44.7832091</t>
  </si>
  <si>
    <t>https://www.google.com/maps/search/?api=1&amp;query=Dell%20Gomes%20Hairstylist&amp;query_place_id=ChIJ9_9ODvFvigcR86OsZipvLpM</t>
  </si>
  <si>
    <t>SALÃO LÁ - MUNDICA</t>
  </si>
  <si>
    <t>R. Vinte, 47 - Quadra 20 - Terra do Sol 2, Bacabal - MA, 65700-000, Brasil</t>
  </si>
  <si>
    <t>-4.2467814</t>
  </si>
  <si>
    <t>-44.7885434</t>
  </si>
  <si>
    <t>https://www.google.com/maps/search/?api=1&amp;query=SAL%C3%83O%20L%C3%81%20-%20MUNDICA&amp;query_place_id=ChIJK1gNETtvigcRoCAxHpjMoo0</t>
  </si>
  <si>
    <t>Salão do Miguel</t>
  </si>
  <si>
    <t>-4.2472049</t>
  </si>
  <si>
    <t>-44.784363</t>
  </si>
  <si>
    <t>https://www.google.com/maps/search/?api=1&amp;query=Sal%C3%A3o%20do%20Miguel&amp;query_place_id=ChIJgQgQ5a9uigcR1h7pVaTaF2s</t>
  </si>
  <si>
    <t>Espaço Erika Alves</t>
  </si>
  <si>
    <t>+55 99 98451-0764</t>
  </si>
  <si>
    <t>+5599984510764</t>
  </si>
  <si>
    <t>R. Monte Castelo, Bacabal - MA, 65700-000, Brasil</t>
  </si>
  <si>
    <t>-4.235838</t>
  </si>
  <si>
    <t>-44.7784115</t>
  </si>
  <si>
    <t>https://www.google.com/maps/search/?api=1&amp;query=Espa%C3%A7o%20Erika%20Alves&amp;query_place_id=ChIJx2s2_j1vigcR7JxPKzeAeNw</t>
  </si>
  <si>
    <t>Salão De Beleza Ana Maria</t>
  </si>
  <si>
    <t>R. Djalma Dutra, 240, Bacabal - MA, 65700-000, Brasil</t>
  </si>
  <si>
    <t>-4.2267986</t>
  </si>
  <si>
    <t>-44.777932</t>
  </si>
  <si>
    <t>https://www.google.com/maps/search/?api=1&amp;query=Sal%C3%A3o%20De%20Beleza%20Ana%20Maria&amp;query_place_id=ChIJIzCx-NRuigcRd8hssoYKxBE</t>
  </si>
  <si>
    <t>F. E Beauty Salon</t>
  </si>
  <si>
    <t>+55 99 98475-2400</t>
  </si>
  <si>
    <t>+5599984752400</t>
  </si>
  <si>
    <t>R. Rui Barbosa, 40 - Centro, Bacabal - MA, 65700-000, Brasil</t>
  </si>
  <si>
    <t>-4.2312841</t>
  </si>
  <si>
    <t>-44.7764971</t>
  </si>
  <si>
    <t>https://www.google.com/maps/search/?api=1&amp;query=F.%20E%20Beauty%20Salon&amp;query_place_id=ChIJdfnBbjJpigcRCJQTwL0yCgI</t>
  </si>
  <si>
    <t>Salao Styllus</t>
  </si>
  <si>
    <t>+55 99 98110-0554</t>
  </si>
  <si>
    <t>+5599981100554</t>
  </si>
  <si>
    <t>R. Osvaldo Cruz, 203, Bacabal - MA, 65700-000, Brasil</t>
  </si>
  <si>
    <t>-4.2292816</t>
  </si>
  <si>
    <t>-44.7779349</t>
  </si>
  <si>
    <t>https://www.google.com/maps/search/?api=1&amp;query=Salao%20Styllus&amp;query_place_id=ChIJHe_zddNuigcRFq3zXpJfFms</t>
  </si>
  <si>
    <t>Elma Hair</t>
  </si>
  <si>
    <t>+55 99 98195-0858</t>
  </si>
  <si>
    <t>+5599981950858</t>
  </si>
  <si>
    <t>R. Luís Domingues, 376 - Alto Cururupu, Bacabal - MA, 65700-000, Brasil</t>
  </si>
  <si>
    <t>-4.2401935</t>
  </si>
  <si>
    <t>-44.7807046</t>
  </si>
  <si>
    <t>https://www.google.com/maps/search/?api=1&amp;query=Elma%20Hair&amp;query_place_id=ChIJXyvBDrZuigcRPo_iBAMPbhM</t>
  </si>
  <si>
    <t>Salão de beleza</t>
  </si>
  <si>
    <t>+55 99 98152-6716</t>
  </si>
  <si>
    <t>+5599981526716</t>
  </si>
  <si>
    <t>R. Djalma Dutra, 1714, Bacabal - MA, 65700-000, Brasil</t>
  </si>
  <si>
    <t>-4.2169055</t>
  </si>
  <si>
    <t>-44.7758844</t>
  </si>
  <si>
    <t>https://www.google.com/maps/search/?api=1&amp;query=Sal%C3%A3o%20de%20beleza&amp;query_place_id=ChIJraVQ0clvigcR3qvklB3IGa4</t>
  </si>
  <si>
    <t>Centro Técnico Cristiana Moura</t>
  </si>
  <si>
    <t>R. Osvaldo Cruz, 790 - Centro, Bacabal - MA, 65700-000, Brasil</t>
  </si>
  <si>
    <t>-4.2325934</t>
  </si>
  <si>
    <t>-44.7820845</t>
  </si>
  <si>
    <t>https://www.google.com/maps/search/?api=1&amp;query=Centro%20T%C3%A9cnico%20Cristiana%20Moura&amp;query_place_id=ChIJPwWala5vigcRcV0_DtWXtLk</t>
  </si>
  <si>
    <t>Pintei e Amei Esmalteria</t>
  </si>
  <si>
    <t>+55 99 98158-8059</t>
  </si>
  <si>
    <t>+5599981588059</t>
  </si>
  <si>
    <t>R. Djalma Dutra, 1311 - 1311, Bacabal - MA, 65700-000, Brasil</t>
  </si>
  <si>
    <t>-4.2174018</t>
  </si>
  <si>
    <t>-44.7761837</t>
  </si>
  <si>
    <t>https://www.google.com/maps/search/?api=1&amp;query=Pintei%20e%20Amei%20Esmalteria&amp;query_place_id=ChIJZTrBWS1vigcRjWta9nAoWn0</t>
  </si>
  <si>
    <t>SALÃO DA NETY SILVA</t>
  </si>
  <si>
    <t>Rua 18, segunda avenida principal, Quadra 30 - Residencial Terra do Sol, Bacabal - MA, 65700-000, Brasil</t>
  </si>
  <si>
    <t>-4.196345</t>
  </si>
  <si>
    <t>-44.7853069</t>
  </si>
  <si>
    <t>https://www.google.com/maps/search/?api=1&amp;query=SAL%C3%83O%20DA%20NETY%20SILVA&amp;query_place_id=ChIJnf0vUQBvigcRr_W7r30gP2w</t>
  </si>
  <si>
    <t>Ana Souza salão de Beleza</t>
  </si>
  <si>
    <t>+55 99 99201-8257</t>
  </si>
  <si>
    <t>+5599992018257</t>
  </si>
  <si>
    <t>R. das Flôres, 144, Bacabal - MA, 65700-000, Brasil</t>
  </si>
  <si>
    <t>-4.2120868</t>
  </si>
  <si>
    <t>-44.7822528</t>
  </si>
  <si>
    <t>https://www.google.com/maps/search/?api=1&amp;query=Ana%20Souza%20sal%C3%A3o%20de%20Beleza&amp;query_place_id=ChIJQTfPAW1vigcRyzt7HACiY6s</t>
  </si>
  <si>
    <t>Espaço Leudy Cabelos</t>
  </si>
  <si>
    <t>+55 99 98150-4555</t>
  </si>
  <si>
    <t>+5599981504555</t>
  </si>
  <si>
    <t>R. Teixeira de Freitas, 451 - Centro, Bacabal - MA, 65700-000, Brasil</t>
  </si>
  <si>
    <t>-4.2342378</t>
  </si>
  <si>
    <t>-44.7776114</t>
  </si>
  <si>
    <t>https://www.google.com/maps/search/?api=1&amp;query=Espa%C3%A7o%20Leudy%20Cabelos&amp;query_place_id=ChIJu6XR7gNvigcRmDZQX2ozOjI</t>
  </si>
  <si>
    <t>Donna Esmalteria Bacabal</t>
  </si>
  <si>
    <t>+55 99 98542-1965</t>
  </si>
  <si>
    <t>+5599985421965</t>
  </si>
  <si>
    <t>R. Vinte e Oito de Julho, 211 - Centro, Bacabal - MA, 65700-000, Brasil</t>
  </si>
  <si>
    <t>-4.2310415</t>
  </si>
  <si>
    <t>-44.7792157</t>
  </si>
  <si>
    <t>https://www.google.com/maps/search/?api=1&amp;query=Donna%20Esmalteria%20Bacabal&amp;query_place_id=ChIJNYyQeapvigcRT5BQUPcC10w</t>
  </si>
  <si>
    <t>Irresistível Esmalteria</t>
  </si>
  <si>
    <t>R. Cloris Miranda, 428, Bacabal - MA, 65700-000, Brasil</t>
  </si>
  <si>
    <t>-4.2305032</t>
  </si>
  <si>
    <t>-44.7814144</t>
  </si>
  <si>
    <t>https://www.google.com/maps/search/?api=1&amp;query=Irresist%C3%ADvel%20Esmalteria&amp;query_place_id=ChIJx3ShcI1vigcRYRLt_VxtFAo</t>
  </si>
  <si>
    <t>Salão Sempre Bela - Irmã Josélia</t>
  </si>
  <si>
    <t>R. Quatro, casa 63, Bacabal - MA, 65708-000, Brasil</t>
  </si>
  <si>
    <t>-4.2459891</t>
  </si>
  <si>
    <t>-44.7844534</t>
  </si>
  <si>
    <t>https://www.google.com/maps/search/?api=1&amp;query=Sal%C3%A3o%20Sempre%20Bela%20-%20Irm%C3%A3%20Jos%C3%A9lia&amp;query_place_id=ChIJY3yoKT9vigcRXis3TjjXbIM</t>
  </si>
  <si>
    <t>Studio Krys Barbosa</t>
  </si>
  <si>
    <t>-4.1955245</t>
  </si>
  <si>
    <t>-44.7865376</t>
  </si>
  <si>
    <t>https://www.google.com/maps/search/?api=1&amp;query=Studio%20Krys%20Barbosa&amp;query_place_id=ChIJQ5KgTlhvigcRbG3Q16VJAmQ</t>
  </si>
  <si>
    <t>Queens Studio</t>
  </si>
  <si>
    <t>+55 99 98118-2560</t>
  </si>
  <si>
    <t>+5599981182560</t>
  </si>
  <si>
    <t>Rua 22 quadra, 21 - casa 09 - Terra do sol 2, Bacabal - MA, 65700-000, Brasil</t>
  </si>
  <si>
    <t>-4.1977199</t>
  </si>
  <si>
    <t>-44.7885916</t>
  </si>
  <si>
    <t>https://www.google.com/maps/search/?api=1&amp;query=Queens%20Studio&amp;query_place_id=ChIJLX9JDdVvigcRXlxCqVgmhQU</t>
  </si>
  <si>
    <t>Studio Mayara Silva</t>
  </si>
  <si>
    <t>+55 99 98228-4345</t>
  </si>
  <si>
    <t>+5599982284345</t>
  </si>
  <si>
    <t>Estr. Bela Vista, Bacabal - MA, 65700-000, Brasil</t>
  </si>
  <si>
    <t>-4.2174669</t>
  </si>
  <si>
    <t>-44.7868055</t>
  </si>
  <si>
    <t>https://www.google.com/maps/search/?api=1&amp;query=Studio%20Mayara%20Silva&amp;query_place_id=ChIJHVeJWwBvigcRVwbjGbBH15g</t>
  </si>
  <si>
    <t>Studio Dagiane Sabino</t>
  </si>
  <si>
    <t>+55 99 98100-3406</t>
  </si>
  <si>
    <t>+5599981003406</t>
  </si>
  <si>
    <t>Rua :Clores Miranda, 403, Bacabal - MA, 65700-000, Brasil</t>
  </si>
  <si>
    <t>-4.2305721</t>
  </si>
  <si>
    <t>-44.781402</t>
  </si>
  <si>
    <t>https://www.google.com/maps/search/?api=1&amp;query=Studio%20Dagiane%20Sabino&amp;query_place_id=ChIJpy6_SgBvigcRIo2i0V_HvTg</t>
  </si>
  <si>
    <t>Estúdio de Beleza Letícia Albuquerque</t>
  </si>
  <si>
    <t>+55 99 98155-5837</t>
  </si>
  <si>
    <t>+5599981555837</t>
  </si>
  <si>
    <t>R. Um, 23 - Vila São João, Bacabal - MA, 65700-000, Brasil</t>
  </si>
  <si>
    <t>-4.2310345</t>
  </si>
  <si>
    <t>-44.7799993</t>
  </si>
  <si>
    <t>https://www.google.com/maps/search/?api=1&amp;query=Est%C3%BAdio%20de%20Beleza%20Let%C3%ADcia%20Albuquerque&amp;query_place_id=ChIJAamwMqNvigcRlmq-QNJquN8</t>
  </si>
  <si>
    <t>Espaço MichelyKelly</t>
  </si>
  <si>
    <t>+55 99 98274-0283</t>
  </si>
  <si>
    <t>+5599982740283</t>
  </si>
  <si>
    <t>R. Luís Domingues, 164-504, Bacabal - MA, 65700-000, Brasil</t>
  </si>
  <si>
    <t>-4.2403986</t>
  </si>
  <si>
    <t>-44.7805417</t>
  </si>
  <si>
    <t>https://www.google.com/maps/search/?api=1&amp;query=Espa%C3%A7o%20MichelyKelly&amp;query_place_id=ChIJ8-YMC7ZuigcRsyEUXu7PL1Q</t>
  </si>
  <si>
    <t>Luxus Esmalteria</t>
  </si>
  <si>
    <t>+55 99 99138-1816</t>
  </si>
  <si>
    <t>+5599991381816</t>
  </si>
  <si>
    <t>R. Jorge José de Mendonça, 688, Bacabal - MA, 65700-000, Brasil</t>
  </si>
  <si>
    <t>-4.2227198</t>
  </si>
  <si>
    <t>-44.7700852</t>
  </si>
  <si>
    <t>https://www.google.com/maps/search/?api=1&amp;query=Luxus%20Esmalteria&amp;query_place_id=ChIJcYlglG9pigcROFUXXUzfEqY</t>
  </si>
  <si>
    <t>Salão de Beleza Versátil</t>
  </si>
  <si>
    <t>+55 99 98247-5448</t>
  </si>
  <si>
    <t>+5599982475448</t>
  </si>
  <si>
    <t>Rua praça Santos dumont - Centro, Bacabal - MA, 65700-000, Brasil</t>
  </si>
  <si>
    <t>https://www.google.com/maps/search/?api=1&amp;query=Sal%C3%A3o%20de%20Beleza%20Vers%C3%A1til&amp;query_place_id=ChIJo8UcEx9vigcRFSnSnDF7m6Y</t>
  </si>
  <si>
    <t>Esmalteria Yahara</t>
  </si>
  <si>
    <t>+55 99 98222-2261</t>
  </si>
  <si>
    <t>+5599982222261</t>
  </si>
  <si>
    <t>Rua 18 quadra 46 casa 38, Bacabal - MA, 65700-000, Brasil</t>
  </si>
  <si>
    <t>-4.1974804</t>
  </si>
  <si>
    <t>-44.7838282</t>
  </si>
  <si>
    <t>https://www.google.com/maps/search/?api=1&amp;query=Esmalteria%20Yahara&amp;query_place_id=ChIJk4iQSDlvigcRbEVMonCOrBo</t>
  </si>
  <si>
    <t>Jôsy Empório</t>
  </si>
  <si>
    <t>+55 99 98136-4107</t>
  </si>
  <si>
    <t>+5599981364107</t>
  </si>
  <si>
    <t>R. Dr. Paulo Ramos, 105 - Centro, Bacabal - MA, 65700-000, Brasil</t>
  </si>
  <si>
    <t>-4.2297306</t>
  </si>
  <si>
    <t>-44.7776971</t>
  </si>
  <si>
    <t>https://www.google.com/maps/search/?api=1&amp;query=J%C3%B4sy%20Emp%C3%B3rio&amp;query_place_id=ChIJIw3cgVlvigcR-uXLmg611XI</t>
  </si>
  <si>
    <t>Espaço Bianca Carvalho</t>
  </si>
  <si>
    <t>+55 99 98103-9154</t>
  </si>
  <si>
    <t>+5599981039154</t>
  </si>
  <si>
    <t>R. José Bonifácio, Bacabal - MA, 65700-000, Brasil</t>
  </si>
  <si>
    <t>-4.2431516</t>
  </si>
  <si>
    <t>-44.7847574</t>
  </si>
  <si>
    <t>https://www.google.com/maps/search/?api=1&amp;query=Espa%C3%A7o%20Bianca%20Carvalho&amp;query_place_id=ChIJRUV2NU1vigcRUICO31kRT2o</t>
  </si>
  <si>
    <t>Bem Star</t>
  </si>
  <si>
    <t>+55 99 98109-4614</t>
  </si>
  <si>
    <t>+5599981094614</t>
  </si>
  <si>
    <t>-4.2251948</t>
  </si>
  <si>
    <t>-44.7867728</t>
  </si>
  <si>
    <t>https://www.google.com/maps/search/?api=1&amp;query=Bem%20Star&amp;query_place_id=ChIJo4jcJgBvigcRBaAiRLLKZ_Y</t>
  </si>
  <si>
    <t>Lazulli SPA</t>
  </si>
  <si>
    <t>+55 99 98210-4878</t>
  </si>
  <si>
    <t>+5599982104878</t>
  </si>
  <si>
    <t>R. Dr. Paulo Ramos, 189 - Centro, Bacabal - MA, 65700-000, Brasil</t>
  </si>
  <si>
    <t>-4.2302485</t>
  </si>
  <si>
    <t>-44.7782228</t>
  </si>
  <si>
    <t>https://www.google.com/maps/search/?api=1&amp;query=Lazulli%20SPA&amp;query_place_id=ChIJEy34pINvigcRMrVAMjYpI_4</t>
  </si>
  <si>
    <t>Salão da Dinah</t>
  </si>
  <si>
    <t>R. Maranhão Sobrinho, 1005, Bacabal - MA, 65700-000, Brasil</t>
  </si>
  <si>
    <t>-4.2306508</t>
  </si>
  <si>
    <t>-44.7837707</t>
  </si>
  <si>
    <t>https://www.google.com/maps/search/?api=1&amp;query=Sal%C3%A3o%20da%20Dinah&amp;query_place_id=ChIJVzzlOtBuigcRHo3rl_Rtq34</t>
  </si>
  <si>
    <t>StudioLoveLashe</t>
  </si>
  <si>
    <t>R. Vinte, 3 - vila São João, Bacabal - MA, 65700-000, Brasil</t>
  </si>
  <si>
    <t>-4.2493371</t>
  </si>
  <si>
    <t>-44.7869193</t>
  </si>
  <si>
    <t>https://www.google.com/maps/search/?api=1&amp;query=StudioLoveLashe&amp;query_place_id=ChIJW_DZBQBvigcR-flgN8eR1rs</t>
  </si>
  <si>
    <t>Estúdio epilar Fátima morais</t>
  </si>
  <si>
    <t>R. Seis, 1, Bacabal - MA, 65700-000, Brasil</t>
  </si>
  <si>
    <t>-4.2081629</t>
  </si>
  <si>
    <t>-44.7929297</t>
  </si>
  <si>
    <t>https://www.google.com/maps/search/?api=1&amp;query=Est%C3%BAdio%20epilar%20F%C3%A1tima%20morais&amp;query_place_id=ChIJXzvnfwBvigcRNnDsU3m2Z14</t>
  </si>
  <si>
    <t>Salão Nova Face</t>
  </si>
  <si>
    <t>R. Dez, 56, Bacabal - MA, 65700-000, Brasil</t>
  </si>
  <si>
    <t>-4.2490273</t>
  </si>
  <si>
    <t>-44.7866561</t>
  </si>
  <si>
    <t>https://www.google.com/maps/search/?api=1&amp;query=Sal%C3%A3o%20Nova%20Face&amp;query_place_id=ChIJl22qYQBvigcRfB0t98CSAP8</t>
  </si>
  <si>
    <t>Delicatta Esmalteria</t>
  </si>
  <si>
    <t>+55 99 98166-8697</t>
  </si>
  <si>
    <t>+5599981668697</t>
  </si>
  <si>
    <t>Rua Frederico Leda, n•2021 - COHAB, Bacabal - MA, 65700-000, Brasil</t>
  </si>
  <si>
    <t>-4.228969</t>
  </si>
  <si>
    <t>-44.7930096</t>
  </si>
  <si>
    <t>https://www.google.com/maps/search/?api=1&amp;query=Delicatta%20Esmalteria&amp;query_place_id=ChIJ1SYdIMlvigcRqfftFOL8X5g</t>
  </si>
  <si>
    <t>STUDIO DE BELEZA NADIA LYMA</t>
  </si>
  <si>
    <t>R. Manuel Alves de Abreu, 470, Bacabal - MA, 65700-000, Brasil</t>
  </si>
  <si>
    <t>-4.2278732</t>
  </si>
  <si>
    <t>-44.778557</t>
  </si>
  <si>
    <t>https://www.google.com/maps/search/?api=1&amp;query=STUDIO%20DE%20BELEZA%20NADIA%20LYMA&amp;query_place_id=ChIJJQjxb9RuigcRdfSA-NIMewg</t>
  </si>
  <si>
    <t>Ledda Santos</t>
  </si>
  <si>
    <t>+55 99 98158-9871</t>
  </si>
  <si>
    <t>+5599981589871</t>
  </si>
  <si>
    <t>R. Dr. Paulo Ramos, 154 - Centro, Bacabal - MA, 65700-000, Brasil</t>
  </si>
  <si>
    <t>-4.2296208</t>
  </si>
  <si>
    <t>-44.7778039</t>
  </si>
  <si>
    <t>https://www.google.com/maps/search/?api=1&amp;query=Ledda%20Santos&amp;query_place_id=ChIJh7DsXhpvigcRgA-YKcOh69s</t>
  </si>
  <si>
    <t>Maquiadora e Penteados em Bacabal -- Aline Cruz</t>
  </si>
  <si>
    <t>+55 99 98193-9307</t>
  </si>
  <si>
    <t>+5599981939307</t>
  </si>
  <si>
    <t>R. Teixeira de Freitas, 226 - Centro, Bacabal - MA, 65700-000, Brasil</t>
  </si>
  <si>
    <t>-4.2343119</t>
  </si>
  <si>
    <t>-44.7756946</t>
  </si>
  <si>
    <t>https://www.google.com/maps/search/?api=1&amp;query=Maquiadora%20e%20Penteados%20em%20Bacabal%20--%20Aline%20Cruz&amp;query_place_id=ChIJCWZjWm5pigcRF014Wy9evZo</t>
  </si>
  <si>
    <t>Salão e loja ketlen</t>
  </si>
  <si>
    <t>+55 99 98470-7961</t>
  </si>
  <si>
    <t>+5599984707961</t>
  </si>
  <si>
    <t>R. Florêncio Monteiro, 37, Bacabal - MA, 65700-000, Brasil</t>
  </si>
  <si>
    <t>-4.2363522</t>
  </si>
  <si>
    <t>-44.7802817</t>
  </si>
  <si>
    <t>https://www.google.com/maps/search/?api=1&amp;query=Sal%C3%A3o%20e%20loja%20ketlen&amp;query_place_id=ChIJ14niS71vigcRItJ2RhzrF1k</t>
  </si>
  <si>
    <t>Espaço de beleza Rosy Portela</t>
  </si>
  <si>
    <t>-4.2194125</t>
  </si>
  <si>
    <t>-44.7781249</t>
  </si>
  <si>
    <t>https://www.google.com/maps/search/?api=1&amp;query=Espa%C3%A7o%20de%20beleza%20Rosy%20Portela&amp;query_place_id=ChIJi_0UcgBvigcRV9VcjLUvnCk</t>
  </si>
  <si>
    <t>Espaço essencial Bella</t>
  </si>
  <si>
    <t>+55 99 98255-3900</t>
  </si>
  <si>
    <t>+5599982553900</t>
  </si>
  <si>
    <t>R. Teixeira de Freitas - CENTRO, Bacabal - MA, 65700-000, Brasil</t>
  </si>
  <si>
    <t>-4.2387603</t>
  </si>
  <si>
    <t>-44.7841493</t>
  </si>
  <si>
    <t>https://www.google.com/maps/search/?api=1&amp;query=Espa%C3%A7o%20essencial%20Bella&amp;query_place_id=ChIJpRa0fONvigcR0VB9GQ1yKag</t>
  </si>
  <si>
    <t>Espaço Aurora Center</t>
  </si>
  <si>
    <t>+55 99 98144-4598</t>
  </si>
  <si>
    <t>+5599981444598</t>
  </si>
  <si>
    <t>R. Frederico Lêda, 1740 - CENTRO, Bacabal - MA, 65700-000, Brasil</t>
  </si>
  <si>
    <t>-4.2291376</t>
  </si>
  <si>
    <t>-44.7917025</t>
  </si>
  <si>
    <t>https://www.google.com/maps/search/?api=1&amp;query=Espa%C3%A7o%20Aurora%20Center&amp;query_place_id=ChIJR9jOWedvigcRUacE1TNjsMI</t>
  </si>
  <si>
    <t>Espaço das unhas Geane Ferreira</t>
  </si>
  <si>
    <t>+55 99 98246-7360</t>
  </si>
  <si>
    <t>+5599982467360</t>
  </si>
  <si>
    <t>Rua:pantanal - R. das Flôres, 104 - Vila Pedro brito, Bacabal - MA, 65700-000, Brasil</t>
  </si>
  <si>
    <t>-4.2120893</t>
  </si>
  <si>
    <t>-44.7839334</t>
  </si>
  <si>
    <t>https://www.google.com/maps/search/?api=1&amp;query=Espa%C3%A7o%20das%20unhas%20Geane%20Ferreira&amp;query_place_id=ChIJuxpe7cBvigcRvYyA2Wl322I</t>
  </si>
  <si>
    <t>Espaço Cristiane Silva</t>
  </si>
  <si>
    <t>+55 99 98119-3213</t>
  </si>
  <si>
    <t>+5599981193213</t>
  </si>
  <si>
    <t>Miguel Arcanjo - Rua São, R. São José - operário, Bacabal - MA, 65700-000, Brasil</t>
  </si>
  <si>
    <t>-4.2116401</t>
  </si>
  <si>
    <t>-44.7852477</t>
  </si>
  <si>
    <t>https://www.google.com/maps/search/?api=1&amp;query=Espa%C3%A7o%20Cristiane%20Silva&amp;query_place_id=ChIJL8LOJHBvigcR4tAogmoyhpU</t>
  </si>
  <si>
    <t>Leila Branco Estetica Avança</t>
  </si>
  <si>
    <t>-4.2348435</t>
  </si>
  <si>
    <t>-44.7817175</t>
  </si>
  <si>
    <t>https://www.google.com/maps/search/?api=1&amp;query=Leila%20Branco%20Estetica%20Avan%C3%A7a&amp;query_place_id=ChIJqyIebu9vigcRGB6qKiP32qU</t>
  </si>
  <si>
    <t>Meraki Beauty</t>
  </si>
  <si>
    <t>+55 99 98513-8162</t>
  </si>
  <si>
    <t>+5599985138162</t>
  </si>
  <si>
    <t>Rua 02, Antigo Campo de Pouso, 02 Centro, Bacabal - MA, 65700-000, Brasil</t>
  </si>
  <si>
    <t>-4.2418582</t>
  </si>
  <si>
    <t>-44.7811701</t>
  </si>
  <si>
    <t>https://www.google.com/maps/search/?api=1&amp;query=Meraki%20Beauty&amp;query_place_id=ChIJIbZ7dgFvigcRLbbnywzX-Mw</t>
  </si>
  <si>
    <t>Gilderlane Sousa Beauty Academy</t>
  </si>
  <si>
    <t>+55 99 98131-2346</t>
  </si>
  <si>
    <t>+5599981312346</t>
  </si>
  <si>
    <t>R. Frederico Lêda, 1740, Bacabal - MA, 65700-000, Brasil</t>
  </si>
  <si>
    <t>-4.2291868</t>
  </si>
  <si>
    <t>-44.7916972</t>
  </si>
  <si>
    <t>https://www.google.com/maps/search/?api=1&amp;query=Gilderlane%20Sousa%20Beauty%20Academy&amp;query_place_id=ChIJU4KpvxBvigcRvl1ZSMMmVPQ</t>
  </si>
  <si>
    <t>Salão Udalisa</t>
  </si>
  <si>
    <t>R. Osvaldo Cruz, 210 - Centro, Bacabal - MA, 65700-000, Brasil</t>
  </si>
  <si>
    <t>-4.2292264</t>
  </si>
  <si>
    <t>-44.7780508</t>
  </si>
  <si>
    <t>https://www.google.com/maps/search/?api=1&amp;query=Sal%C3%A3o%20Udalisa&amp;query_place_id=ChIJmWc2ntNuigcRb7jJCXtgtXQ</t>
  </si>
  <si>
    <t>Estética Suane Carvalho</t>
  </si>
  <si>
    <t>+55 99 98441-8000</t>
  </si>
  <si>
    <t>+5599984418000</t>
  </si>
  <si>
    <t>R. Vinte e Oito de Julho, 233C - Centro, Bacabal - MA, 65700-000, Brasil</t>
  </si>
  <si>
    <t>-4.2309009</t>
  </si>
  <si>
    <t>-44.7792567</t>
  </si>
  <si>
    <t>https://www.google.com/maps/search/?api=1&amp;query=Est%C3%A9tica%20Suane%20Carvalho&amp;query_place_id=ChIJuSU8cQJvigcRMZ-zx3eSzvo</t>
  </si>
  <si>
    <t>Iuda Lima Massoterapia</t>
  </si>
  <si>
    <t>+55 99 98438-2758</t>
  </si>
  <si>
    <t>+5599984382758</t>
  </si>
  <si>
    <t>R. Santa Teresinha, 18 - Vila Pedro Brito, Bacabal - MA, 65700-000, Brasil</t>
  </si>
  <si>
    <t>-4.2131088</t>
  </si>
  <si>
    <t>-44.7871278</t>
  </si>
  <si>
    <t>https://www.google.com/maps/search/?api=1&amp;query=Iuda%20Lima%20Massoterapia&amp;query_place_id=ChIJazxJ36hvigcRluShcayw10g</t>
  </si>
  <si>
    <t>Clínica de Estética</t>
  </si>
  <si>
    <t>Salão Renascer</t>
  </si>
  <si>
    <t>R. Maranhão Sobrinho, 436 - Centro, Bacabal - MA, 65700-000, Brasil</t>
  </si>
  <si>
    <t>-4.2353767</t>
  </si>
  <si>
    <t>-44.7803449</t>
  </si>
  <si>
    <t>https://www.google.com/maps/search/?api=1&amp;query=Sal%C3%A3o%20Renascer&amp;query_place_id=ChIJDwiDAsxuigcRIJfz3qKCXSw</t>
  </si>
  <si>
    <t>Espaço corpo dourado</t>
  </si>
  <si>
    <t>-4.1963887</t>
  </si>
  <si>
    <t>-44.7821693</t>
  </si>
  <si>
    <t>https://www.google.com/maps/search/?api=1&amp;query=Espa%C3%A7o%20corpo%20dourado&amp;query_place_id=ChIJFx6iXABvigcRwPeCwGpfZFQ</t>
  </si>
  <si>
    <t>Espaço Rosy Portela Manicure &amp; Pedicurere</t>
  </si>
  <si>
    <t>R. Antonio Lobo, 345 - Centro, Bacabal - MA, 65700-000, Brasil</t>
  </si>
  <si>
    <t>-4.2265048</t>
  </si>
  <si>
    <t>-44.7811114</t>
  </si>
  <si>
    <t>https://www.google.com/maps/search/?api=1&amp;query=Espa%C3%A7o%20Rosy%20Portela%20Manicure%20%26%20Pedicurere&amp;query_place_id=ChIJ--5Ij9ZuigcR8ONu-55WxAE</t>
  </si>
  <si>
    <t>Espaço Antonia Santas</t>
  </si>
  <si>
    <t>-4.245784</t>
  </si>
  <si>
    <t>-44.7863005</t>
  </si>
  <si>
    <t>https://www.google.com/maps/search/?api=1&amp;query=Espa%C3%A7o%20Antonia%20Santas&amp;query_place_id=ChIJJ6g3wLpuigcRRFy9g6cKlMU</t>
  </si>
  <si>
    <t>Dani Depil</t>
  </si>
  <si>
    <t>R. Rui Barbosa, 1259, Bacabal - MA, 65700-000, Brasil</t>
  </si>
  <si>
    <t>-4.2225186</t>
  </si>
  <si>
    <t>-44.78279</t>
  </si>
  <si>
    <t>https://www.google.com/maps/search/?api=1&amp;query=Dani%20Depil&amp;query_place_id=ChIJoUufEdxvigcREZxRNRx18E8</t>
  </si>
  <si>
    <t>Salão Netty</t>
  </si>
  <si>
    <t>+55 99 99206-6411</t>
  </si>
  <si>
    <t>+5599992066411</t>
  </si>
  <si>
    <t>R. Srg. Maurício, 657, Bacabal - MA, 65700-000, Brasil</t>
  </si>
  <si>
    <t>-4.2171403</t>
  </si>
  <si>
    <t>-44.7774012</t>
  </si>
  <si>
    <t>https://www.google.com/maps/search/?api=1&amp;query=Sal%C3%A3o%20Netty&amp;query_place_id=ChIJd_nQt81vigcRzengs-BiL7Y</t>
  </si>
  <si>
    <t>Estética Com Estilo</t>
  </si>
  <si>
    <t>R. 7 de Setembro, 182, Bacabal - MA, 65700-000, Brasil</t>
  </si>
  <si>
    <t>-4.2289488</t>
  </si>
  <si>
    <t>-44.7860019</t>
  </si>
  <si>
    <t>https://www.google.com/maps/search/?api=1&amp;query=Est%C3%A9tica%20Com%20Estilo&amp;query_place_id=ChIJO7G3a9puigcRZuWxO6E_cKg</t>
  </si>
  <si>
    <t>Salão Fênix</t>
  </si>
  <si>
    <t>R. Padre Carvalho, 97, Bacabal - MA, 65700-000, Brasil</t>
  </si>
  <si>
    <t>-4.2229961</t>
  </si>
  <si>
    <t>-44.7800173</t>
  </si>
  <si>
    <t>https://www.google.com/maps/search/?api=1&amp;query=Sal%C3%A3o%20F%C3%AAnix&amp;query_place_id=ChIJWRdGLypvigcRrWebmM3cTrE</t>
  </si>
  <si>
    <t>C'STILO ESMALTERIA</t>
  </si>
  <si>
    <t>+55 99 98405-5583</t>
  </si>
  <si>
    <t>+5599984055583</t>
  </si>
  <si>
    <t>Estrada da bela vista ponto 1 1 - Pedro brito, Bacabal - MA, 65700-000, Brasil</t>
  </si>
  <si>
    <t>-4.2139765</t>
  </si>
  <si>
    <t>-44.7878111</t>
  </si>
  <si>
    <t>https://www.google.com/maps/search/?api=1&amp;query=C'STILO%20ESMALTERIA&amp;query_place_id=ChIJfZWG6ppvigcRWmsX8zXjflA</t>
  </si>
  <si>
    <t>Mikely oliveira lisos de alta performance ❤️</t>
  </si>
  <si>
    <t>+55 99 98187-5368</t>
  </si>
  <si>
    <t>+5599981875368</t>
  </si>
  <si>
    <t>R. da Cruz - Vila Pedro brito, Bacabal - MA, 65700-000, Brasil</t>
  </si>
  <si>
    <t>-4.2144963</t>
  </si>
  <si>
    <t>-44.7814939</t>
  </si>
  <si>
    <t>https://www.google.com/maps/search/?api=1&amp;query=Mikely%20oliveira%20lisos%20de%20alta%20performance%20%E2%9D%A4%EF%B8%8F&amp;query_place_id=ChIJZzBbEvtvigcRLawdfxY0wUU</t>
  </si>
  <si>
    <t>Salão mãos de fada</t>
  </si>
  <si>
    <t>+55 99 98109-1095</t>
  </si>
  <si>
    <t>+5599981091095</t>
  </si>
  <si>
    <t>R. Bom Jesus - Setúbal, Bacabal - MA, 65700-000, Brasil</t>
  </si>
  <si>
    <t>-4.2104653</t>
  </si>
  <si>
    <t>-44.7822176</t>
  </si>
  <si>
    <t>https://www.google.com/maps/search/?api=1&amp;query=Sal%C3%A3o%20m%C3%A3os%20de%20fada&amp;query_place_id=ChIJW4tQ35FvigcRXnEtRZIHdLs</t>
  </si>
  <si>
    <t>CORPORE &amp; CIA</t>
  </si>
  <si>
    <t>+55 99 98139-3635</t>
  </si>
  <si>
    <t>+5599981393635</t>
  </si>
  <si>
    <t>próximo ao detran, R. Srg. Maurício, n°72, Bacabal - MA, 65700-000, Brasil</t>
  </si>
  <si>
    <t>-4.2207277</t>
  </si>
  <si>
    <t>-44.7778003</t>
  </si>
  <si>
    <t>https://www.google.com/maps/search/?api=1&amp;query=CORPORE%20%26%20CIA&amp;query_place_id=ChIJD-QXgCdvigcRCxcUu81GRHM</t>
  </si>
  <si>
    <t>Studio Melissa Mello</t>
  </si>
  <si>
    <t>+55 99 98459-7634</t>
  </si>
  <si>
    <t>+5599984597634</t>
  </si>
  <si>
    <t>Rua 1º de Maio, 378 - Esperança, Bacabal - MA, 65700-000, Brasil</t>
  </si>
  <si>
    <t>-4.2435836</t>
  </si>
  <si>
    <t>-44.7833507</t>
  </si>
  <si>
    <t>https://www.google.com/maps/search/?api=1&amp;query=Studio%20Melissa%20Mello&amp;query_place_id=ChIJGxzcBTlvigcRyxpdwS3bK0o</t>
  </si>
  <si>
    <t>Patriciamedeirosbeauty</t>
  </si>
  <si>
    <t>+55 99 98154-9147</t>
  </si>
  <si>
    <t>+5599981549147</t>
  </si>
  <si>
    <t>R. São Raimundo, 24, Bacabal - MA, 65700-000, Brasil</t>
  </si>
  <si>
    <t>-4.2173902</t>
  </si>
  <si>
    <t>-44.7884709</t>
  </si>
  <si>
    <t>https://www.google.com/maps/search/?api=1&amp;query=Patriciamedeirosbeauty&amp;query_place_id=ChIJg23U-nVvigcRTMoR4V70zPE</t>
  </si>
  <si>
    <t>Salāo Fik-Chick</t>
  </si>
  <si>
    <t>R. Cloris Miranda, 296, Bacabal - MA, 65700-000, Brasil</t>
  </si>
  <si>
    <t>-4.2297676</t>
  </si>
  <si>
    <t>-44.7806081</t>
  </si>
  <si>
    <t>https://www.google.com/maps/search/?api=1&amp;query=Sal%C4%81o%20Fik-Chick&amp;query_place_id=ChIJpzqOfNFuigcReK5Cz9fvcnI</t>
  </si>
  <si>
    <t>Duarte Barbearia</t>
  </si>
  <si>
    <t>+55 99 98536-3736</t>
  </si>
  <si>
    <t>+5599985363736</t>
  </si>
  <si>
    <t>R. Frederico Lêda, Bacabal - MA, 65700-000, Brasil</t>
  </si>
  <si>
    <t>-4.2457673</t>
  </si>
  <si>
    <t>-44.7817104</t>
  </si>
  <si>
    <t>https://www.google.com/maps/search/?api=1&amp;query=Duarte%20Barbearia&amp;query_place_id=ChIJH9Ky8rlvigcRKlAmBDMd3CI</t>
  </si>
  <si>
    <t>Salão Novo Estillo Unissex</t>
  </si>
  <si>
    <t>R. Frederico Lêda, 25, Bacabal - MA, 65700-000, Brasil</t>
  </si>
  <si>
    <t>-4.2457509</t>
  </si>
  <si>
    <t>-44.7818662</t>
  </si>
  <si>
    <t>https://www.google.com/maps/search/?api=1&amp;query=Sal%C3%A3o%20Novo%20Estillo%20Unissex&amp;query_place_id=ChIJGQWOu7FuigcRMlseVltevGI</t>
  </si>
  <si>
    <t>Barbearia Vinicius</t>
  </si>
  <si>
    <t>+55 99 99902-2132</t>
  </si>
  <si>
    <t>+5599999022132</t>
  </si>
  <si>
    <t>R. da Cruz, 59 - Setubal, Bacabal - MA, 65700-000, Brasil</t>
  </si>
  <si>
    <t>-4.2120091</t>
  </si>
  <si>
    <t>-44.7818905</t>
  </si>
  <si>
    <t>https://www.google.com/maps/search/?api=1&amp;query=Barbearia%20Vinicius&amp;query_place_id=ChIJo77yO9dvigcRza42dHsb2Kk</t>
  </si>
  <si>
    <t>Empório Das Unhas</t>
  </si>
  <si>
    <t>R. Florêncio Monteiro, 166, Bacabal - MA, 65700-000, Brasil</t>
  </si>
  <si>
    <t>-4.2358594</t>
  </si>
  <si>
    <t>-44.7791549</t>
  </si>
  <si>
    <t>https://www.google.com/maps/search/?api=1&amp;query=Emp%C3%B3rio%20Das%20Unhas&amp;query_place_id=ChIJidZSdcxuigcRWeuxWtUlHMg</t>
  </si>
  <si>
    <t>Studio de depilação Alexsandra Lima</t>
  </si>
  <si>
    <t>+55 99 98269-8879</t>
  </si>
  <si>
    <t>+5599982698879</t>
  </si>
  <si>
    <t>Prox so so areia AlAlmiro Paiva Fernandes miro paiva - R. 7, casa 2, Bacabal - MA, 65700-000, Brasil</t>
  </si>
  <si>
    <t>-4.2152592</t>
  </si>
  <si>
    <t>-44.7874744</t>
  </si>
  <si>
    <t>https://www.google.com/maps/search/?api=1&amp;query=Studio%20de%20depila%C3%A7%C3%A3o%20Alexsandra%20Lima&amp;query_place_id=ChIJg_mtk0BpigcRmP1aR1tuX40</t>
  </si>
  <si>
    <t>Esmalteria Sonho de cores</t>
  </si>
  <si>
    <t>+55 99 98419-2454</t>
  </si>
  <si>
    <t>+5599984192454</t>
  </si>
  <si>
    <t>R. José Bonifácio, 139 - Esperança, Bacabal - MA, 65700-000, Brasil</t>
  </si>
  <si>
    <t>-4.2422506</t>
  </si>
  <si>
    <t>-44.7831824</t>
  </si>
  <si>
    <t>https://www.google.com/maps/search/?api=1&amp;query=Esmalteria%20Sonho%20de%20cores&amp;query_place_id=ChIJ_aI6cbZvigcRgd1plCzYh_c</t>
  </si>
  <si>
    <t>Studio Cílios Laryssa Carvalho</t>
  </si>
  <si>
    <t>+55 99 98111-1128</t>
  </si>
  <si>
    <t>+5599981111128</t>
  </si>
  <si>
    <t>R. Castelo Branco, 281 - Jardim Valéria, Bacabal - MA, 65700-000, Brasil</t>
  </si>
  <si>
    <t>-4.2313366</t>
  </si>
  <si>
    <t>-44.7911939</t>
  </si>
  <si>
    <t>https://www.google.com/maps/search/?api=1&amp;query=Studio%20C%C3%ADlios%20Laryssa%20Carvalho&amp;query_place_id=ChIJ843xyThvigcRrqK-HzTkocQ</t>
  </si>
  <si>
    <t>jarderline</t>
  </si>
  <si>
    <t>-4.1974822</t>
  </si>
  <si>
    <t>-44.7861406</t>
  </si>
  <si>
    <t>https://www.google.com/maps/search/?api=1&amp;query=jarderline&amp;query_place_id=ChIJ_Vxzp7VvigcR3p1XLaKkN7o</t>
  </si>
  <si>
    <t>Fios Belos</t>
  </si>
  <si>
    <t>Rua nova, N85C - Alto bandeirante, Bacabal - MA, Brasil</t>
  </si>
  <si>
    <t>https://www.google.com/maps/search/?api=1&amp;query=Fios%20Belos&amp;query_place_id=ChIJH4lPBABvigcR14U5MLu5LDc</t>
  </si>
  <si>
    <t>A.H house</t>
  </si>
  <si>
    <t>Rua 04, n° 7 - Santa Elisa, Bacabal - MA, 65700-000, Brasil</t>
  </si>
  <si>
    <t>-4.2112507</t>
  </si>
  <si>
    <t>-44.7932164</t>
  </si>
  <si>
    <t>https://www.google.com/maps/search/?api=1&amp;query=A.H%20house&amp;query_place_id=ChIJ8d_EZwBvigcR3EzqIevouyg</t>
  </si>
  <si>
    <t>Fran Lima</t>
  </si>
  <si>
    <t>+55 99 98247-7291</t>
  </si>
  <si>
    <t>+5599982477291</t>
  </si>
  <si>
    <t>Rua,21, quadra, 48,casa -08,terra do sol, Bacabal - MA, Brasil</t>
  </si>
  <si>
    <t>-4.1982743</t>
  </si>
  <si>
    <t>-44.7843071</t>
  </si>
  <si>
    <t>https://www.google.com/maps/search/?api=1&amp;query=Fran%20Lima&amp;query_place_id=ChIJacQCTkZvigcRfSVcMlc5990</t>
  </si>
  <si>
    <t>Ratinho do Corte Hair Style</t>
  </si>
  <si>
    <t>+55 99 98401-8207</t>
  </si>
  <si>
    <t>+5599984018207</t>
  </si>
  <si>
    <t>R. Vinte e Oito de Julho, Bacabal - MA, 65700-000, Brasil</t>
  </si>
  <si>
    <t>-4.2265377</t>
  </si>
  <si>
    <t>-44.7825126</t>
  </si>
  <si>
    <t>https://www.google.com/maps/search/?api=1&amp;query=Ratinho%20do%20Corte%20Hair%20Style&amp;query_place_id=ChIJyf88bHJvigcRpnFAlLs_ty4</t>
  </si>
  <si>
    <t>LM.ESTÚDIODEBELEZA</t>
  </si>
  <si>
    <t>+55 99 98472-8221</t>
  </si>
  <si>
    <t>+5599984728221</t>
  </si>
  <si>
    <t>R. Frederico Lêda, 113, Bacabal - MA, 65700-000, Brasil</t>
  </si>
  <si>
    <t>-4.2472016</t>
  </si>
  <si>
    <t>-44.7819685</t>
  </si>
  <si>
    <t>https://www.google.com/maps/search/?api=1&amp;query=LM.EST%C3%9ADIODEBELEZA&amp;query_place_id=ChIJZ9b-oOBvigcRW6LE3hTfjMg</t>
  </si>
  <si>
    <t>Depilação é estética JoyceRezende</t>
  </si>
  <si>
    <t>+55 99 99174-7071</t>
  </si>
  <si>
    <t>+5599991747071</t>
  </si>
  <si>
    <t>R. Santa Helena, 21 - Vila Pedro Brito, Bacabal - MA, 65700-000, Brasil</t>
  </si>
  <si>
    <t>-4.2126187</t>
  </si>
  <si>
    <t>-44.7853736</t>
  </si>
  <si>
    <t>https://www.google.com/maps/search/?api=1&amp;query=Depila%C3%A7%C3%A3o%20%C3%A9%20est%C3%A9tica%20JoyceRezende&amp;query_place_id=ChIJDZOZgbtvigcRwS798Lk5axg</t>
  </si>
  <si>
    <t>Studio Gil Oliveira</t>
  </si>
  <si>
    <t>https://www.google.com/maps/search/?api=1&amp;query=Studio%20Gil%20Oliveira&amp;query_place_id=ChIJUY7IfwBvigcRPCR7tBWYqUw</t>
  </si>
  <si>
    <t>Mari Santos Nails</t>
  </si>
  <si>
    <t>+55 98 98479-9078</t>
  </si>
  <si>
    <t>+5598984799078</t>
  </si>
  <si>
    <t>Avenida Lins, 06 - Residencial Novo Horizonte, Bacabal - MA, 65700-000, Brasil</t>
  </si>
  <si>
    <t>-4.2148274</t>
  </si>
  <si>
    <t>-44.7813212</t>
  </si>
  <si>
    <t>https://www.google.com/maps/search/?api=1&amp;query=Mari%20Santos%20Nails&amp;query_place_id=ChIJjWjjMQBvigcRciAkNHkw17o</t>
  </si>
  <si>
    <t>Rayane santos manicure</t>
  </si>
  <si>
    <t>+55 99 98523-7165</t>
  </si>
  <si>
    <t>+5599985237165</t>
  </si>
  <si>
    <t>R. Maneco Mendes Pinto, 112 - Trizidela, Bacabal - MA, 65700-000, Brasil</t>
  </si>
  <si>
    <t>-4.2328623</t>
  </si>
  <si>
    <t>-44.7722468</t>
  </si>
  <si>
    <t>https://www.google.com/maps/search/?api=1&amp;query=Rayane%20santos%20manicure&amp;query_place_id=ChIJB-xWX41pigcRS1cuD6aBZAg</t>
  </si>
  <si>
    <t>STUDIO JAMESCONCEPT</t>
  </si>
  <si>
    <t>+55 99 98450-1426</t>
  </si>
  <si>
    <t>+5599984501426</t>
  </si>
  <si>
    <t>R. Amazonas, Bacabal - MA, 65600-000, Brasil</t>
  </si>
  <si>
    <t>-4.213559</t>
  </si>
  <si>
    <t>-44.7863194</t>
  </si>
  <si>
    <t>https://www.google.com/maps/search/?api=1&amp;query=STUDIO%20JAMESCONCEPT&amp;query_place_id=ChIJAef8dT1vigcREryPzk6svJc</t>
  </si>
  <si>
    <t>Netto barbershop</t>
  </si>
  <si>
    <t>+55 99 98135-3819</t>
  </si>
  <si>
    <t>+5599981353819</t>
  </si>
  <si>
    <t>R. Osvaldo Cruz, 218, Bacabal - MA, 65700-000, Brasil</t>
  </si>
  <si>
    <t>-4.229289</t>
  </si>
  <si>
    <t>-44.7781279</t>
  </si>
  <si>
    <t>https://www.google.com/maps/search/?api=1&amp;query=Netto%20barbershop&amp;query_place_id=ChIJAwsO_0JvigcRX2WuaPMMEDM</t>
  </si>
  <si>
    <t>BARBEARIA LK</t>
  </si>
  <si>
    <t>+55 99 99227-7936</t>
  </si>
  <si>
    <t>+5599992277936</t>
  </si>
  <si>
    <t>Avenida 01 , Cohab, Av. Cohab, 01 - Box 26, Bacabal - MA, 65700-000, Brasil</t>
  </si>
  <si>
    <t>-4.2261166</t>
  </si>
  <si>
    <t>-44.7935154</t>
  </si>
  <si>
    <t>https://www.google.com/maps/search/?api=1&amp;query=BARBEARIA%20LK&amp;query_place_id=ChIJEdj4W5VvigcR_-BHUtwsgT4</t>
  </si>
  <si>
    <t>Laura Cosméticos e Variedades</t>
  </si>
  <si>
    <t>+55 99 98191-1770</t>
  </si>
  <si>
    <t>+5599981911770</t>
  </si>
  <si>
    <t>R. Srg. Maurício, Nº11 - Areias, Bacabal - MA, 65700-000, Brasil</t>
  </si>
  <si>
    <t>-4.2187745</t>
  </si>
  <si>
    <t>-44.7774091</t>
  </si>
  <si>
    <t>https://www.google.com/maps/search/?api=1&amp;query=Laura%20Cosm%C3%A9ticos%20e%20Variedades&amp;query_place_id=ChIJAT-FtsxvigcRUVsd7MMZNnc</t>
  </si>
  <si>
    <t>Barbearia KADOSH</t>
  </si>
  <si>
    <t>+55 99 98277-6177</t>
  </si>
  <si>
    <t>+5599982776177</t>
  </si>
  <si>
    <t>R. Quatro - Vl Sao Joao, Bacabal - MA, 65700-000, Brasil</t>
  </si>
  <si>
    <t>-4.2458921</t>
  </si>
  <si>
    <t>-44.7833102</t>
  </si>
  <si>
    <t>https://www.google.com/maps/search/?api=1&amp;query=Barbearia%20KADOSH&amp;query_place_id=ChIJ6Tx_OLBuigcRMC_76WuPYm0</t>
  </si>
  <si>
    <t>Barbearia Madre Rosa</t>
  </si>
  <si>
    <t>+55 99 98452-5632</t>
  </si>
  <si>
    <t>+5599984525632</t>
  </si>
  <si>
    <t>R. Castelo Branco, Bacabal - MA, 65700-000, Brasil</t>
  </si>
  <si>
    <t>-4.2299375</t>
  </si>
  <si>
    <t>-44.7893138</t>
  </si>
  <si>
    <t>https://www.google.com/maps/search/?api=1&amp;query=Barbearia%20Madre%20Rosa&amp;query_place_id=ChIJV68FGppvigcRB-2LLi9pAtg</t>
  </si>
  <si>
    <t>Santos Barbearia</t>
  </si>
  <si>
    <t>+55 99 98424-9864</t>
  </si>
  <si>
    <t>+5599984249864</t>
  </si>
  <si>
    <t>R. Maranhão Sobrinho - Centro, Bacabal - MA, 65700-000, Brasil</t>
  </si>
  <si>
    <t>-4.2361188</t>
  </si>
  <si>
    <t>-44.7799418</t>
  </si>
  <si>
    <t>https://www.google.com/maps/search/?api=1&amp;query=Santos%20Barbearia&amp;query_place_id=ChIJRxnEo2pvigcRqKQWWoQDkjg</t>
  </si>
  <si>
    <t>Sr.Barbershop</t>
  </si>
  <si>
    <t>+55 99 98250-6968</t>
  </si>
  <si>
    <t>+5599982506968</t>
  </si>
  <si>
    <t>R. Vinte e Oito de Julho, 382 - centro, Bacabal - MA, 65700-000, Brasil</t>
  </si>
  <si>
    <t>-4.2298104</t>
  </si>
  <si>
    <t>-44.7801749</t>
  </si>
  <si>
    <t>https://www.google.com/maps/search/?api=1&amp;query=Sr.Barbershop&amp;query_place_id=ChIJo0K_v89vigcRQWWok7mU52g</t>
  </si>
  <si>
    <t>Júnior's Barbearia</t>
  </si>
  <si>
    <t>+55 99 98160-4991</t>
  </si>
  <si>
    <t>+5599981604991</t>
  </si>
  <si>
    <t>R. Amazonas - Vila Pedro Brito, Bacabal - MA, 65700-000, Brasil</t>
  </si>
  <si>
    <t>-4.213602</t>
  </si>
  <si>
    <t>-44.7861061</t>
  </si>
  <si>
    <t>https://www.google.com/maps/search/?api=1&amp;query=J%C3%BAnior's%20Barbearia&amp;query_place_id=ChIJuQbUpS5vigcR0IfI-OSdWF8</t>
  </si>
  <si>
    <t>Jotape barbearia</t>
  </si>
  <si>
    <t>+55 99 98459-1838</t>
  </si>
  <si>
    <t>+5599984591838</t>
  </si>
  <si>
    <t>R. da Areia, 551 - Bairro da areia, Bacabal - MA, 65700-000, Brasil</t>
  </si>
  <si>
    <t>-4.2167806</t>
  </si>
  <si>
    <t>-44.779601</t>
  </si>
  <si>
    <t>https://www.google.com/maps/search/?api=1&amp;query=Jotape%20barbearia&amp;query_place_id=ChIJRdUZVt5vigcRVNv15j05yUk</t>
  </si>
  <si>
    <t>Soares barbearia</t>
  </si>
  <si>
    <t>+55 98 98508-8579</t>
  </si>
  <si>
    <t>+5598985088579</t>
  </si>
  <si>
    <t>R. Frederico Lêda, 772 - Vila São João, Bacabal - MA, 65700-000, Brasil</t>
  </si>
  <si>
    <t>-4.2441765</t>
  </si>
  <si>
    <t>-44.7818922</t>
  </si>
  <si>
    <t>https://www.google.com/maps/search/?api=1&amp;query=Soares%20barbearia&amp;query_place_id=ChIJU5l-Ba5vigcRwjXZyryObus</t>
  </si>
  <si>
    <t>BARBEARIA SERGIO</t>
  </si>
  <si>
    <t>+55 99 98191-1250</t>
  </si>
  <si>
    <t>+5599981911250</t>
  </si>
  <si>
    <t>-4.2248784</t>
  </si>
  <si>
    <t>-44.789769</t>
  </si>
  <si>
    <t>https://www.google.com/maps/search/?api=1&amp;query=BARBEARIA%20SERGIO&amp;query_place_id=ChIJ5xjtNN9uigcRRfYkxVm6VCM</t>
  </si>
  <si>
    <t>Barbearia Prime</t>
  </si>
  <si>
    <t>+55 99 98269-6534</t>
  </si>
  <si>
    <t>+5599982696534</t>
  </si>
  <si>
    <t>R. Maranhão Sobrinho, 1117 - Centro, Bacabal - MA, 65700-000, Brasil</t>
  </si>
  <si>
    <t>-4.230362</t>
  </si>
  <si>
    <t>-44.7837926</t>
  </si>
  <si>
    <t>https://www.google.com/maps/search/?api=1&amp;query=Barbearia%20Prime&amp;query_place_id=ChIJ0Vml2chvigcRQ6fO56nd_wA</t>
  </si>
  <si>
    <t>Barbearia Damata</t>
  </si>
  <si>
    <t>+55 99 98184-7850</t>
  </si>
  <si>
    <t>+5599981847850</t>
  </si>
  <si>
    <t>R. Cloris Miranda - Centro, Bacabal - MA, 65700-000, Brasil</t>
  </si>
  <si>
    <t>-4.2292764</t>
  </si>
  <si>
    <t>-44.7799148</t>
  </si>
  <si>
    <t>https://www.google.com/maps/search/?api=1&amp;query=Barbearia%20Damata&amp;query_place_id=ChIJSf37d9RuigcR-lNAcKkGcu8</t>
  </si>
  <si>
    <t>Studio de Sobrancelhas Raquel Lima</t>
  </si>
  <si>
    <t>Rua 24, quadra 51 - casa 05 - Terra do Sol 5, Bacabal - MA, 65700-000, Brasil</t>
  </si>
  <si>
    <t>https://www.google.com/maps/search/?api=1&amp;query=Studio%20de%20Sobrancelhas%20Raquel%20Lima&amp;query_place_id=ChIJ5ZfmTQBvigcRh8yDgnqEDNU</t>
  </si>
  <si>
    <t>Carol Palhano designer de sobrancelhas</t>
  </si>
  <si>
    <t>+55 99 98235-4167</t>
  </si>
  <si>
    <t>+5599982354167</t>
  </si>
  <si>
    <t>Residência terra do sol 3, casa 40, Bacabal - MA, 65700-000, Brasil</t>
  </si>
  <si>
    <t>-4.1985964</t>
  </si>
  <si>
    <t>-44.7860571</t>
  </si>
  <si>
    <t>https://www.google.com/maps/search/?api=1&amp;query=Carol%20Palhano%20designer%20de%20sobrancelhas&amp;query_place_id=ChIJ3_eEoE5vigcRL9HVngbJ8tU</t>
  </si>
  <si>
    <t>To Na Makeunhas</t>
  </si>
  <si>
    <t>+55 99 99125-2510</t>
  </si>
  <si>
    <t>+5599991252510</t>
  </si>
  <si>
    <t>-4.2150077</t>
  </si>
  <si>
    <t>-44.7751544</t>
  </si>
  <si>
    <t>https://www.google.com/maps/search/?api=1&amp;query=To%20Na%20Makeunhas&amp;query_place_id=ChIJZ8T20cxoigcRakwsDaipcz0</t>
  </si>
  <si>
    <t>Florisbela ESMALTERIA</t>
  </si>
  <si>
    <t>Estr. Bela Vista - Bairro Dareia, Bacabal - MA, 65700-000, Brasil</t>
  </si>
  <si>
    <t>-4.216596</t>
  </si>
  <si>
    <t>-44.7873774</t>
  </si>
  <si>
    <t>https://www.google.com/maps/search/?api=1&amp;query=Florisbela%20ESMALTERIA&amp;query_place_id=ChIJofdzKiVvigcR8kFeQvcRNU8</t>
  </si>
  <si>
    <t>Estúdio Fernanda Ferreira</t>
  </si>
  <si>
    <t>+55 99 98175-7095</t>
  </si>
  <si>
    <t>+5599981757095</t>
  </si>
  <si>
    <t>R. Um, 10 - Vl Frei Solano, Bacabal - MA, 65700-000 Vl Frei Solano, Bacabal -Ma, 65700000, Bacabal - MA, 65700-000, Brasil</t>
  </si>
  <si>
    <t>-4.2081675</t>
  </si>
  <si>
    <t>-44.7908755</t>
  </si>
  <si>
    <t>https://www.google.com/maps/search/?api=1&amp;query=Est%C3%BAdio%20Fernanda%20Ferreira&amp;query_place_id=ChIJ9cojnhNtigcRsQNYy4wimKg</t>
  </si>
  <si>
    <t>Rayane_nails</t>
  </si>
  <si>
    <t>+55 99 98156-3417</t>
  </si>
  <si>
    <t>+5599981563417</t>
  </si>
  <si>
    <t>R. das Flôres, Bacabal - MA, 65700-000, Brasil</t>
  </si>
  <si>
    <t>-4.2126462</t>
  </si>
  <si>
    <t>-44.7826329</t>
  </si>
  <si>
    <t>https://www.google.com/maps/search/?api=1&amp;query=Rayane_nails&amp;query_place_id=ChIJP31U3wlvigcRinOqE8jLnjA</t>
  </si>
  <si>
    <t>Bellas Unhas Esmalteria</t>
  </si>
  <si>
    <t>+55 99 98253-3726</t>
  </si>
  <si>
    <t>+5599982533726</t>
  </si>
  <si>
    <t>-4.2404115</t>
  </si>
  <si>
    <t>-44.7837596</t>
  </si>
  <si>
    <t>https://www.google.com/maps/search/?api=1&amp;query=Bellas%20Unhas%20Esmalteria&amp;query_place_id=ChIJ8WBqpCJvigcRqA8cZiWcHqg</t>
  </si>
  <si>
    <t>Ana Maria Designer de Unhas</t>
  </si>
  <si>
    <t>+55 99 98433-5543</t>
  </si>
  <si>
    <t>+5599984335543</t>
  </si>
  <si>
    <t>R. São Domingos, Bacabal - MA, 65700-000, Brasil</t>
  </si>
  <si>
    <t>-4.2157617</t>
  </si>
  <si>
    <t>-44.7920311</t>
  </si>
  <si>
    <t>https://www.google.com/maps/search/?api=1&amp;query=Ana%20Maria%20Designer%20de%20Unhas&amp;query_place_id=ChIJpzhXDwlvigcRdAQ8u3GDbqA</t>
  </si>
  <si>
    <t>Cleiris Alexandre</t>
  </si>
  <si>
    <t>+55 99 98411-6225</t>
  </si>
  <si>
    <t>+5599984116225</t>
  </si>
  <si>
    <t>2, Tv. Luís Domingues Segundo, 66 - Cururupu, Bacabal - MA, 65700-000, Brasil</t>
  </si>
  <si>
    <t>-4.2418183</t>
  </si>
  <si>
    <t>-44.7804108</t>
  </si>
  <si>
    <t>https://www.google.com/maps/search/?api=1&amp;query=Cleiris%20Alexandre&amp;query_place_id=ChIJO73_ophvigcR4aukR1sLk04</t>
  </si>
  <si>
    <t>Jesus Manicure</t>
  </si>
  <si>
    <t>+55 99 98170-4995</t>
  </si>
  <si>
    <t>+5599981704995</t>
  </si>
  <si>
    <t>R. Cinco - Casa 6, Bacabal - MA, 65700-000, Brasil</t>
  </si>
  <si>
    <t>-4.2465585</t>
  </si>
  <si>
    <t>-44.7820296</t>
  </si>
  <si>
    <t>https://www.google.com/maps/search/?api=1&amp;query=Jesus%20Manicure&amp;query_place_id=ChIJuw3GaW9vigcRb2vKRXVH9R8</t>
  </si>
  <si>
    <t>Ingridy nails Designer</t>
  </si>
  <si>
    <t>+55 99 98481-1238</t>
  </si>
  <si>
    <t>+5599984811238</t>
  </si>
  <si>
    <t>R. da Areia, Bacabal - MA, 65700-000, Brasil</t>
  </si>
  <si>
    <t>-4.2166704</t>
  </si>
  <si>
    <t>-44.7793974</t>
  </si>
  <si>
    <t>https://www.google.com/maps/search/?api=1&amp;query=Ingridy%20nails%20Designer&amp;query_place_id=ChIJrU-Z8AJvigcRLoLgQ-6SM-M</t>
  </si>
  <si>
    <t>Unhas da eva</t>
  </si>
  <si>
    <t>+55 99 98167-1096</t>
  </si>
  <si>
    <t>+5599981671096</t>
  </si>
  <si>
    <t>R. Dois, quadra 3 - n/13 - vila frei solano, Bacabal - MA, 65700-000, Brasil</t>
  </si>
  <si>
    <t>-4.2083656</t>
  </si>
  <si>
    <t>-44.7908394</t>
  </si>
  <si>
    <t>https://www.google.com/maps/search/?api=1&amp;query=Unhas%20da%20eva&amp;query_place_id=ChIJJaldKxpvigcRE8aGtVCFBmU</t>
  </si>
  <si>
    <t>Sombrancelhas e Depilações</t>
  </si>
  <si>
    <t>+55 99 98110-1181</t>
  </si>
  <si>
    <t>+5599981101181</t>
  </si>
  <si>
    <t>BR-316, Bacabal - MA, 65700-000, Brasil</t>
  </si>
  <si>
    <t>-4.2234489</t>
  </si>
  <si>
    <t>-44.7919629</t>
  </si>
  <si>
    <t>https://www.google.com/maps/search/?api=1&amp;query=Sombrancelhas%20e%20Depila%C3%A7%C3%B5es&amp;query_place_id=ChIJgScCAzxvigcRxTDx5D46sEM</t>
  </si>
  <si>
    <t>Edianecris _beauty</t>
  </si>
  <si>
    <t>Quadra, 43 - casa 21 - Terra do Sol 4, Bacabal - MA, 65700-000, Brasil</t>
  </si>
  <si>
    <t>-4.1965493</t>
  </si>
  <si>
    <t>-44.7833533</t>
  </si>
  <si>
    <t>https://www.google.com/maps/search/?api=1&amp;query=Edianecris%20_beauty&amp;query_place_id=ChIJj6IPcMNvigcRbCWpJh-pWZ0</t>
  </si>
  <si>
    <t>Salão de Beleza e Maquiagem</t>
  </si>
  <si>
    <t>Boutique Da Radja</t>
  </si>
  <si>
    <t>+55 99 98459-2832</t>
  </si>
  <si>
    <t>+5599984592832</t>
  </si>
  <si>
    <t>R. Teixeira de Freitas - Bairro da esperança, Bacabal - MA, 65700-000, Brasil</t>
  </si>
  <si>
    <t>-4.2396939</t>
  </si>
  <si>
    <t>-44.7856046</t>
  </si>
  <si>
    <t>https://www.google.com/maps/search/?api=1&amp;query=Boutique%20Da%20Radja&amp;query_place_id=ChIJPbZwLpVvigcRd0GhTJrTZCo</t>
  </si>
  <si>
    <t>Shellen Mayara Makeup</t>
  </si>
  <si>
    <t>+55 99 99113-4772</t>
  </si>
  <si>
    <t>+5599991134772</t>
  </si>
  <si>
    <t>-4.230616</t>
  </si>
  <si>
    <t>-44.7866265</t>
  </si>
  <si>
    <t>https://www.google.com/maps/search/?api=1&amp;query=Shellen%20Mayara%20Makeup&amp;query_place_id=ChIJsZEjVzVvigcRLDiiXOzWUZ4</t>
  </si>
  <si>
    <t>Maquiagem profissional</t>
  </si>
  <si>
    <t>+55 99 98461-7373</t>
  </si>
  <si>
    <t>+5599984617373</t>
  </si>
  <si>
    <t>R. Djalma Dutra - Areia, Bacabal - MA, 65700-000, Brasil</t>
  </si>
  <si>
    <t>-4.2265762</t>
  </si>
  <si>
    <t>-44.7703552</t>
  </si>
  <si>
    <t>https://www.google.com/maps/search/?api=1&amp;query=Maquiagem%20profissional&amp;query_place_id=ChIJY0TbvcdvigcRKOI1C5KCdSU</t>
  </si>
  <si>
    <t>Elis sobrancelhas</t>
  </si>
  <si>
    <t>+55 99 98405-7054</t>
  </si>
  <si>
    <t>+5599984057054</t>
  </si>
  <si>
    <t>R. São Vicente de Paula, Bacabal - MA, 65700-000, Brasil</t>
  </si>
  <si>
    <t>-4.2172851</t>
  </si>
  <si>
    <t>-44.7788786</t>
  </si>
  <si>
    <t>https://www.google.com/maps/search/?api=1&amp;query=Elis%20sobrancelhas&amp;query_place_id=ChIJQanH5c5vigcR4XjWSXI-tRw</t>
  </si>
  <si>
    <t>Rafaely Borges</t>
  </si>
  <si>
    <t>R. Getúlio Vargas, Bacabal - MA, 65700-000, Brasil</t>
  </si>
  <si>
    <t>-4.2349884</t>
  </si>
  <si>
    <t>-44.7820616</t>
  </si>
  <si>
    <t>https://www.google.com/maps/search/?api=1&amp;query=Rafaely%20Borges&amp;query_place_id=ChIJV2dWHQBvigcRDBduT67pP0w</t>
  </si>
  <si>
    <t>Polly Esmalteria</t>
  </si>
  <si>
    <t>R. Dez, 60b, Bacabal - MA, 65700-000, Brasil</t>
  </si>
  <si>
    <t>-4.2490342</t>
  </si>
  <si>
    <t>-44.7832358</t>
  </si>
  <si>
    <t>https://www.google.com/maps/search/?api=1&amp;query=Polly%20Esmalteria&amp;query_place_id=ChIJJyIPSgBvigcRS78Cu_1Eisc</t>
  </si>
  <si>
    <t>Corpo bronzeado</t>
  </si>
  <si>
    <t>+55 99 99647-7126</t>
  </si>
  <si>
    <t>+5599996477126</t>
  </si>
  <si>
    <t>R. São João - Centro, Bacabal - MA, 65700-000, Brasil</t>
  </si>
  <si>
    <t>-4.2295486</t>
  </si>
  <si>
    <t>-44.7779644</t>
  </si>
  <si>
    <t>https://www.google.com/maps/search/?api=1&amp;query=Corpo%20bronzeado&amp;query_place_id=ChIJOUHGSbhvigcRsdoIOrcXyJs</t>
  </si>
  <si>
    <t>Sonho de Cores</t>
  </si>
  <si>
    <t>https://www.google.com/maps/search/?api=1&amp;query=Sonho%20de%20Cores&amp;query_place_id=ChIJHfP3SjIsSoERAagZqFeBtHg</t>
  </si>
  <si>
    <t>Antônia Meneses</t>
  </si>
  <si>
    <t>+55 99 98466-1064</t>
  </si>
  <si>
    <t>+5599984661064</t>
  </si>
  <si>
    <t>https://www.google.com/maps/search/?api=1&amp;query=Ant%C3%B4nia%20Meneses&amp;query_place_id=ChIJ5224QbIbzawRWlRUdMy1AGg</t>
  </si>
  <si>
    <t>Salão espaço Dellas 💖</t>
  </si>
  <si>
    <t>P9FF+C8, Bacabal - MA, 65708-000, Brasil</t>
  </si>
  <si>
    <t>-4.2764945</t>
  </si>
  <si>
    <t>-44.6267639</t>
  </si>
  <si>
    <t>https://www.google.com/maps/search/?api=1&amp;query=Sal%C3%A3o%20espa%C3%A7o%20Dellas%20%F0%9F%92%96&amp;query_place_id=ChIJgSWjCwBBigcRWgknWWxWDpw</t>
  </si>
  <si>
    <t>Barbearia W.M</t>
  </si>
  <si>
    <t>Rua do codó - povoado centro dos teles, Bom Lugar - MA, 65710-000, Brasil</t>
  </si>
  <si>
    <t>-4.2742684</t>
  </si>
  <si>
    <t>-45.0440473</t>
  </si>
  <si>
    <t>https://www.google.com/maps/search/?api=1&amp;query=Barbearia%20W.M&amp;query_place_id=ChIJn3VJSgA1y5IRB0pL1Bn1ZAI</t>
  </si>
  <si>
    <t>Espaço PRO</t>
  </si>
  <si>
    <t>+55 99 98271-0893</t>
  </si>
  <si>
    <t>+5599982710893</t>
  </si>
  <si>
    <t>-4.2300659</t>
  </si>
  <si>
    <t>-44.7912152</t>
  </si>
  <si>
    <t>https://www.google.com/maps/search/?api=1&amp;query=Espa%C3%A7o%20PRO&amp;query_place_id=ChIJCcM8HgFvigcRtlLpJEAjV0I</t>
  </si>
  <si>
    <t>Barbearía Da Mentira</t>
  </si>
  <si>
    <t>R. da Esperança, 401 - Centro, Bacabal - MA, 65700-000, Brasil</t>
  </si>
  <si>
    <t>-4.2405554</t>
  </si>
  <si>
    <t>-44.7850472</t>
  </si>
  <si>
    <t>https://www.google.com/maps/search/?api=1&amp;query=Barbear%C3%ADa%20Da%20Mentira&amp;query_place_id=ChIJu3SLJ7huigcRk3AJAr8y6Ew</t>
  </si>
  <si>
    <t>BM Barbershop Barbearia</t>
  </si>
  <si>
    <t>+55 11 96636-6259</t>
  </si>
  <si>
    <t>+5511966366259</t>
  </si>
  <si>
    <t>R. Srg. Maurício, 21 A - Centro, Bacabal - MA, 65700-000, Brasil</t>
  </si>
  <si>
    <t>-4.2219056</t>
  </si>
  <si>
    <t>-44.7778251</t>
  </si>
  <si>
    <t>https://www.google.com/maps/search/?api=1&amp;query=BM%20Barbershop%20Barbearia&amp;query_place_id=ChIJd2kx0kJvigcRtO7kGLMiR5Y</t>
  </si>
  <si>
    <t>BRASIL BARBEARIA</t>
  </si>
  <si>
    <t>Av. Um, 30 - Cohabinha, Bacabal - MA, 65700-000, Brasil</t>
  </si>
  <si>
    <t>-4.2266217</t>
  </si>
  <si>
    <t>-44.7932938</t>
  </si>
  <si>
    <t>https://www.google.com/maps/search/?api=1&amp;query=BRASIL%20BARBEARIA&amp;query_place_id=ChIJnZ_nFd5uigcRRnqj-jVwNR8</t>
  </si>
  <si>
    <t>Barbearia waves</t>
  </si>
  <si>
    <t>+55 99 98196-3799</t>
  </si>
  <si>
    <t>+5599981963799</t>
  </si>
  <si>
    <t>R. 2 - Antigo campo de pouso, Bacabal - MA, 65700-000, Brasil</t>
  </si>
  <si>
    <t>-4.2418904</t>
  </si>
  <si>
    <t>-44.7813285</t>
  </si>
  <si>
    <t>https://www.google.com/maps/search/?api=1&amp;query=Barbearia%20waves&amp;query_place_id=ChIJCfOYkgJvigcRWyf7KdO6amQ</t>
  </si>
  <si>
    <t>Andrad`s Barber</t>
  </si>
  <si>
    <t>+55 99 98224-1388</t>
  </si>
  <si>
    <t>+5599982241388</t>
  </si>
  <si>
    <t>R. Treze de Outubro - Coelho Dias, Bacabal - MA, 65700-000, Brasil</t>
  </si>
  <si>
    <t>-4.2168697</t>
  </si>
  <si>
    <t>-44.7928232</t>
  </si>
  <si>
    <t>https://www.google.com/maps/search/?api=1&amp;query=Andrad%60s%20Barber&amp;query_place_id=ChIJX03uBFFvigcRyltKHyKlnpc</t>
  </si>
  <si>
    <t>Den grau barbearia</t>
  </si>
  <si>
    <t>R. São Vicente de Paula - Bairro da areia, Bacabal - MA, 65700-000, Brasil</t>
  </si>
  <si>
    <t>-4.2178984</t>
  </si>
  <si>
    <t>-44.7786952</t>
  </si>
  <si>
    <t>https://www.google.com/maps/search/?api=1&amp;query=Den%20grau%20barbearia&amp;query_place_id=ChIJ65wTlDZvigcRAN81RvY5foc</t>
  </si>
  <si>
    <t>Thiago barber shop</t>
  </si>
  <si>
    <t>+55 99 98405-9832</t>
  </si>
  <si>
    <t>+5599984059832</t>
  </si>
  <si>
    <t>-4.2322106</t>
  </si>
  <si>
    <t>-44.7825362</t>
  </si>
  <si>
    <t>https://www.google.com/maps/search/?api=1&amp;query=Thiago%20barber%20shop&amp;query_place_id=ChIJsb5v6m1vigcRdatU01GmL_A</t>
  </si>
  <si>
    <t>Tropa Do Barbeiro</t>
  </si>
  <si>
    <t>+55 99 98278-0957</t>
  </si>
  <si>
    <t>+5599982780957</t>
  </si>
  <si>
    <t>R. Rui Barbosa, Bacabal - MA, 65700-000, Brasil</t>
  </si>
  <si>
    <t>-4.2276816</t>
  </si>
  <si>
    <t>-44.7797346</t>
  </si>
  <si>
    <t>https://www.google.com/maps/search/?api=1&amp;query=Tropa%20Do%20Barbeiro&amp;query_place_id=ChIJFRQA1XNvigcRnG-SIbGN8vU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</si>
</sst>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ESPA%C3%87O%20DE%20BELEZA%20ELIS&amp;query_place_id=ChIJqRL-PgBvigcRW9_oElef6CM" TargetMode="External"/><Relationship Id="rId190" Type="http://schemas.openxmlformats.org/officeDocument/2006/relationships/hyperlink" Target="https://www.google.com/maps/search/?api=1&amp;query=Corpo%20bronzeado&amp;query_place_id=ChIJOUHGSbhvigcRsdoIOrcXyJs" TargetMode="External"/><Relationship Id="rId42" Type="http://schemas.openxmlformats.org/officeDocument/2006/relationships/hyperlink" Target="https://www.google.com/maps/search/?api=1&amp;query=Studio%20Lucivan%20Lima&amp;query_place_id=ChIJCYMOG7BvigcR11JsiXVCJXo" TargetMode="External"/><Relationship Id="rId41" Type="http://schemas.openxmlformats.org/officeDocument/2006/relationships/hyperlink" Target="https://www.google.com/maps/search/?api=1&amp;query=Studio%20Thais%20Lucena&amp;query_place_id=ChIJAV8ygHtvigcR0IfVHR0qXpI" TargetMode="External"/><Relationship Id="rId44" Type="http://schemas.openxmlformats.org/officeDocument/2006/relationships/hyperlink" Target="https://www.google.com/maps/search/?api=1&amp;query=Studio%20Vanessa%20Valentin&amp;query_place_id=ChIJL6BykPtvigcR8bTsVlWVRBE" TargetMode="External"/><Relationship Id="rId194" Type="http://schemas.openxmlformats.org/officeDocument/2006/relationships/hyperlink" Target="https://www.google.com/maps/search/?api=1&amp;query=Barbearia%20W.M&amp;query_place_id=ChIJn3VJSgA1y5IRB0pL1Bn1ZAI" TargetMode="External"/><Relationship Id="rId43" Type="http://schemas.openxmlformats.org/officeDocument/2006/relationships/hyperlink" Target="https://www.google.com/maps/search/?api=1&amp;query=St%C3%BAdio%20de%20Beleza%20Vit%C3%B3ria%20R%C3%A9gia&amp;query_place_id=ChIJIWEOUSNvigcRZ9bhKN7-PRc" TargetMode="External"/><Relationship Id="rId193" Type="http://schemas.openxmlformats.org/officeDocument/2006/relationships/hyperlink" Target="https://www.google.com/maps/search/?api=1&amp;query=Sal%C3%A3o%20espa%C3%A7o%20Dellas%20%F0%9F%92%96&amp;query_place_id=ChIJgSWjCwBBigcRWgknWWxWDpw" TargetMode="External"/><Relationship Id="rId46" Type="http://schemas.openxmlformats.org/officeDocument/2006/relationships/hyperlink" Target="https://www.google.com/maps/search/?api=1&amp;query=Espa%C3%A7o%20de%20beleza%20Conselheiro%20e%20cida&amp;query_place_id=ChIJReC0gVFvigcR-QH7ZJ5MPb8" TargetMode="External"/><Relationship Id="rId192" Type="http://schemas.openxmlformats.org/officeDocument/2006/relationships/hyperlink" Target="https://www.google.com/maps/search/?api=1&amp;query=Ant%C3%B4nia%20Meneses&amp;query_place_id=ChIJ5224QbIbzawRWlRUdMy1AGg" TargetMode="External"/><Relationship Id="rId45" Type="http://schemas.openxmlformats.org/officeDocument/2006/relationships/hyperlink" Target="https://www.google.com/maps/search/?api=1&amp;query=Nrj%20Studio%20De%20Beleza&amp;query_place_id=ChIJ3YYe-tduigcRA4awYzM4wgM" TargetMode="External"/><Relationship Id="rId191" Type="http://schemas.openxmlformats.org/officeDocument/2006/relationships/hyperlink" Target="https://www.google.com/maps/search/?api=1&amp;query=Sonho%20de%20Cores&amp;query_place_id=ChIJHfP3SjIsSoERAagZqFeBtHg" TargetMode="External"/><Relationship Id="rId48" Type="http://schemas.openxmlformats.org/officeDocument/2006/relationships/hyperlink" Target="https://www.google.com/maps/search/?api=1&amp;query=Kely%20Gomes%20Beleza%20e%20Cuidado&amp;query_place_id=ChIJp_FXas1vigcREatqYWR6bVo" TargetMode="External"/><Relationship Id="rId187" Type="http://schemas.openxmlformats.org/officeDocument/2006/relationships/hyperlink" Target="https://www.google.com/maps/search/?api=1&amp;query=Elis%20sobrancelhas&amp;query_place_id=ChIJQanH5c5vigcR4XjWSXI-tRw" TargetMode="External"/><Relationship Id="rId47" Type="http://schemas.openxmlformats.org/officeDocument/2006/relationships/hyperlink" Target="https://www.google.com/maps/search/?api=1&amp;query=Espa%C3%A7o%20Da%20Beleza%20Su%C3%AAla%20Segadilha&amp;query_place_id=ChIJP1LQG9JuigcRKlHY9BXf58g" TargetMode="External"/><Relationship Id="rId186" Type="http://schemas.openxmlformats.org/officeDocument/2006/relationships/hyperlink" Target="https://www.google.com/maps/search/?api=1&amp;query=Maquiagem%20profissional&amp;query_place_id=ChIJY0TbvcdvigcRKOI1C5KCdSU" TargetMode="External"/><Relationship Id="rId185" Type="http://schemas.openxmlformats.org/officeDocument/2006/relationships/hyperlink" Target="https://www.google.com/maps/search/?api=1&amp;query=Shellen%20Mayara%20Makeup&amp;query_place_id=ChIJsZEjVzVvigcRLDiiXOzWUZ4" TargetMode="External"/><Relationship Id="rId49" Type="http://schemas.openxmlformats.org/officeDocument/2006/relationships/hyperlink" Target="https://www.google.com/maps/search/?api=1&amp;query=Studio%20Mariana%20Assun%C3%A7%C3%A3o&amp;query_place_id=ChIJ1xb3WldvigcReUGuyv9Oyr4" TargetMode="External"/><Relationship Id="rId184" Type="http://schemas.openxmlformats.org/officeDocument/2006/relationships/hyperlink" Target="https://www.google.com/maps/search/?api=1&amp;query=Boutique%20Da%20Radja&amp;query_place_id=ChIJPbZwLpVvigcRd0GhTJrTZCo" TargetMode="External"/><Relationship Id="rId189" Type="http://schemas.openxmlformats.org/officeDocument/2006/relationships/hyperlink" Target="https://www.google.com/maps/search/?api=1&amp;query=Polly%20Esmalteria&amp;query_place_id=ChIJJyIPSgBvigcRS78Cu_1Eisc" TargetMode="External"/><Relationship Id="rId188" Type="http://schemas.openxmlformats.org/officeDocument/2006/relationships/hyperlink" Target="https://www.google.com/maps/search/?api=1&amp;query=Rafaely%20Borges&amp;query_place_id=ChIJV2dWHQBvigcRDBduT67pP0w" TargetMode="External"/><Relationship Id="rId31" Type="http://schemas.openxmlformats.org/officeDocument/2006/relationships/hyperlink" Target="https://www.google.com/maps/search/?api=1&amp;query=Lm%20Nails%20Design&amp;query_place_id=ChIJ02jhimVvigcRiaHhM2POsSo" TargetMode="External"/><Relationship Id="rId30" Type="http://schemas.openxmlformats.org/officeDocument/2006/relationships/hyperlink" Target="https://www.google.com/maps/search/?api=1&amp;query=Studio%20Jamilly%20vit%C3%B3ria&amp;query_place_id=ChIJcXJQTQBvigcR0MWHd2GKd9M" TargetMode="External"/><Relationship Id="rId33" Type="http://schemas.openxmlformats.org/officeDocument/2006/relationships/hyperlink" Target="https://www.google.com/maps/search/?api=1&amp;query=Beijadas%20Pelo%20Sol&amp;query_place_id=ChIJCcohLeZuigcRbWaQfPUafrs" TargetMode="External"/><Relationship Id="rId183" Type="http://schemas.openxmlformats.org/officeDocument/2006/relationships/hyperlink" Target="https://www.google.com/maps/search/?api=1&amp;query=Edianecris%20_beauty&amp;query_place_id=ChIJj6IPcMNvigcRbCWpJh-pWZ0" TargetMode="External"/><Relationship Id="rId32" Type="http://schemas.openxmlformats.org/officeDocument/2006/relationships/hyperlink" Target="https://www.google.com/maps/search/?api=1&amp;query=Tain%C3%A1%20Cardoso%20Beauty&amp;query_place_id=ChIJgWiwUABvigcRHC-GDtw1KmM" TargetMode="External"/><Relationship Id="rId182" Type="http://schemas.openxmlformats.org/officeDocument/2006/relationships/hyperlink" Target="https://www.google.com/maps/search/?api=1&amp;query=Sombrancelhas%20e%20Depila%C3%A7%C3%B5es&amp;query_place_id=ChIJgScCAzxvigcRxTDx5D46sEM" TargetMode="External"/><Relationship Id="rId35" Type="http://schemas.openxmlformats.org/officeDocument/2006/relationships/hyperlink" Target="https://www.google.com/maps/search/?api=1&amp;query=Sal%C3%A3o%20Naldo%20Ferreira&amp;query_place_id=ChIJo9bIxd9uigcRv3jshMH43h4" TargetMode="External"/><Relationship Id="rId181" Type="http://schemas.openxmlformats.org/officeDocument/2006/relationships/hyperlink" Target="https://www.google.com/maps/search/?api=1&amp;query=Unhas%20da%20eva&amp;query_place_id=ChIJJaldKxpvigcRE8aGtVCFBmU" TargetMode="External"/><Relationship Id="rId34" Type="http://schemas.openxmlformats.org/officeDocument/2006/relationships/hyperlink" Target="https://www.google.com/maps/search/?api=1&amp;query=Studio%20Milena%20Santos&amp;query_place_id=ChIJ_6WLZABvigcRkoeOeBe_PIo" TargetMode="External"/><Relationship Id="rId180" Type="http://schemas.openxmlformats.org/officeDocument/2006/relationships/hyperlink" Target="https://www.google.com/maps/search/?api=1&amp;query=Ingridy%20nails%20Designer&amp;query_place_id=ChIJrU-Z8AJvigcRLoLgQ-6SM-M" TargetMode="External"/><Relationship Id="rId37" Type="http://schemas.openxmlformats.org/officeDocument/2006/relationships/hyperlink" Target="https://www.google.com/maps/search/?api=1&amp;query=Est%C3%BAdio%20de%20beleza%20MA%26TL&amp;query_place_id=ChIJ1zc6agBvigcRFkWrqP4LKu4" TargetMode="External"/><Relationship Id="rId176" Type="http://schemas.openxmlformats.org/officeDocument/2006/relationships/hyperlink" Target="https://www.google.com/maps/search/?api=1&amp;query=Bellas%20Unhas%20Esmalteria&amp;query_place_id=ChIJ8WBqpCJvigcRqA8cZiWcHqg" TargetMode="External"/><Relationship Id="rId36" Type="http://schemas.openxmlformats.org/officeDocument/2006/relationships/hyperlink" Target="https://www.google.com/maps/search/?api=1&amp;query=Eudiane%20Bronze&amp;query_place_id=ChIJp2VXCABvigcRhCqyv10spHo" TargetMode="External"/><Relationship Id="rId175" Type="http://schemas.openxmlformats.org/officeDocument/2006/relationships/hyperlink" Target="https://www.google.com/maps/search/?api=1&amp;query=Rayane_nails&amp;query_place_id=ChIJP31U3wlvigcRinOqE8jLnjA" TargetMode="External"/><Relationship Id="rId39" Type="http://schemas.openxmlformats.org/officeDocument/2006/relationships/hyperlink" Target="https://www.google.com/maps/search/?api=1&amp;query=Wm_tran%C3%A7as&amp;query_place_id=ChIJe328MGBvigcRNltAze_sB8Y" TargetMode="External"/><Relationship Id="rId174" Type="http://schemas.openxmlformats.org/officeDocument/2006/relationships/hyperlink" Target="https://www.google.com/maps/search/?api=1&amp;query=Est%C3%BAdio%20Fernanda%20Ferreira&amp;query_place_id=ChIJ9cojnhNtigcRsQNYy4wimKg" TargetMode="External"/><Relationship Id="rId38" Type="http://schemas.openxmlformats.org/officeDocument/2006/relationships/hyperlink" Target="https://www.google.com/maps/search/?api=1&amp;query=Cl%C3%ADnica%20TS%20Est%C3%A9tica&amp;query_place_id=ChIJb5vvP_lvigcRKj02lg43RAc" TargetMode="External"/><Relationship Id="rId173" Type="http://schemas.openxmlformats.org/officeDocument/2006/relationships/hyperlink" Target="https://www.google.com/maps/search/?api=1&amp;query=Florisbela%20ESMALTERIA&amp;query_place_id=ChIJofdzKiVvigcR8kFeQvcRNU8" TargetMode="External"/><Relationship Id="rId179" Type="http://schemas.openxmlformats.org/officeDocument/2006/relationships/hyperlink" Target="https://www.google.com/maps/search/?api=1&amp;query=Jesus%20Manicure&amp;query_place_id=ChIJuw3GaW9vigcRb2vKRXVH9R8" TargetMode="External"/><Relationship Id="rId178" Type="http://schemas.openxmlformats.org/officeDocument/2006/relationships/hyperlink" Target="https://www.google.com/maps/search/?api=1&amp;query=Cleiris%20Alexandre&amp;query_place_id=ChIJO73_ophvigcR4aukR1sLk04" TargetMode="External"/><Relationship Id="rId177" Type="http://schemas.openxmlformats.org/officeDocument/2006/relationships/hyperlink" Target="https://www.google.com/maps/search/?api=1&amp;query=Ana%20Maria%20Designer%20de%20Unhas&amp;query_place_id=ChIJpzhXDwlvigcRdAQ8u3GDbqA" TargetMode="External"/><Relationship Id="rId20" Type="http://schemas.openxmlformats.org/officeDocument/2006/relationships/hyperlink" Target="https://www.google.com/maps/search/?api=1&amp;query=Sal%C3%A3o%20Juliana%20Cabeleireira&amp;query_place_id=ChIJMRqkySFvigcRWOsGoglzaMI" TargetMode="External"/><Relationship Id="rId22" Type="http://schemas.openxmlformats.org/officeDocument/2006/relationships/hyperlink" Target="https://www.google.com/maps/search/?api=1&amp;query=Jessie%20cabeleireira&amp;query_place_id=ChIJ9ztpCoJvigcRQ7D6GZqSZSk" TargetMode="External"/><Relationship Id="rId21" Type="http://schemas.openxmlformats.org/officeDocument/2006/relationships/hyperlink" Target="https://www.google.com/maps/search/?api=1&amp;query=Wk_estudiodebeleza&amp;query_place_id=ChIJ3RpxFBVvigcR5CsJcm4Dj6Q" TargetMode="External"/><Relationship Id="rId24" Type="http://schemas.openxmlformats.org/officeDocument/2006/relationships/hyperlink" Target="https://www.google.com/maps/search/?api=1&amp;query=Sal%C3%A3o%20Realce&amp;query_place_id=ChIJ8ZC-UchuigcRWc2xpYq7jCs" TargetMode="External"/><Relationship Id="rId23" Type="http://schemas.openxmlformats.org/officeDocument/2006/relationships/hyperlink" Target="https://www.google.com/maps/search/?api=1&amp;query=Studio%20Rosilene%20Santos&amp;query_place_id=ChIJDxXHir5vigcRQ5DStg0n30o" TargetMode="External"/><Relationship Id="rId26" Type="http://schemas.openxmlformats.org/officeDocument/2006/relationships/hyperlink" Target="https://www.google.com/maps/search/?api=1&amp;query=Corpo%20Bronzeado%20estetica&amp;query_place_id=ChIJA7OGKABvigcRGhp-_SkfUFs" TargetMode="External"/><Relationship Id="rId25" Type="http://schemas.openxmlformats.org/officeDocument/2006/relationships/hyperlink" Target="https://www.google.com/maps/search/?api=1&amp;query=Sal%C3%A3o%20da%20Nalvinha&amp;query_place_id=ChIJUZ10zwJvigcR4_LEP4FQZwA" TargetMode="External"/><Relationship Id="rId28" Type="http://schemas.openxmlformats.org/officeDocument/2006/relationships/hyperlink" Target="https://www.google.com/maps/search/?api=1&amp;query=Espa%C3%A7o%20de%20Beleza%20Yanne&amp;query_place_id=ChIJt1PBPCdvigcR7cg3d3eG8M4" TargetMode="External"/><Relationship Id="rId27" Type="http://schemas.openxmlformats.org/officeDocument/2006/relationships/hyperlink" Target="https://www.google.com/maps/search/?api=1&amp;query=Iza%20Santos&amp;query_place_id=ChIJDUJFLxNvigcR__6ciSrIcx0" TargetMode="External"/><Relationship Id="rId29" Type="http://schemas.openxmlformats.org/officeDocument/2006/relationships/hyperlink" Target="https://www.google.com/maps/search/?api=1&amp;query=Nails_studio&amp;query_place_id=ChIJD_p0kIJvigcRBSLGshZuu18" TargetMode="External"/><Relationship Id="rId11" Type="http://schemas.openxmlformats.org/officeDocument/2006/relationships/hyperlink" Target="https://www.google.com/maps/search/?api=1&amp;query=Espa%C3%A7o%20Da%20Beleza%20Andr%C3%A9ia%20Cunnha&amp;query_place_id=ChIJAdCrJqRuigcRudbReNlpn7U" TargetMode="External"/><Relationship Id="rId10" Type="http://schemas.openxmlformats.org/officeDocument/2006/relationships/hyperlink" Target="https://www.google.com/maps/search/?api=1&amp;query=Est%C3%A9tica%20Paula%20Marcelly&amp;query_place_id=ChIJHzcn1iZvigcR3WOrFSAwmcg" TargetMode="External"/><Relationship Id="rId13" Type="http://schemas.openxmlformats.org/officeDocument/2006/relationships/hyperlink" Target="https://www.google.com/maps/search/?api=1&amp;query=Dona%20Crespa&amp;query_place_id=ChIJywPVPE1vigcRe09OMegTkXM" TargetMode="External"/><Relationship Id="rId12" Type="http://schemas.openxmlformats.org/officeDocument/2006/relationships/hyperlink" Target="https://www.google.com/maps/search/?api=1&amp;query=Barbearia%20do%20Leleco&amp;query_place_id=ChIJs2-P7d5ZigcRSK70p0mbDJ4" TargetMode="External"/><Relationship Id="rId15" Type="http://schemas.openxmlformats.org/officeDocument/2006/relationships/hyperlink" Target="https://www.google.com/maps/search/?api=1&amp;query=Espa%C3%A7o%20Valdene%20Gomez&amp;query_place_id=ChIJqQrqqHVvigcRCyFJVNgW3m4" TargetMode="External"/><Relationship Id="rId198" Type="http://schemas.openxmlformats.org/officeDocument/2006/relationships/hyperlink" Target="https://www.google.com/maps/search/?api=1&amp;query=BRASIL%20BARBEARIA&amp;query_place_id=ChIJnZ_nFd5uigcRRnqj-jVwNR8" TargetMode="External"/><Relationship Id="rId14" Type="http://schemas.openxmlformats.org/officeDocument/2006/relationships/hyperlink" Target="https://www.google.com/maps/search/?api=1&amp;query=Espa%C3%A7o%20Elinalda%20mega%20hair&amp;query_place_id=ChIJXWkjemlvigcRMvbp32dONQc" TargetMode="External"/><Relationship Id="rId197" Type="http://schemas.openxmlformats.org/officeDocument/2006/relationships/hyperlink" Target="https://www.google.com/maps/search/?api=1&amp;query=BM%20Barbershop%20Barbearia&amp;query_place_id=ChIJd2kx0kJvigcRtO7kGLMiR5Y" TargetMode="External"/><Relationship Id="rId17" Type="http://schemas.openxmlformats.org/officeDocument/2006/relationships/hyperlink" Target="https://www.google.com/maps/search/?api=1&amp;query=La%C3%ADs%20Gabrielli%20Makeup&amp;query_place_id=ChIJowE00OZuigcRx94lFo3boPI" TargetMode="External"/><Relationship Id="rId196" Type="http://schemas.openxmlformats.org/officeDocument/2006/relationships/hyperlink" Target="https://www.google.com/maps/search/?api=1&amp;query=Barbear%C3%ADa%20Da%20Mentira&amp;query_place_id=ChIJu3SLJ7huigcRk3AJAr8y6Ew" TargetMode="External"/><Relationship Id="rId16" Type="http://schemas.openxmlformats.org/officeDocument/2006/relationships/hyperlink" Target="https://www.google.com/maps/search/?api=1&amp;query=Salao%20Do%20Chin%C3%AAs%20-%20BARBER%20SHOP%20TUNAI%20MARINHO&amp;query_place_id=ChIJgxcsDtFuigcRTVruOOFKUSc" TargetMode="External"/><Relationship Id="rId195" Type="http://schemas.openxmlformats.org/officeDocument/2006/relationships/hyperlink" Target="https://www.google.com/maps/search/?api=1&amp;query=Espa%C3%A7o%20PRO&amp;query_place_id=ChIJCcM8HgFvigcRtlLpJEAjV0I" TargetMode="External"/><Relationship Id="rId19" Type="http://schemas.openxmlformats.org/officeDocument/2006/relationships/hyperlink" Target="https://www.google.com/maps/search/?api=1&amp;query=Espa%C3%A7o%20Driica%20Makeup&amp;query_place_id=ChIJcRzNrK1vigcRC8xSpw6RcLY" TargetMode="External"/><Relationship Id="rId18" Type="http://schemas.openxmlformats.org/officeDocument/2006/relationships/hyperlink" Target="https://www.google.com/maps/search/?api=1&amp;query=CarlMary&amp;query_place_id=ChIJuTR16u5vigcRpRMLZtk7p5I" TargetMode="External"/><Relationship Id="rId199" Type="http://schemas.openxmlformats.org/officeDocument/2006/relationships/hyperlink" Target="https://www.google.com/maps/search/?api=1&amp;query=Barbearia%20waves&amp;query_place_id=ChIJCfOYkgJvigcRWyf7KdO6amQ" TargetMode="External"/><Relationship Id="rId84" Type="http://schemas.openxmlformats.org/officeDocument/2006/relationships/hyperlink" Target="https://www.google.com/maps/search/?api=1&amp;query=Pintei%20e%20Amei%20Esmalteria&amp;query_place_id=ChIJZTrBWS1vigcRjWta9nAoWn0" TargetMode="External"/><Relationship Id="rId83" Type="http://schemas.openxmlformats.org/officeDocument/2006/relationships/hyperlink" Target="https://www.google.com/maps/search/?api=1&amp;query=Centro%20T%C3%A9cnico%20Cristiana%20Moura&amp;query_place_id=ChIJPwWala5vigcRcV0_DtWXtLk" TargetMode="External"/><Relationship Id="rId86" Type="http://schemas.openxmlformats.org/officeDocument/2006/relationships/hyperlink" Target="https://www.google.com/maps/search/?api=1&amp;query=Ana%20Souza%20sal%C3%A3o%20de%20Beleza&amp;query_place_id=ChIJQTfPAW1vigcRyzt7HACiY6s" TargetMode="External"/><Relationship Id="rId85" Type="http://schemas.openxmlformats.org/officeDocument/2006/relationships/hyperlink" Target="https://www.google.com/maps/search/?api=1&amp;query=SAL%C3%83O%20DA%20NETY%20SILVA&amp;query_place_id=ChIJnf0vUQBvigcRr_W7r30gP2w" TargetMode="External"/><Relationship Id="rId88" Type="http://schemas.openxmlformats.org/officeDocument/2006/relationships/hyperlink" Target="https://www.google.com/maps/search/?api=1&amp;query=Donna%20Esmalteria%20Bacabal&amp;query_place_id=ChIJNYyQeapvigcRT5BQUPcC10w" TargetMode="External"/><Relationship Id="rId150" Type="http://schemas.openxmlformats.org/officeDocument/2006/relationships/hyperlink" Target="https://www.google.com/maps/search/?api=1&amp;query=Ratinho%20do%20Corte%20Hair%20Style&amp;query_place_id=ChIJyf88bHJvigcRpnFAlLs_ty4" TargetMode="External"/><Relationship Id="rId87" Type="http://schemas.openxmlformats.org/officeDocument/2006/relationships/hyperlink" Target="https://www.google.com/maps/search/?api=1&amp;query=Espa%C3%A7o%20Leudy%20Cabelos&amp;query_place_id=ChIJu6XR7gNvigcRmDZQX2ozOjI" TargetMode="External"/><Relationship Id="rId89" Type="http://schemas.openxmlformats.org/officeDocument/2006/relationships/hyperlink" Target="https://www.google.com/maps/search/?api=1&amp;query=Irresist%C3%ADvel%20Esmalteria&amp;query_place_id=ChIJx3ShcI1vigcRYRLt_VxtFAo" TargetMode="External"/><Relationship Id="rId80" Type="http://schemas.openxmlformats.org/officeDocument/2006/relationships/hyperlink" Target="https://www.google.com/maps/search/?api=1&amp;query=Salao%20Styllus&amp;query_place_id=ChIJHe_zddNuigcRFq3zXpJfFms" TargetMode="External"/><Relationship Id="rId82" Type="http://schemas.openxmlformats.org/officeDocument/2006/relationships/hyperlink" Target="https://www.google.com/maps/search/?api=1&amp;query=Sal%C3%A3o%20de%20beleza&amp;query_place_id=ChIJraVQ0clvigcR3qvklB3IGa4" TargetMode="External"/><Relationship Id="rId81" Type="http://schemas.openxmlformats.org/officeDocument/2006/relationships/hyperlink" Target="https://www.google.com/maps/search/?api=1&amp;query=Elma%20Hair&amp;query_place_id=ChIJXyvBDrZuigcRPo_iBAMPbhM" TargetMode="External"/><Relationship Id="rId1" Type="http://schemas.openxmlformats.org/officeDocument/2006/relationships/hyperlink" Target="https://www.google.com/maps/search/?api=1&amp;query=F.A%20Studio%20de%20Beleza&amp;query_place_id=ChIJBUIDgJdvigcRxrh1vNeDR14" TargetMode="External"/><Relationship Id="rId2" Type="http://schemas.openxmlformats.org/officeDocument/2006/relationships/hyperlink" Target="https://www.google.com/maps/search/?api=1&amp;query=Studio%20Beleza%20%26%20Estetica&amp;query_place_id=ChIJ1z7KE99uigcR1uFQLA-ZNxY" TargetMode="External"/><Relationship Id="rId3" Type="http://schemas.openxmlformats.org/officeDocument/2006/relationships/hyperlink" Target="https://www.google.com/maps/search/?api=1&amp;query=BRUNA%20MACEDO%20BEAUTY%20STUDIO&amp;query_place_id=ChIJm7qugbZpigcRyiUmsic0YJM" TargetMode="External"/><Relationship Id="rId149" Type="http://schemas.openxmlformats.org/officeDocument/2006/relationships/hyperlink" Target="https://www.google.com/maps/search/?api=1&amp;query=Fran%20Lima&amp;query_place_id=ChIJacQCTkZvigcRfSVcMlc5990" TargetMode="External"/><Relationship Id="rId4" Type="http://schemas.openxmlformats.org/officeDocument/2006/relationships/hyperlink" Target="https://www.google.com/maps/search/?api=1&amp;query=Centro%20de%20beleza%20CBMARG%C3%94&amp;query_place_id=ChIJM9qLEgBvigcRzw0zNGPdjxA" TargetMode="External"/><Relationship Id="rId148" Type="http://schemas.openxmlformats.org/officeDocument/2006/relationships/hyperlink" Target="https://www.google.com/maps/search/?api=1&amp;query=A.H%20house&amp;query_place_id=ChIJ8d_EZwBvigcR3EzqIevouyg" TargetMode="External"/><Relationship Id="rId9" Type="http://schemas.openxmlformats.org/officeDocument/2006/relationships/hyperlink" Target="https://www.google.com/maps/search/?api=1&amp;query=Espa%C3%A7o%20de%20Beleza%20Rita%20Sousa&amp;query_place_id=ChIJdb6p5VRvigcRq2Rng8tpRtc" TargetMode="External"/><Relationship Id="rId143" Type="http://schemas.openxmlformats.org/officeDocument/2006/relationships/hyperlink" Target="https://www.google.com/maps/search/?api=1&amp;query=Studio%20de%20depila%C3%A7%C3%A3o%20Alexsandra%20Lima&amp;query_place_id=ChIJg_mtk0BpigcRmP1aR1tuX40" TargetMode="External"/><Relationship Id="rId142" Type="http://schemas.openxmlformats.org/officeDocument/2006/relationships/hyperlink" Target="https://www.google.com/maps/search/?api=1&amp;query=Emp%C3%B3rio%20Das%20Unhas&amp;query_place_id=ChIJidZSdcxuigcRWeuxWtUlHMg" TargetMode="External"/><Relationship Id="rId141" Type="http://schemas.openxmlformats.org/officeDocument/2006/relationships/hyperlink" Target="https://www.google.com/maps/search/?api=1&amp;query=Barbearia%20Vinicius&amp;query_place_id=ChIJo77yO9dvigcRza42dHsb2Kk" TargetMode="External"/><Relationship Id="rId140" Type="http://schemas.openxmlformats.org/officeDocument/2006/relationships/hyperlink" Target="https://www.google.com/maps/search/?api=1&amp;query=Sal%C3%A3o%20Novo%20Estillo%20Unissex&amp;query_place_id=ChIJGQWOu7FuigcRMlseVltevGI" TargetMode="External"/><Relationship Id="rId5" Type="http://schemas.openxmlformats.org/officeDocument/2006/relationships/hyperlink" Target="https://www.google.com/maps/search/?api=1&amp;query=Sal%C3%A3o%20daliana%20e%20michelle&amp;query_place_id=ChIJN-IxzW1vigcRJf3KoIURVEU" TargetMode="External"/><Relationship Id="rId147" Type="http://schemas.openxmlformats.org/officeDocument/2006/relationships/hyperlink" Target="https://www.google.com/maps/search/?api=1&amp;query=Fios%20Belos&amp;query_place_id=ChIJH4lPBABvigcR14U5MLu5LDc" TargetMode="External"/><Relationship Id="rId6" Type="http://schemas.openxmlformats.org/officeDocument/2006/relationships/hyperlink" Target="https://www.google.com/maps/search/?api=1&amp;query=Espa%C3%A7o%20de%20beleza%20JS&amp;query_place_id=ChIJLaiRceFpigcRcJsKbvo0t8A" TargetMode="External"/><Relationship Id="rId146" Type="http://schemas.openxmlformats.org/officeDocument/2006/relationships/hyperlink" Target="https://www.google.com/maps/search/?api=1&amp;query=jarderline&amp;query_place_id=ChIJ_Vxzp7VvigcR3p1XLaKkN7o" TargetMode="External"/><Relationship Id="rId7" Type="http://schemas.openxmlformats.org/officeDocument/2006/relationships/hyperlink" Target="https://www.google.com/maps/search/?api=1&amp;query=STUDIO%20GLAM%20Centro%20de%20Beleza&amp;query_place_id=ChIJgT5bC9RpigcR4kV_fnivVgI" TargetMode="External"/><Relationship Id="rId145" Type="http://schemas.openxmlformats.org/officeDocument/2006/relationships/hyperlink" Target="https://www.google.com/maps/search/?api=1&amp;query=Studio%20C%C3%ADlios%20Laryssa%20Carvalho&amp;query_place_id=ChIJ843xyThvigcRrqK-HzTkocQ" TargetMode="External"/><Relationship Id="rId8" Type="http://schemas.openxmlformats.org/officeDocument/2006/relationships/hyperlink" Target="https://www.google.com/maps/search/?api=1&amp;query=Me%20Espa%C3%A7o%20De%20Beleza&amp;query_place_id=ChIJHyPFMdBoigcRaj1teX-G3pM" TargetMode="External"/><Relationship Id="rId144" Type="http://schemas.openxmlformats.org/officeDocument/2006/relationships/hyperlink" Target="https://www.google.com/maps/search/?api=1&amp;query=Esmalteria%20Sonho%20de%20cores&amp;query_place_id=ChIJ_aI6cbZvigcRgd1plCzYh_c" TargetMode="External"/><Relationship Id="rId73" Type="http://schemas.openxmlformats.org/officeDocument/2006/relationships/hyperlink" Target="https://www.google.com/maps/search/?api=1&amp;query=Rosa%20Matos%20Salao%20De%20Beleza&amp;query_place_id=ChIJI_SODdNuigcRWQjvSrBgnpk" TargetMode="External"/><Relationship Id="rId72" Type="http://schemas.openxmlformats.org/officeDocument/2006/relationships/hyperlink" Target="https://www.google.com/maps/search/?api=1&amp;query=TUILZA%20ESTETICA&amp;query_place_id=ChIJI8uoztBuigcR7NB1KTzXOuY" TargetMode="External"/><Relationship Id="rId75" Type="http://schemas.openxmlformats.org/officeDocument/2006/relationships/hyperlink" Target="https://www.google.com/maps/search/?api=1&amp;query=SAL%C3%83O%20L%C3%81%20-%20MUNDICA&amp;query_place_id=ChIJK1gNETtvigcRoCAxHpjMoo0" TargetMode="External"/><Relationship Id="rId74" Type="http://schemas.openxmlformats.org/officeDocument/2006/relationships/hyperlink" Target="https://www.google.com/maps/search/?api=1&amp;query=Dell%20Gomes%20Hairstylist&amp;query_place_id=ChIJ9_9ODvFvigcR86OsZipvLpM" TargetMode="External"/><Relationship Id="rId77" Type="http://schemas.openxmlformats.org/officeDocument/2006/relationships/hyperlink" Target="https://www.google.com/maps/search/?api=1&amp;query=Espa%C3%A7o%20Erika%20Alves&amp;query_place_id=ChIJx2s2_j1vigcR7JxPKzeAeNw" TargetMode="External"/><Relationship Id="rId76" Type="http://schemas.openxmlformats.org/officeDocument/2006/relationships/hyperlink" Target="https://www.google.com/maps/search/?api=1&amp;query=Sal%C3%A3o%20do%20Miguel&amp;query_place_id=ChIJgQgQ5a9uigcR1h7pVaTaF2s" TargetMode="External"/><Relationship Id="rId79" Type="http://schemas.openxmlformats.org/officeDocument/2006/relationships/hyperlink" Target="https://www.google.com/maps/search/?api=1&amp;query=F.%20E%20Beauty%20Salon&amp;query_place_id=ChIJdfnBbjJpigcRCJQTwL0yCgI" TargetMode="External"/><Relationship Id="rId78" Type="http://schemas.openxmlformats.org/officeDocument/2006/relationships/hyperlink" Target="https://www.google.com/maps/search/?api=1&amp;query=Sal%C3%A3o%20De%20Beleza%20Ana%20Maria&amp;query_place_id=ChIJIzCx-NRuigcRd8hssoYKxBE" TargetMode="External"/><Relationship Id="rId71" Type="http://schemas.openxmlformats.org/officeDocument/2006/relationships/hyperlink" Target="https://www.google.com/maps/search/?api=1&amp;query=Salao%20Da%20Ivone&amp;query_place_id=ChIJwzOjWqVuigcRoU-Og6XhTIs" TargetMode="External"/><Relationship Id="rId70" Type="http://schemas.openxmlformats.org/officeDocument/2006/relationships/hyperlink" Target="https://www.google.com/maps/search/?api=1&amp;query=Lene%20cabelos%20e%20est%C3%A9ticas&amp;query_place_id=ChIJgUpexds1y5IR8oZew7e2AMY" TargetMode="External"/><Relationship Id="rId139" Type="http://schemas.openxmlformats.org/officeDocument/2006/relationships/hyperlink" Target="https://www.google.com/maps/search/?api=1&amp;query=Duarte%20Barbearia&amp;query_place_id=ChIJH9Ky8rlvigcRKlAmBDMd3CI" TargetMode="External"/><Relationship Id="rId138" Type="http://schemas.openxmlformats.org/officeDocument/2006/relationships/hyperlink" Target="https://www.google.com/maps/search/?api=1&amp;query=Sal%C4%81o%20Fik-Chick&amp;query_place_id=ChIJpzqOfNFuigcReK5Cz9fvcnI" TargetMode="External"/><Relationship Id="rId137" Type="http://schemas.openxmlformats.org/officeDocument/2006/relationships/hyperlink" Target="https://www.google.com/maps/search/?api=1&amp;query=Patriciamedeirosbeauty&amp;query_place_id=ChIJg23U-nVvigcRTMoR4V70zPE" TargetMode="External"/><Relationship Id="rId132" Type="http://schemas.openxmlformats.org/officeDocument/2006/relationships/hyperlink" Target="https://www.google.com/maps/search/?api=1&amp;query=C'STILO%20ESMALTERIA&amp;query_place_id=ChIJfZWG6ppvigcRWmsX8zXjflA" TargetMode="External"/><Relationship Id="rId131" Type="http://schemas.openxmlformats.org/officeDocument/2006/relationships/hyperlink" Target="https://www.google.com/maps/search/?api=1&amp;query=Sal%C3%A3o%20F%C3%AAnix&amp;query_place_id=ChIJWRdGLypvigcRrWebmM3cTrE" TargetMode="External"/><Relationship Id="rId130" Type="http://schemas.openxmlformats.org/officeDocument/2006/relationships/hyperlink" Target="https://www.google.com/maps/search/?api=1&amp;query=Est%C3%A9tica%20Com%20Estilo&amp;query_place_id=ChIJO7G3a9puigcRZuWxO6E_cKg" TargetMode="External"/><Relationship Id="rId136" Type="http://schemas.openxmlformats.org/officeDocument/2006/relationships/hyperlink" Target="https://www.google.com/maps/search/?api=1&amp;query=Studio%20Melissa%20Mello&amp;query_place_id=ChIJGxzcBTlvigcRyxpdwS3bK0o" TargetMode="External"/><Relationship Id="rId135" Type="http://schemas.openxmlformats.org/officeDocument/2006/relationships/hyperlink" Target="https://www.google.com/maps/search/?api=1&amp;query=CORPORE%20%26%20CIA&amp;query_place_id=ChIJD-QXgCdvigcRCxcUu81GRHM" TargetMode="External"/><Relationship Id="rId134" Type="http://schemas.openxmlformats.org/officeDocument/2006/relationships/hyperlink" Target="https://www.google.com/maps/search/?api=1&amp;query=Sal%C3%A3o%20m%C3%A3os%20de%20fada&amp;query_place_id=ChIJW4tQ35FvigcRXnEtRZIHdLs" TargetMode="External"/><Relationship Id="rId133" Type="http://schemas.openxmlformats.org/officeDocument/2006/relationships/hyperlink" Target="https://www.google.com/maps/search/?api=1&amp;query=Mikely%20oliveira%20lisos%20de%20alta%20performance%20%E2%9D%A4%EF%B8%8F&amp;query_place_id=ChIJZzBbEvtvigcRLawdfxY0wUU" TargetMode="External"/><Relationship Id="rId62" Type="http://schemas.openxmlformats.org/officeDocument/2006/relationships/hyperlink" Target="https://www.google.com/maps/search/?api=1&amp;query=Cris%20Cosm%C3%A9ticos%20Cabelo%20E%20Est%C3%A9tica&amp;query_place_id=ChIJFdtYQtBuigcRSbQlRN3mTP0" TargetMode="External"/><Relationship Id="rId61" Type="http://schemas.openxmlformats.org/officeDocument/2006/relationships/hyperlink" Target="https://www.google.com/maps/search/?api=1&amp;query=Brasil%20Barbearia&amp;query_place_id=ChIJpeg-wrduigcRTZHyJn6R5L8" TargetMode="External"/><Relationship Id="rId64" Type="http://schemas.openxmlformats.org/officeDocument/2006/relationships/hyperlink" Target="https://www.google.com/maps/search/?api=1&amp;query=Sal%C3%A3o%20Bel%C3%ADssima&amp;query_place_id=ChIJbZhtuQFvigcRYlhGNCTeRVA" TargetMode="External"/><Relationship Id="rId63" Type="http://schemas.openxmlformats.org/officeDocument/2006/relationships/hyperlink" Target="https://www.google.com/maps/search/?api=1&amp;query=Studio%20Nayara%20Carvalho&amp;query_place_id=ChIJV2RrFv5vigcRdHgKPUtnyaE" TargetMode="External"/><Relationship Id="rId66" Type="http://schemas.openxmlformats.org/officeDocument/2006/relationships/hyperlink" Target="https://www.google.com/maps/search/?api=1&amp;query=Studio%20A&amp;query_place_id=ChIJG4Gi7W9vigcRecCiSBfVByw" TargetMode="External"/><Relationship Id="rId172" Type="http://schemas.openxmlformats.org/officeDocument/2006/relationships/hyperlink" Target="https://www.google.com/maps/search/?api=1&amp;query=To%20Na%20Makeunhas&amp;query_place_id=ChIJZ8T20cxoigcRakwsDaipcz0" TargetMode="External"/><Relationship Id="rId65" Type="http://schemas.openxmlformats.org/officeDocument/2006/relationships/hyperlink" Target="https://www.google.com/maps/search/?api=1&amp;query=Studio%20Lya%20Thayne&amp;query_place_id=ChIJ2_u0VBxvigcRevYXoDHtE2A" TargetMode="External"/><Relationship Id="rId171" Type="http://schemas.openxmlformats.org/officeDocument/2006/relationships/hyperlink" Target="https://www.google.com/maps/search/?api=1&amp;query=Carol%20Palhano%20designer%20de%20sobrancelhas&amp;query_place_id=ChIJ3_eEoE5vigcRL9HVngbJ8tU" TargetMode="External"/><Relationship Id="rId68" Type="http://schemas.openxmlformats.org/officeDocument/2006/relationships/hyperlink" Target="https://www.google.com/maps/search/?api=1&amp;query=Chiquetosa%20On-%20Bacabal%2FMa&amp;query_place_id=ChIJoZEvfMpvigcREHStVN6MXTA" TargetMode="External"/><Relationship Id="rId170" Type="http://schemas.openxmlformats.org/officeDocument/2006/relationships/hyperlink" Target="https://www.google.com/maps/search/?api=1&amp;query=Studio%20de%20Sobrancelhas%20Raquel%20Lima&amp;query_place_id=ChIJ5ZfmTQBvigcRh8yDgnqEDNU" TargetMode="External"/><Relationship Id="rId67" Type="http://schemas.openxmlformats.org/officeDocument/2006/relationships/hyperlink" Target="https://www.google.com/maps/search/?api=1&amp;query=Divas%20Make-Up&amp;query_place_id=ChIJy1g98xxvigcR8gEnpL8OXpA" TargetMode="External"/><Relationship Id="rId60" Type="http://schemas.openxmlformats.org/officeDocument/2006/relationships/hyperlink" Target="https://www.google.com/maps/search/?api=1&amp;query=Jk%20BARBEARIA%20%C3%A9%20est%C3%A9tica%20ele%20ela&amp;query_place_id=ChIJNYD0uQVvigcRbXgqx4KIOL0" TargetMode="External"/><Relationship Id="rId165" Type="http://schemas.openxmlformats.org/officeDocument/2006/relationships/hyperlink" Target="https://www.google.com/maps/search/?api=1&amp;query=Jotape%20barbearia&amp;query_place_id=ChIJRdUZVt5vigcRVNv15j05yUk" TargetMode="External"/><Relationship Id="rId69" Type="http://schemas.openxmlformats.org/officeDocument/2006/relationships/hyperlink" Target="https://www.google.com/maps/search/?api=1&amp;query=Studio%20Ada%20Oliveira%20Makeup&amp;query_place_id=ChIJb7UoJABvigcRoeX1MeXcfC0" TargetMode="External"/><Relationship Id="rId164" Type="http://schemas.openxmlformats.org/officeDocument/2006/relationships/hyperlink" Target="https://www.google.com/maps/search/?api=1&amp;query=J%C3%BAnior's%20Barbearia&amp;query_place_id=ChIJuQbUpS5vigcR0IfI-OSdWF8" TargetMode="External"/><Relationship Id="rId163" Type="http://schemas.openxmlformats.org/officeDocument/2006/relationships/hyperlink" Target="https://www.google.com/maps/search/?api=1&amp;query=Sr.Barbershop&amp;query_place_id=ChIJo0K_v89vigcRQWWok7mU52g" TargetMode="External"/><Relationship Id="rId162" Type="http://schemas.openxmlformats.org/officeDocument/2006/relationships/hyperlink" Target="https://www.google.com/maps/search/?api=1&amp;query=Santos%20Barbearia&amp;query_place_id=ChIJRxnEo2pvigcRqKQWWoQDkjg" TargetMode="External"/><Relationship Id="rId169" Type="http://schemas.openxmlformats.org/officeDocument/2006/relationships/hyperlink" Target="https://www.google.com/maps/search/?api=1&amp;query=Barbearia%20Damata&amp;query_place_id=ChIJSf37d9RuigcR-lNAcKkGcu8" TargetMode="External"/><Relationship Id="rId168" Type="http://schemas.openxmlformats.org/officeDocument/2006/relationships/hyperlink" Target="https://www.google.com/maps/search/?api=1&amp;query=Barbearia%20Prime&amp;query_place_id=ChIJ0Vml2chvigcRQ6fO56nd_wA" TargetMode="External"/><Relationship Id="rId167" Type="http://schemas.openxmlformats.org/officeDocument/2006/relationships/hyperlink" Target="https://www.google.com/maps/search/?api=1&amp;query=BARBEARIA%20SERGIO&amp;query_place_id=ChIJ5xjtNN9uigcRRfYkxVm6VCM" TargetMode="External"/><Relationship Id="rId166" Type="http://schemas.openxmlformats.org/officeDocument/2006/relationships/hyperlink" Target="https://www.google.com/maps/search/?api=1&amp;query=Soares%20barbearia&amp;query_place_id=ChIJU5l-Ba5vigcRwjXZyryObus" TargetMode="External"/><Relationship Id="rId51" Type="http://schemas.openxmlformats.org/officeDocument/2006/relationships/hyperlink" Target="https://www.google.com/maps/search/?api=1&amp;query=Centro%20de%20Beleza%20Cleidimar%20Almeida&amp;query_place_id=ChIJWUCsEoRvigcRiSY42EkAO7Q" TargetMode="External"/><Relationship Id="rId50" Type="http://schemas.openxmlformats.org/officeDocument/2006/relationships/hyperlink" Target="https://www.google.com/maps/search/?api=1&amp;query=Maison%20Centro%20De%20Beleza%20E%20Est%C3%A9tica&amp;query_place_id=ChIJobpLCN5uigcRjwHIzM7fg1c" TargetMode="External"/><Relationship Id="rId53" Type="http://schemas.openxmlformats.org/officeDocument/2006/relationships/hyperlink" Target="https://www.google.com/maps/search/?api=1&amp;query=Sal%C3%A3o%20De%20Beleza%20Espa%C3%A7o%20Beleza%20Dhara&amp;query_place_id=ChIJB-2uLLZuigcRtSQuOQeIgpE" TargetMode="External"/><Relationship Id="rId52" Type="http://schemas.openxmlformats.org/officeDocument/2006/relationships/hyperlink" Target="https://www.google.com/maps/search/?api=1&amp;query=sal%C3%A3o%20e%20centro%20de%20est%C3%A9tica%20toda%20bela&amp;query_place_id=ChIJ7cNGg7luigcRkr0d8MTSfCk" TargetMode="External"/><Relationship Id="rId55" Type="http://schemas.openxmlformats.org/officeDocument/2006/relationships/hyperlink" Target="https://www.google.com/maps/search/?api=1&amp;query=Studio%20Janaina%20Barbosa&amp;query_place_id=ChIJ_3jaNg5vigcRVpjJLBdLS7Y" TargetMode="External"/><Relationship Id="rId161" Type="http://schemas.openxmlformats.org/officeDocument/2006/relationships/hyperlink" Target="https://www.google.com/maps/search/?api=1&amp;query=Barbearia%20Madre%20Rosa&amp;query_place_id=ChIJV68FGppvigcRB-2LLi9pAtg" TargetMode="External"/><Relationship Id="rId54" Type="http://schemas.openxmlformats.org/officeDocument/2006/relationships/hyperlink" Target="https://www.google.com/maps/search/?api=1&amp;query=Sal%C3%A3o%20Tok%20de%20Beleza&amp;query_place_id=ChIJH3_7KuVvigcR__gGLDcqI3Y" TargetMode="External"/><Relationship Id="rId160" Type="http://schemas.openxmlformats.org/officeDocument/2006/relationships/hyperlink" Target="https://www.google.com/maps/search/?api=1&amp;query=Barbearia%20KADOSH&amp;query_place_id=ChIJ6Tx_OLBuigcRMC_76WuPYm0" TargetMode="External"/><Relationship Id="rId57" Type="http://schemas.openxmlformats.org/officeDocument/2006/relationships/hyperlink" Target="https://www.google.com/maps/search/?api=1&amp;query=%E2%80%8D%20%EF%B8%8FBarbearia%20Gomes&amp;query_place_id=ChIJr-bXoy5vigcRaxD0YMPKUdY" TargetMode="External"/><Relationship Id="rId56" Type="http://schemas.openxmlformats.org/officeDocument/2006/relationships/hyperlink" Target="https://www.google.com/maps/search/?api=1&amp;query=Pathy%20Chiquetosa&amp;query_place_id=ChIJ0_geLapvigcRDJh7TcLg7p4" TargetMode="External"/><Relationship Id="rId159" Type="http://schemas.openxmlformats.org/officeDocument/2006/relationships/hyperlink" Target="https://www.google.com/maps/search/?api=1&amp;query=Laura%20Cosm%C3%A9ticos%20e%20Variedades&amp;query_place_id=ChIJAT-FtsxvigcRUVsd7MMZNnc" TargetMode="External"/><Relationship Id="rId59" Type="http://schemas.openxmlformats.org/officeDocument/2006/relationships/hyperlink" Target="https://www.google.com/maps/search/?api=1&amp;query=Janny%20E%20Jhenny%20Cabelo%20E%20Depila%C3%A7%C3%A3o&amp;query_place_id=ChIJIX0q4lhvigcR-aKNsPX14s0" TargetMode="External"/><Relationship Id="rId154" Type="http://schemas.openxmlformats.org/officeDocument/2006/relationships/hyperlink" Target="https://www.google.com/maps/search/?api=1&amp;query=Mari%20Santos%20Nails&amp;query_place_id=ChIJjWjjMQBvigcRciAkNHkw17o" TargetMode="External"/><Relationship Id="rId58" Type="http://schemas.openxmlformats.org/officeDocument/2006/relationships/hyperlink" Target="https://www.google.com/maps/search/?api=1&amp;query=M%C3%A1rcia%20Cabelos&amp;query_place_id=ChIJoWTWvdFuigcR9xrET8LXxeU" TargetMode="External"/><Relationship Id="rId153" Type="http://schemas.openxmlformats.org/officeDocument/2006/relationships/hyperlink" Target="https://www.google.com/maps/search/?api=1&amp;query=Studio%20Gil%20Oliveira&amp;query_place_id=ChIJUY7IfwBvigcRPCR7tBWYqUw" TargetMode="External"/><Relationship Id="rId152" Type="http://schemas.openxmlformats.org/officeDocument/2006/relationships/hyperlink" Target="https://www.google.com/maps/search/?api=1&amp;query=Depila%C3%A7%C3%A3o%20%C3%A9%20est%C3%A9tica%20JoyceRezende&amp;query_place_id=ChIJDZOZgbtvigcRwS798Lk5axg" TargetMode="External"/><Relationship Id="rId151" Type="http://schemas.openxmlformats.org/officeDocument/2006/relationships/hyperlink" Target="https://www.google.com/maps/search/?api=1&amp;query=LM.EST%C3%9ADIODEBELEZA&amp;query_place_id=ChIJZ9b-oOBvigcRW6LE3hTfjMg" TargetMode="External"/><Relationship Id="rId158" Type="http://schemas.openxmlformats.org/officeDocument/2006/relationships/hyperlink" Target="https://www.google.com/maps/search/?api=1&amp;query=BARBEARIA%20LK&amp;query_place_id=ChIJEdj4W5VvigcR_-BHUtwsgT4" TargetMode="External"/><Relationship Id="rId157" Type="http://schemas.openxmlformats.org/officeDocument/2006/relationships/hyperlink" Target="https://www.google.com/maps/search/?api=1&amp;query=Netto%20barbershop&amp;query_place_id=ChIJAwsO_0JvigcRX2WuaPMMEDM" TargetMode="External"/><Relationship Id="rId156" Type="http://schemas.openxmlformats.org/officeDocument/2006/relationships/hyperlink" Target="https://www.google.com/maps/search/?api=1&amp;query=STUDIO%20JAMESCONCEPT&amp;query_place_id=ChIJAef8dT1vigcREryPzk6svJc" TargetMode="External"/><Relationship Id="rId155" Type="http://schemas.openxmlformats.org/officeDocument/2006/relationships/hyperlink" Target="https://www.google.com/maps/search/?api=1&amp;query=Rayane%20santos%20manicure&amp;query_place_id=ChIJB-xWX41pigcRS1cuD6aBZAg" TargetMode="External"/><Relationship Id="rId107" Type="http://schemas.openxmlformats.org/officeDocument/2006/relationships/hyperlink" Target="https://www.google.com/maps/search/?api=1&amp;query=Sal%C3%A3o%20Nova%20Face&amp;query_place_id=ChIJl22qYQBvigcRfB0t98CSAP8" TargetMode="External"/><Relationship Id="rId106" Type="http://schemas.openxmlformats.org/officeDocument/2006/relationships/hyperlink" Target="https://www.google.com/maps/search/?api=1&amp;query=Est%C3%BAdio%20epilar%20F%C3%A1tima%20morais&amp;query_place_id=ChIJXzvnfwBvigcRNnDsU3m2Z14" TargetMode="External"/><Relationship Id="rId105" Type="http://schemas.openxmlformats.org/officeDocument/2006/relationships/hyperlink" Target="https://www.google.com/maps/search/?api=1&amp;query=StudioLoveLashe&amp;query_place_id=ChIJW_DZBQBvigcR-flgN8eR1rs" TargetMode="External"/><Relationship Id="rId104" Type="http://schemas.openxmlformats.org/officeDocument/2006/relationships/hyperlink" Target="https://www.google.com/maps/search/?api=1&amp;query=Sal%C3%A3o%20da%20Dinah&amp;query_place_id=ChIJVzzlOtBuigcRHo3rl_Rtq34" TargetMode="External"/><Relationship Id="rId109" Type="http://schemas.openxmlformats.org/officeDocument/2006/relationships/hyperlink" Target="https://www.google.com/maps/search/?api=1&amp;query=STUDIO%20DE%20BELEZA%20NADIA%20LYMA&amp;query_place_id=ChIJJQjxb9RuigcRdfSA-NIMewg" TargetMode="External"/><Relationship Id="rId108" Type="http://schemas.openxmlformats.org/officeDocument/2006/relationships/hyperlink" Target="https://www.google.com/maps/search/?api=1&amp;query=Delicatta%20Esmalteria&amp;query_place_id=ChIJ1SYdIMlvigcRqfftFOL8X5g" TargetMode="External"/><Relationship Id="rId103" Type="http://schemas.openxmlformats.org/officeDocument/2006/relationships/hyperlink" Target="https://www.google.com/maps/search/?api=1&amp;query=Lazulli%20SPA&amp;query_place_id=ChIJEy34pINvigcRMrVAMjYpI_4" TargetMode="External"/><Relationship Id="rId102" Type="http://schemas.openxmlformats.org/officeDocument/2006/relationships/hyperlink" Target="https://www.google.com/maps/search/?api=1&amp;query=Bem%20Star&amp;query_place_id=ChIJo4jcJgBvigcRBaAiRLLKZ_Y" TargetMode="External"/><Relationship Id="rId101" Type="http://schemas.openxmlformats.org/officeDocument/2006/relationships/hyperlink" Target="https://www.google.com/maps/search/?api=1&amp;query=Espa%C3%A7o%20Bianca%20Carvalho&amp;query_place_id=ChIJRUV2NU1vigcRUICO31kRT2o" TargetMode="External"/><Relationship Id="rId100" Type="http://schemas.openxmlformats.org/officeDocument/2006/relationships/hyperlink" Target="https://www.google.com/maps/search/?api=1&amp;query=J%C3%B4sy%20Emp%C3%B3rio&amp;query_place_id=ChIJIw3cgVlvigcR-uXLmg611XI" TargetMode="External"/><Relationship Id="rId129" Type="http://schemas.openxmlformats.org/officeDocument/2006/relationships/hyperlink" Target="https://www.google.com/maps/search/?api=1&amp;query=Sal%C3%A3o%20Netty&amp;query_place_id=ChIJd_nQt81vigcRzengs-BiL7Y" TargetMode="External"/><Relationship Id="rId128" Type="http://schemas.openxmlformats.org/officeDocument/2006/relationships/hyperlink" Target="https://www.google.com/maps/search/?api=1&amp;query=Dani%20Depil&amp;query_place_id=ChIJoUufEdxvigcREZxRNRx18E8" TargetMode="External"/><Relationship Id="rId127" Type="http://schemas.openxmlformats.org/officeDocument/2006/relationships/hyperlink" Target="https://www.google.com/maps/search/?api=1&amp;query=Espa%C3%A7o%20Antonia%20Santas&amp;query_place_id=ChIJJ6g3wLpuigcRRFy9g6cKlMU" TargetMode="External"/><Relationship Id="rId126" Type="http://schemas.openxmlformats.org/officeDocument/2006/relationships/hyperlink" Target="https://www.google.com/maps/search/?api=1&amp;query=Espa%C3%A7o%20Rosy%20Portela%20Manicure%20%26%20Pedicurere&amp;query_place_id=ChIJ--5Ij9ZuigcR8ONu-55WxAE" TargetMode="External"/><Relationship Id="rId121" Type="http://schemas.openxmlformats.org/officeDocument/2006/relationships/hyperlink" Target="https://www.google.com/maps/search/?api=1&amp;query=Sal%C3%A3o%20Udalisa&amp;query_place_id=ChIJmWc2ntNuigcRb7jJCXtgtXQ" TargetMode="External"/><Relationship Id="rId120" Type="http://schemas.openxmlformats.org/officeDocument/2006/relationships/hyperlink" Target="https://www.google.com/maps/search/?api=1&amp;query=Gilderlane%20Sousa%20Beauty%20Academy&amp;query_place_id=ChIJU4KpvxBvigcRvl1ZSMMmVPQ" TargetMode="External"/><Relationship Id="rId125" Type="http://schemas.openxmlformats.org/officeDocument/2006/relationships/hyperlink" Target="https://www.google.com/maps/search/?api=1&amp;query=Espa%C3%A7o%20corpo%20dourado&amp;query_place_id=ChIJFx6iXABvigcRwPeCwGpfZFQ" TargetMode="External"/><Relationship Id="rId124" Type="http://schemas.openxmlformats.org/officeDocument/2006/relationships/hyperlink" Target="https://www.google.com/maps/search/?api=1&amp;query=Sal%C3%A3o%20Renascer&amp;query_place_id=ChIJDwiDAsxuigcRIJfz3qKCXSw" TargetMode="External"/><Relationship Id="rId123" Type="http://schemas.openxmlformats.org/officeDocument/2006/relationships/hyperlink" Target="https://www.google.com/maps/search/?api=1&amp;query=Iuda%20Lima%20Massoterapia&amp;query_place_id=ChIJazxJ36hvigcRluShcayw10g" TargetMode="External"/><Relationship Id="rId122" Type="http://schemas.openxmlformats.org/officeDocument/2006/relationships/hyperlink" Target="https://www.google.com/maps/search/?api=1&amp;query=Est%C3%A9tica%20Suane%20Carvalho&amp;query_place_id=ChIJuSU8cQJvigcRMZ-zx3eSzvo" TargetMode="External"/><Relationship Id="rId95" Type="http://schemas.openxmlformats.org/officeDocument/2006/relationships/hyperlink" Target="https://www.google.com/maps/search/?api=1&amp;query=Est%C3%BAdio%20de%20Beleza%20Let%C3%ADcia%20Albuquerque&amp;query_place_id=ChIJAamwMqNvigcRlmq-QNJquN8" TargetMode="External"/><Relationship Id="rId94" Type="http://schemas.openxmlformats.org/officeDocument/2006/relationships/hyperlink" Target="https://www.google.com/maps/search/?api=1&amp;query=Studio%20Dagiane%20Sabino&amp;query_place_id=ChIJpy6_SgBvigcRIo2i0V_HvTg" TargetMode="External"/><Relationship Id="rId97" Type="http://schemas.openxmlformats.org/officeDocument/2006/relationships/hyperlink" Target="https://www.google.com/maps/search/?api=1&amp;query=Luxus%20Esmalteria&amp;query_place_id=ChIJcYlglG9pigcROFUXXUzfEqY" TargetMode="External"/><Relationship Id="rId96" Type="http://schemas.openxmlformats.org/officeDocument/2006/relationships/hyperlink" Target="https://www.google.com/maps/search/?api=1&amp;query=Espa%C3%A7o%20MichelyKelly&amp;query_place_id=ChIJ8-YMC7ZuigcRsyEUXu7PL1Q" TargetMode="External"/><Relationship Id="rId99" Type="http://schemas.openxmlformats.org/officeDocument/2006/relationships/hyperlink" Target="https://www.google.com/maps/search/?api=1&amp;query=Esmalteria%20Yahara&amp;query_place_id=ChIJk4iQSDlvigcRbEVMonCOrBo" TargetMode="External"/><Relationship Id="rId98" Type="http://schemas.openxmlformats.org/officeDocument/2006/relationships/hyperlink" Target="https://www.google.com/maps/search/?api=1&amp;query=Sal%C3%A3o%20de%20Beleza%20Vers%C3%A1til&amp;query_place_id=ChIJo8UcEx9vigcRFSnSnDF7m6Y" TargetMode="External"/><Relationship Id="rId91" Type="http://schemas.openxmlformats.org/officeDocument/2006/relationships/hyperlink" Target="https://www.google.com/maps/search/?api=1&amp;query=Studio%20Krys%20Barbosa&amp;query_place_id=ChIJQ5KgTlhvigcRbG3Q16VJAmQ" TargetMode="External"/><Relationship Id="rId90" Type="http://schemas.openxmlformats.org/officeDocument/2006/relationships/hyperlink" Target="https://www.google.com/maps/search/?api=1&amp;query=Sal%C3%A3o%20Sempre%20Bela%20-%20Irm%C3%A3%20Jos%C3%A9lia&amp;query_place_id=ChIJY3yoKT9vigcRXis3TjjXbIM" TargetMode="External"/><Relationship Id="rId93" Type="http://schemas.openxmlformats.org/officeDocument/2006/relationships/hyperlink" Target="https://www.google.com/maps/search/?api=1&amp;query=Studio%20Mayara%20Silva&amp;query_place_id=ChIJHVeJWwBvigcRVwbjGbBH15g" TargetMode="External"/><Relationship Id="rId92" Type="http://schemas.openxmlformats.org/officeDocument/2006/relationships/hyperlink" Target="https://www.google.com/maps/search/?api=1&amp;query=Queens%20Studio&amp;query_place_id=ChIJLX9JDdVvigcRXlxCqVgmhQU" TargetMode="External"/><Relationship Id="rId118" Type="http://schemas.openxmlformats.org/officeDocument/2006/relationships/hyperlink" Target="https://www.google.com/maps/search/?api=1&amp;query=Leila%20Branco%20Estetica%20Avan%C3%A7a&amp;query_place_id=ChIJqyIebu9vigcRGB6qKiP32qU" TargetMode="External"/><Relationship Id="rId117" Type="http://schemas.openxmlformats.org/officeDocument/2006/relationships/hyperlink" Target="https://www.google.com/maps/search/?api=1&amp;query=Espa%C3%A7o%20Cristiane%20Silva&amp;query_place_id=ChIJL8LOJHBvigcR4tAogmoyhpU" TargetMode="External"/><Relationship Id="rId116" Type="http://schemas.openxmlformats.org/officeDocument/2006/relationships/hyperlink" Target="https://www.google.com/maps/search/?api=1&amp;query=Espa%C3%A7o%20das%20unhas%20Geane%20Ferreira&amp;query_place_id=ChIJuxpe7cBvigcRvYyA2Wl322I" TargetMode="External"/><Relationship Id="rId115" Type="http://schemas.openxmlformats.org/officeDocument/2006/relationships/hyperlink" Target="https://www.google.com/maps/search/?api=1&amp;query=Espa%C3%A7o%20Aurora%20Center&amp;query_place_id=ChIJR9jOWedvigcRUacE1TNjsMI" TargetMode="External"/><Relationship Id="rId119" Type="http://schemas.openxmlformats.org/officeDocument/2006/relationships/hyperlink" Target="https://www.google.com/maps/search/?api=1&amp;query=Meraki%20Beauty&amp;query_place_id=ChIJIbZ7dgFvigcRLbbnywzX-Mw" TargetMode="External"/><Relationship Id="rId110" Type="http://schemas.openxmlformats.org/officeDocument/2006/relationships/hyperlink" Target="https://www.google.com/maps/search/?api=1&amp;query=Ledda%20Santos&amp;query_place_id=ChIJh7DsXhpvigcRgA-YKcOh69s" TargetMode="External"/><Relationship Id="rId114" Type="http://schemas.openxmlformats.org/officeDocument/2006/relationships/hyperlink" Target="https://www.google.com/maps/search/?api=1&amp;query=Espa%C3%A7o%20essencial%20Bella&amp;query_place_id=ChIJpRa0fONvigcR0VB9GQ1yKag" TargetMode="External"/><Relationship Id="rId113" Type="http://schemas.openxmlformats.org/officeDocument/2006/relationships/hyperlink" Target="https://www.google.com/maps/search/?api=1&amp;query=Espa%C3%A7o%20de%20beleza%20Rosy%20Portela&amp;query_place_id=ChIJi_0UcgBvigcRV9VcjLUvnCk" TargetMode="External"/><Relationship Id="rId112" Type="http://schemas.openxmlformats.org/officeDocument/2006/relationships/hyperlink" Target="https://www.google.com/maps/search/?api=1&amp;query=Sal%C3%A3o%20e%20loja%20ketlen&amp;query_place_id=ChIJ14niS71vigcRItJ2RhzrF1k" TargetMode="External"/><Relationship Id="rId111" Type="http://schemas.openxmlformats.org/officeDocument/2006/relationships/hyperlink" Target="https://www.google.com/maps/search/?api=1&amp;query=Maquiadora%20e%20Penteados%20em%20Bacabal%20--%20Aline%20Cruz&amp;query_place_id=ChIJCWZjWm5pigcRF014Wy9evZo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google.com/maps/search/?api=1&amp;query=Tropa%20Do%20Barbeiro&amp;query_place_id=ChIJFRQA1XNvigcRnG-SIbGN8vU" TargetMode="External"/><Relationship Id="rId202" Type="http://schemas.openxmlformats.org/officeDocument/2006/relationships/hyperlink" Target="https://www.google.com/maps/search/?api=1&amp;query=Thiago%20barber%20shop&amp;query_place_id=ChIJsb5v6m1vigcRdatU01GmL_A" TargetMode="External"/><Relationship Id="rId201" Type="http://schemas.openxmlformats.org/officeDocument/2006/relationships/hyperlink" Target="https://www.google.com/maps/search/?api=1&amp;query=Den%20grau%20barbearia&amp;query_place_id=ChIJ65wTlDZvigcRAN81RvY5foc" TargetMode="External"/><Relationship Id="rId200" Type="http://schemas.openxmlformats.org/officeDocument/2006/relationships/hyperlink" Target="https://www.google.com/maps/search/?api=1&amp;query=Andrad%60s%20Barber&amp;query_place_id=ChIJX03uBFFvigcRyltKHyKln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Beleza""))"),"Clínica de Estética")</f>
        <v>Clínica de Estética</v>
      </c>
    </row>
    <row r="3">
      <c r="A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2" t="s">
        <v>21</v>
      </c>
      <c r="I3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15</v>
      </c>
      <c r="H4" s="2" t="s">
        <v>28</v>
      </c>
      <c r="I4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5">
      <c r="A5" s="1" t="s">
        <v>29</v>
      </c>
      <c r="D5" s="1" t="s">
        <v>30</v>
      </c>
      <c r="E5" s="1" t="s">
        <v>31</v>
      </c>
      <c r="F5" s="1" t="s">
        <v>32</v>
      </c>
      <c r="G5" s="1" t="s">
        <v>15</v>
      </c>
      <c r="H5" s="2" t="s">
        <v>33</v>
      </c>
      <c r="I5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15</v>
      </c>
      <c r="H6" s="2" t="s">
        <v>40</v>
      </c>
      <c r="I6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15</v>
      </c>
      <c r="H7" s="2" t="s">
        <v>47</v>
      </c>
      <c r="I7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15</v>
      </c>
      <c r="H8" s="2" t="s">
        <v>54</v>
      </c>
      <c r="I8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9">
      <c r="A9" s="1" t="s">
        <v>55</v>
      </c>
      <c r="D9" s="1" t="s">
        <v>18</v>
      </c>
      <c r="E9" s="1" t="s">
        <v>56</v>
      </c>
      <c r="F9" s="1" t="s">
        <v>57</v>
      </c>
      <c r="G9" s="1" t="s">
        <v>15</v>
      </c>
      <c r="H9" s="2" t="s">
        <v>58</v>
      </c>
      <c r="I9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15</v>
      </c>
      <c r="H10" s="2" t="s">
        <v>65</v>
      </c>
      <c r="I10" s="1" t="s">
        <v>66</v>
      </c>
    </row>
    <row r="1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15</v>
      </c>
      <c r="H11" s="2" t="s">
        <v>73</v>
      </c>
      <c r="I11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2">
      <c r="A12" s="1" t="s">
        <v>74</v>
      </c>
      <c r="D12" s="1" t="s">
        <v>75</v>
      </c>
      <c r="E12" s="1" t="s">
        <v>76</v>
      </c>
      <c r="F12" s="1" t="s">
        <v>77</v>
      </c>
      <c r="G12" s="1" t="s">
        <v>15</v>
      </c>
      <c r="H12" s="2" t="s">
        <v>78</v>
      </c>
      <c r="I12" s="1" t="s">
        <v>66</v>
      </c>
    </row>
    <row r="1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15</v>
      </c>
      <c r="H13" s="2" t="s">
        <v>85</v>
      </c>
      <c r="I13" s="1" t="s">
        <v>86</v>
      </c>
    </row>
    <row r="14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15</v>
      </c>
      <c r="H14" s="2" t="s">
        <v>93</v>
      </c>
      <c r="I14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5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15</v>
      </c>
      <c r="H15" s="2" t="s">
        <v>100</v>
      </c>
      <c r="I15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6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15</v>
      </c>
      <c r="H16" s="2" t="s">
        <v>107</v>
      </c>
      <c r="I16" s="1" t="s">
        <v>66</v>
      </c>
    </row>
    <row r="17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1" t="s">
        <v>15</v>
      </c>
      <c r="H17" s="2" t="s">
        <v>114</v>
      </c>
      <c r="I17" s="1" t="s">
        <v>86</v>
      </c>
    </row>
    <row r="18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15</v>
      </c>
      <c r="H18" s="2" t="s">
        <v>121</v>
      </c>
      <c r="I18" s="1" t="s">
        <v>122</v>
      </c>
    </row>
    <row r="19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15</v>
      </c>
      <c r="H19" s="2" t="s">
        <v>129</v>
      </c>
      <c r="I19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Beleza""))"),"Maquiagem")</f>
        <v>Maquiagem</v>
      </c>
    </row>
    <row r="20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15</v>
      </c>
      <c r="H20" s="2" t="s">
        <v>136</v>
      </c>
      <c r="I20" s="1" t="s">
        <v>122</v>
      </c>
    </row>
    <row r="21">
      <c r="A21" s="1" t="s">
        <v>137</v>
      </c>
      <c r="B21" s="1" t="s">
        <v>138</v>
      </c>
      <c r="C21" s="1" t="s">
        <v>139</v>
      </c>
      <c r="D21" s="1" t="s">
        <v>18</v>
      </c>
      <c r="E21" s="1" t="s">
        <v>140</v>
      </c>
      <c r="F21" s="1" t="s">
        <v>141</v>
      </c>
      <c r="G21" s="1" t="s">
        <v>15</v>
      </c>
      <c r="H21" s="2" t="s">
        <v>142</v>
      </c>
      <c r="I21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2">
      <c r="A22" s="1" t="s">
        <v>143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15</v>
      </c>
      <c r="H22" s="2" t="s">
        <v>149</v>
      </c>
      <c r="I22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3">
      <c r="A23" s="1" t="s">
        <v>150</v>
      </c>
      <c r="D23" s="1" t="s">
        <v>151</v>
      </c>
      <c r="E23" s="1" t="s">
        <v>152</v>
      </c>
      <c r="F23" s="1" t="s">
        <v>153</v>
      </c>
      <c r="G23" s="1" t="s">
        <v>15</v>
      </c>
      <c r="H23" s="2" t="s">
        <v>154</v>
      </c>
      <c r="I23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4">
      <c r="A24" s="1" t="s">
        <v>155</v>
      </c>
      <c r="D24" s="1" t="s">
        <v>156</v>
      </c>
      <c r="E24" s="1" t="s">
        <v>157</v>
      </c>
      <c r="F24" s="1" t="s">
        <v>158</v>
      </c>
      <c r="G24" s="1" t="s">
        <v>15</v>
      </c>
      <c r="H24" s="2" t="s">
        <v>159</v>
      </c>
      <c r="I24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5">
      <c r="A25" s="1" t="s">
        <v>160</v>
      </c>
      <c r="D25" s="1" t="s">
        <v>18</v>
      </c>
      <c r="E25" s="1" t="s">
        <v>161</v>
      </c>
      <c r="F25" s="1" t="s">
        <v>162</v>
      </c>
      <c r="G25" s="1" t="s">
        <v>15</v>
      </c>
      <c r="H25" s="2" t="s">
        <v>163</v>
      </c>
      <c r="I25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6">
      <c r="A26" s="1" t="s">
        <v>164</v>
      </c>
      <c r="B26" s="1" t="s">
        <v>165</v>
      </c>
      <c r="C26" s="1" t="s">
        <v>166</v>
      </c>
      <c r="D26" s="1" t="s">
        <v>167</v>
      </c>
      <c r="E26" s="1" t="s">
        <v>168</v>
      </c>
      <c r="F26" s="1" t="s">
        <v>169</v>
      </c>
      <c r="G26" s="1" t="s">
        <v>15</v>
      </c>
      <c r="H26" s="2" t="s">
        <v>170</v>
      </c>
      <c r="I26" s="1" t="s">
        <v>66</v>
      </c>
    </row>
    <row r="27">
      <c r="A27" s="1" t="s">
        <v>171</v>
      </c>
      <c r="B27" s="1" t="s">
        <v>172</v>
      </c>
      <c r="C27" s="1" t="s">
        <v>173</v>
      </c>
      <c r="D27" s="1" t="s">
        <v>174</v>
      </c>
      <c r="E27" s="1" t="s">
        <v>175</v>
      </c>
      <c r="F27" s="1" t="s">
        <v>176</v>
      </c>
      <c r="G27" s="1" t="s">
        <v>15</v>
      </c>
      <c r="H27" s="2" t="s">
        <v>177</v>
      </c>
      <c r="I27" s="1" t="s">
        <v>178</v>
      </c>
    </row>
    <row r="28">
      <c r="A28" s="1" t="s">
        <v>179</v>
      </c>
      <c r="D28" s="1" t="s">
        <v>18</v>
      </c>
      <c r="E28" s="1" t="s">
        <v>180</v>
      </c>
      <c r="F28" s="1" t="s">
        <v>181</v>
      </c>
      <c r="G28" s="1" t="s">
        <v>15</v>
      </c>
      <c r="H28" s="2" t="s">
        <v>182</v>
      </c>
      <c r="I28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29">
      <c r="A29" s="1" t="s">
        <v>183</v>
      </c>
      <c r="B29" s="1" t="s">
        <v>184</v>
      </c>
      <c r="C29" s="1" t="s">
        <v>185</v>
      </c>
      <c r="D29" s="1" t="s">
        <v>186</v>
      </c>
      <c r="E29" s="1" t="s">
        <v>187</v>
      </c>
      <c r="F29" s="1" t="s">
        <v>188</v>
      </c>
      <c r="G29" s="1" t="s">
        <v>15</v>
      </c>
      <c r="H29" s="2" t="s">
        <v>189</v>
      </c>
      <c r="I29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Beleza""))"),"Manicure - Esmalteria")</f>
        <v>Manicure - Esmalteria</v>
      </c>
    </row>
    <row r="30">
      <c r="A30" s="1" t="s">
        <v>190</v>
      </c>
      <c r="B30" s="1" t="s">
        <v>191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15</v>
      </c>
      <c r="H30" s="2" t="s">
        <v>196</v>
      </c>
      <c r="I30" s="1" t="s">
        <v>197</v>
      </c>
    </row>
    <row r="31">
      <c r="A31" s="1" t="s">
        <v>198</v>
      </c>
      <c r="B31" s="1" t="s">
        <v>199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15</v>
      </c>
      <c r="H31" s="2" t="s">
        <v>204</v>
      </c>
      <c r="I31" s="1" t="s">
        <v>205</v>
      </c>
    </row>
    <row r="32">
      <c r="A32" s="1" t="s">
        <v>206</v>
      </c>
      <c r="B32" s="1" t="s">
        <v>207</v>
      </c>
      <c r="C32" s="1" t="s">
        <v>208</v>
      </c>
      <c r="D32" s="1" t="s">
        <v>209</v>
      </c>
      <c r="E32" s="1" t="s">
        <v>210</v>
      </c>
      <c r="F32" s="1" t="s">
        <v>211</v>
      </c>
      <c r="G32" s="1" t="s">
        <v>15</v>
      </c>
      <c r="H32" s="2" t="s">
        <v>212</v>
      </c>
      <c r="I32" s="1" t="s">
        <v>197</v>
      </c>
    </row>
    <row r="33">
      <c r="A33" s="1" t="s">
        <v>213</v>
      </c>
      <c r="D33" s="1" t="s">
        <v>214</v>
      </c>
      <c r="E33" s="1" t="s">
        <v>215</v>
      </c>
      <c r="F33" s="1" t="s">
        <v>216</v>
      </c>
      <c r="G33" s="1" t="s">
        <v>15</v>
      </c>
      <c r="H33" s="2" t="s">
        <v>217</v>
      </c>
      <c r="I33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4">
      <c r="A34" s="1" t="s">
        <v>218</v>
      </c>
      <c r="B34" s="1" t="s">
        <v>219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15</v>
      </c>
      <c r="H34" s="2" t="s">
        <v>224</v>
      </c>
      <c r="I34" s="1" t="s">
        <v>178</v>
      </c>
    </row>
    <row r="35">
      <c r="A35" s="1" t="s">
        <v>225</v>
      </c>
      <c r="B35" s="1" t="s">
        <v>226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15</v>
      </c>
      <c r="H35" s="2" t="s">
        <v>231</v>
      </c>
      <c r="I35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6">
      <c r="A36" s="1" t="s">
        <v>232</v>
      </c>
      <c r="B36" s="1" t="s">
        <v>233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15</v>
      </c>
      <c r="H36" s="2" t="s">
        <v>238</v>
      </c>
      <c r="I36" s="1" t="s">
        <v>66</v>
      </c>
    </row>
    <row r="37">
      <c r="A37" s="1" t="s">
        <v>239</v>
      </c>
      <c r="B37" s="1" t="s">
        <v>240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15</v>
      </c>
      <c r="H37" s="2" t="s">
        <v>245</v>
      </c>
      <c r="I37" s="1" t="s">
        <v>178</v>
      </c>
    </row>
    <row r="38">
      <c r="A38" s="1" t="s">
        <v>246</v>
      </c>
      <c r="B38" s="1" t="s">
        <v>247</v>
      </c>
      <c r="C38" s="1" t="s">
        <v>248</v>
      </c>
      <c r="D38" s="1" t="s">
        <v>249</v>
      </c>
      <c r="E38" s="1" t="s">
        <v>250</v>
      </c>
      <c r="F38" s="1" t="s">
        <v>251</v>
      </c>
      <c r="G38" s="1" t="s">
        <v>15</v>
      </c>
      <c r="H38" s="2" t="s">
        <v>252</v>
      </c>
      <c r="I38" s="1" t="s">
        <v>66</v>
      </c>
    </row>
    <row r="39">
      <c r="A39" s="1" t="s">
        <v>253</v>
      </c>
      <c r="B39" s="1" t="s">
        <v>254</v>
      </c>
      <c r="C39" s="1" t="s">
        <v>255</v>
      </c>
      <c r="D39" s="1" t="s">
        <v>256</v>
      </c>
      <c r="E39" s="1" t="s">
        <v>257</v>
      </c>
      <c r="F39" s="1" t="s">
        <v>258</v>
      </c>
      <c r="G39" s="1" t="s">
        <v>15</v>
      </c>
      <c r="H39" s="2" t="s">
        <v>259</v>
      </c>
      <c r="I39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0">
      <c r="A40" s="1" t="s">
        <v>260</v>
      </c>
      <c r="B40" s="1" t="s">
        <v>261</v>
      </c>
      <c r="C40" s="1" t="s">
        <v>262</v>
      </c>
      <c r="D40" s="1" t="s">
        <v>263</v>
      </c>
      <c r="E40" s="1" t="s">
        <v>264</v>
      </c>
      <c r="F40" s="1" t="s">
        <v>265</v>
      </c>
      <c r="G40" s="1" t="s">
        <v>15</v>
      </c>
      <c r="H40" s="2" t="s">
        <v>266</v>
      </c>
      <c r="I40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1">
      <c r="A41" s="1" t="s">
        <v>267</v>
      </c>
      <c r="D41" s="1" t="s">
        <v>268</v>
      </c>
      <c r="E41" s="1" t="s">
        <v>269</v>
      </c>
      <c r="F41" s="1" t="s">
        <v>270</v>
      </c>
      <c r="G41" s="1" t="s">
        <v>15</v>
      </c>
      <c r="H41" s="2" t="s">
        <v>271</v>
      </c>
      <c r="I41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Beleza""))"),"Salão de Beleza")</f>
        <v>Salão de Beleza</v>
      </c>
    </row>
    <row r="42">
      <c r="A42" s="1" t="s">
        <v>272</v>
      </c>
      <c r="B42" s="1" t="s">
        <v>273</v>
      </c>
      <c r="C42" s="1" t="s">
        <v>274</v>
      </c>
      <c r="D42" s="1" t="s">
        <v>275</v>
      </c>
      <c r="E42" s="1" t="s">
        <v>276</v>
      </c>
      <c r="F42" s="1" t="s">
        <v>277</v>
      </c>
      <c r="G42" s="1" t="s">
        <v>15</v>
      </c>
      <c r="H42" s="2" t="s">
        <v>278</v>
      </c>
      <c r="I42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3">
      <c r="A43" s="1" t="s">
        <v>279</v>
      </c>
      <c r="B43" s="1" t="s">
        <v>280</v>
      </c>
      <c r="C43" s="1" t="s">
        <v>281</v>
      </c>
      <c r="D43" s="1" t="s">
        <v>282</v>
      </c>
      <c r="E43" s="1" t="s">
        <v>283</v>
      </c>
      <c r="F43" s="1" t="s">
        <v>284</v>
      </c>
      <c r="G43" s="1" t="s">
        <v>15</v>
      </c>
      <c r="H43" s="2" t="s">
        <v>285</v>
      </c>
      <c r="I43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Beleza""))"),"Salão de Beleza")</f>
        <v>Salão de Beleza</v>
      </c>
    </row>
    <row r="44">
      <c r="A44" s="1" t="s">
        <v>286</v>
      </c>
      <c r="D44" s="1" t="s">
        <v>18</v>
      </c>
      <c r="E44" s="1" t="s">
        <v>287</v>
      </c>
      <c r="F44" s="1" t="s">
        <v>288</v>
      </c>
      <c r="G44" s="1" t="s">
        <v>15</v>
      </c>
      <c r="H44" s="2" t="s">
        <v>289</v>
      </c>
      <c r="I44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5">
      <c r="A45" s="1" t="s">
        <v>290</v>
      </c>
      <c r="B45" s="1" t="s">
        <v>291</v>
      </c>
      <c r="C45" s="1" t="s">
        <v>292</v>
      </c>
      <c r="D45" s="1" t="s">
        <v>293</v>
      </c>
      <c r="E45" s="1" t="s">
        <v>294</v>
      </c>
      <c r="F45" s="1" t="s">
        <v>295</v>
      </c>
      <c r="G45" s="1" t="s">
        <v>15</v>
      </c>
      <c r="H45" s="2" t="s">
        <v>296</v>
      </c>
      <c r="I45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6">
      <c r="A46" s="1" t="s">
        <v>297</v>
      </c>
      <c r="D46" s="1" t="s">
        <v>18</v>
      </c>
      <c r="E46" s="1" t="s">
        <v>298</v>
      </c>
      <c r="F46" s="1" t="s">
        <v>299</v>
      </c>
      <c r="G46" s="1" t="s">
        <v>15</v>
      </c>
      <c r="H46" s="2" t="s">
        <v>300</v>
      </c>
      <c r="I46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7">
      <c r="A47" s="1" t="s">
        <v>301</v>
      </c>
      <c r="D47" s="1" t="s">
        <v>302</v>
      </c>
      <c r="E47" s="1" t="s">
        <v>303</v>
      </c>
      <c r="F47" s="1" t="s">
        <v>304</v>
      </c>
      <c r="G47" s="1" t="s">
        <v>15</v>
      </c>
      <c r="H47" s="2" t="s">
        <v>305</v>
      </c>
      <c r="I47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8">
      <c r="A48" s="1" t="s">
        <v>306</v>
      </c>
      <c r="D48" s="1" t="s">
        <v>307</v>
      </c>
      <c r="E48" s="1" t="s">
        <v>308</v>
      </c>
      <c r="F48" s="1" t="s">
        <v>309</v>
      </c>
      <c r="G48" s="1" t="s">
        <v>15</v>
      </c>
      <c r="H48" s="2" t="s">
        <v>310</v>
      </c>
      <c r="I48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Beleza""))"),"Salão de Beleza")</f>
        <v>Salão de Beleza</v>
      </c>
    </row>
    <row r="49">
      <c r="A49" s="1" t="s">
        <v>311</v>
      </c>
      <c r="B49" s="1" t="s">
        <v>312</v>
      </c>
      <c r="C49" s="1" t="s">
        <v>313</v>
      </c>
      <c r="D49" s="1" t="s">
        <v>314</v>
      </c>
      <c r="E49" s="1" t="s">
        <v>315</v>
      </c>
      <c r="F49" s="1" t="s">
        <v>316</v>
      </c>
      <c r="G49" s="1" t="s">
        <v>15</v>
      </c>
      <c r="H49" s="2" t="s">
        <v>317</v>
      </c>
      <c r="I49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Beleza""))"),"Salão de Beleza")</f>
        <v>Salão de Beleza</v>
      </c>
    </row>
    <row r="50">
      <c r="A50" s="1" t="s">
        <v>318</v>
      </c>
      <c r="B50" s="1" t="s">
        <v>319</v>
      </c>
      <c r="C50" s="1" t="s">
        <v>320</v>
      </c>
      <c r="D50" s="1" t="s">
        <v>321</v>
      </c>
      <c r="E50" s="1" t="s">
        <v>322</v>
      </c>
      <c r="F50" s="1" t="s">
        <v>323</v>
      </c>
      <c r="G50" s="1" t="s">
        <v>15</v>
      </c>
      <c r="H50" s="2" t="s">
        <v>324</v>
      </c>
      <c r="I50" s="1" t="s">
        <v>66</v>
      </c>
    </row>
    <row r="51">
      <c r="A51" s="1" t="s">
        <v>325</v>
      </c>
      <c r="B51" s="1" t="s">
        <v>326</v>
      </c>
      <c r="C51" s="1" t="s">
        <v>327</v>
      </c>
      <c r="D51" s="1" t="s">
        <v>328</v>
      </c>
      <c r="E51" s="1" t="s">
        <v>329</v>
      </c>
      <c r="F51" s="1" t="s">
        <v>330</v>
      </c>
      <c r="G51" s="1" t="s">
        <v>15</v>
      </c>
      <c r="H51" s="2" t="s">
        <v>331</v>
      </c>
      <c r="I51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Beleza""))"),"Salão de Beleza")</f>
        <v>Salão de Beleza</v>
      </c>
    </row>
    <row r="52">
      <c r="A52" s="1" t="s">
        <v>332</v>
      </c>
      <c r="B52" s="1" t="s">
        <v>49</v>
      </c>
      <c r="C52" s="1" t="s">
        <v>50</v>
      </c>
      <c r="D52" s="1" t="s">
        <v>333</v>
      </c>
      <c r="E52" s="1" t="s">
        <v>334</v>
      </c>
      <c r="F52" s="1" t="s">
        <v>335</v>
      </c>
      <c r="G52" s="1" t="s">
        <v>15</v>
      </c>
      <c r="H52" s="2" t="s">
        <v>336</v>
      </c>
      <c r="I52" s="1" t="s">
        <v>66</v>
      </c>
    </row>
    <row r="53">
      <c r="A53" s="1" t="s">
        <v>337</v>
      </c>
      <c r="B53" s="1" t="s">
        <v>338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15</v>
      </c>
      <c r="H53" s="2" t="s">
        <v>343</v>
      </c>
      <c r="I53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4">
      <c r="A54" s="1" t="s">
        <v>344</v>
      </c>
      <c r="B54" s="1" t="s">
        <v>345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15</v>
      </c>
      <c r="H54" s="2" t="s">
        <v>350</v>
      </c>
      <c r="I54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5">
      <c r="A55" s="1" t="s">
        <v>351</v>
      </c>
      <c r="B55" s="1" t="s">
        <v>352</v>
      </c>
      <c r="C55" s="1" t="s">
        <v>353</v>
      </c>
      <c r="D55" s="1" t="s">
        <v>354</v>
      </c>
      <c r="E55" s="1" t="s">
        <v>355</v>
      </c>
      <c r="F55" s="1" t="s">
        <v>356</v>
      </c>
      <c r="G55" s="1" t="s">
        <v>15</v>
      </c>
      <c r="H55" s="2" t="s">
        <v>357</v>
      </c>
      <c r="I55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Beleza""))"),"Salão de Beleza")</f>
        <v>Salão de Beleza</v>
      </c>
    </row>
    <row r="56">
      <c r="A56" s="1" t="s">
        <v>358</v>
      </c>
      <c r="B56" s="1" t="s">
        <v>359</v>
      </c>
      <c r="C56" s="1" t="s">
        <v>360</v>
      </c>
      <c r="D56" s="1" t="s">
        <v>51</v>
      </c>
      <c r="E56" s="1" t="s">
        <v>361</v>
      </c>
      <c r="F56" s="1" t="s">
        <v>362</v>
      </c>
      <c r="G56" s="1" t="s">
        <v>15</v>
      </c>
      <c r="H56" s="2" t="s">
        <v>363</v>
      </c>
      <c r="I56" s="1" t="s">
        <v>364</v>
      </c>
    </row>
    <row r="57">
      <c r="A57" s="1" t="s">
        <v>365</v>
      </c>
      <c r="D57" s="1" t="s">
        <v>366</v>
      </c>
      <c r="E57" s="1" t="s">
        <v>367</v>
      </c>
      <c r="F57" s="1" t="s">
        <v>368</v>
      </c>
      <c r="G57" s="1" t="s">
        <v>15</v>
      </c>
      <c r="H57" s="2" t="s">
        <v>369</v>
      </c>
      <c r="I57" s="1" t="s">
        <v>205</v>
      </c>
    </row>
    <row r="58">
      <c r="A58" s="1" t="s">
        <v>370</v>
      </c>
      <c r="B58" s="1" t="s">
        <v>371</v>
      </c>
      <c r="C58" s="1" t="s">
        <v>372</v>
      </c>
      <c r="D58" s="1" t="s">
        <v>373</v>
      </c>
      <c r="E58" s="1" t="s">
        <v>374</v>
      </c>
      <c r="F58" s="1" t="s">
        <v>375</v>
      </c>
      <c r="G58" s="1" t="s">
        <v>15</v>
      </c>
      <c r="H58" s="2" t="s">
        <v>376</v>
      </c>
      <c r="I58" s="1" t="s">
        <v>86</v>
      </c>
    </row>
    <row r="59">
      <c r="A59" s="1" t="s">
        <v>377</v>
      </c>
      <c r="B59" s="1" t="s">
        <v>378</v>
      </c>
      <c r="C59" s="1" t="s">
        <v>379</v>
      </c>
      <c r="D59" s="1" t="s">
        <v>380</v>
      </c>
      <c r="E59" s="1" t="s">
        <v>381</v>
      </c>
      <c r="F59" s="1" t="s">
        <v>382</v>
      </c>
      <c r="G59" s="1" t="s">
        <v>15</v>
      </c>
      <c r="H59" s="2" t="s">
        <v>383</v>
      </c>
      <c r="I59" s="1" t="s">
        <v>66</v>
      </c>
    </row>
    <row r="60">
      <c r="A60" s="1" t="s">
        <v>384</v>
      </c>
      <c r="D60" s="1" t="s">
        <v>18</v>
      </c>
      <c r="E60" s="1" t="s">
        <v>385</v>
      </c>
      <c r="F60" s="1" t="s">
        <v>386</v>
      </c>
      <c r="G60" s="1" t="s">
        <v>15</v>
      </c>
      <c r="H60" s="2" t="s">
        <v>387</v>
      </c>
      <c r="I60" s="1" t="s">
        <v>66</v>
      </c>
    </row>
    <row r="61">
      <c r="A61" s="1" t="s">
        <v>388</v>
      </c>
      <c r="D61" s="1" t="s">
        <v>389</v>
      </c>
      <c r="E61" s="1" t="s">
        <v>390</v>
      </c>
      <c r="F61" s="1" t="s">
        <v>391</v>
      </c>
      <c r="G61" s="1" t="s">
        <v>15</v>
      </c>
      <c r="H61" s="2" t="s">
        <v>392</v>
      </c>
      <c r="I61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Beleza""))"),"Barbearia")</f>
        <v>Barbearia</v>
      </c>
    </row>
    <row r="62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15</v>
      </c>
      <c r="H62" s="2" t="s">
        <v>399</v>
      </c>
      <c r="I62" s="1" t="s">
        <v>86</v>
      </c>
    </row>
    <row r="63">
      <c r="A63" s="1" t="s">
        <v>400</v>
      </c>
      <c r="B63" s="1" t="s">
        <v>401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15</v>
      </c>
      <c r="H63" s="2" t="s">
        <v>406</v>
      </c>
      <c r="I63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4">
      <c r="A64" s="1" t="s">
        <v>407</v>
      </c>
      <c r="B64" s="1" t="s">
        <v>408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15</v>
      </c>
      <c r="H64" s="2" t="s">
        <v>413</v>
      </c>
      <c r="I64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Beleza""))"),"Salão de Beleza")</f>
        <v>Salão de Beleza</v>
      </c>
    </row>
    <row r="65">
      <c r="A65" s="1" t="s">
        <v>414</v>
      </c>
      <c r="B65" s="1" t="s">
        <v>415</v>
      </c>
      <c r="C65" s="1" t="s">
        <v>416</v>
      </c>
      <c r="D65" s="1" t="s">
        <v>417</v>
      </c>
      <c r="E65" s="1" t="s">
        <v>418</v>
      </c>
      <c r="F65" s="1" t="s">
        <v>419</v>
      </c>
      <c r="G65" s="1" t="s">
        <v>15</v>
      </c>
      <c r="H65" s="2" t="s">
        <v>420</v>
      </c>
      <c r="I65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6">
      <c r="A66" s="1" t="s">
        <v>421</v>
      </c>
      <c r="B66" s="1" t="s">
        <v>422</v>
      </c>
      <c r="C66" s="1" t="s">
        <v>423</v>
      </c>
      <c r="D66" s="1" t="s">
        <v>424</v>
      </c>
      <c r="E66" s="1" t="s">
        <v>411</v>
      </c>
      <c r="F66" s="1" t="s">
        <v>412</v>
      </c>
      <c r="G66" s="1" t="s">
        <v>15</v>
      </c>
      <c r="H66" s="2" t="s">
        <v>425</v>
      </c>
      <c r="I66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7">
      <c r="A67" s="1" t="s">
        <v>426</v>
      </c>
      <c r="B67" s="1" t="s">
        <v>427</v>
      </c>
      <c r="C67" s="1" t="s">
        <v>428</v>
      </c>
      <c r="D67" s="1" t="s">
        <v>429</v>
      </c>
      <c r="E67" s="1" t="s">
        <v>430</v>
      </c>
      <c r="F67" s="1" t="s">
        <v>431</v>
      </c>
      <c r="G67" s="1" t="s">
        <v>15</v>
      </c>
      <c r="H67" s="2" t="s">
        <v>432</v>
      </c>
      <c r="I67" s="1" t="s">
        <v>66</v>
      </c>
    </row>
    <row r="68">
      <c r="A68" s="1" t="s">
        <v>433</v>
      </c>
      <c r="B68" s="1" t="s">
        <v>434</v>
      </c>
      <c r="C68" s="1" t="s">
        <v>435</v>
      </c>
      <c r="D68" s="1" t="s">
        <v>436</v>
      </c>
      <c r="E68" s="1" t="s">
        <v>437</v>
      </c>
      <c r="F68" s="1" t="s">
        <v>438</v>
      </c>
      <c r="G68" s="1" t="s">
        <v>15</v>
      </c>
      <c r="H68" s="2" t="s">
        <v>439</v>
      </c>
      <c r="I68" s="1" t="s">
        <v>122</v>
      </c>
    </row>
    <row r="69">
      <c r="A69" s="1" t="s">
        <v>440</v>
      </c>
      <c r="B69" s="1" t="s">
        <v>441</v>
      </c>
      <c r="C69" s="1" t="s">
        <v>442</v>
      </c>
      <c r="D69" s="1" t="s">
        <v>443</v>
      </c>
      <c r="E69" s="1" t="s">
        <v>444</v>
      </c>
      <c r="F69" s="1" t="s">
        <v>445</v>
      </c>
      <c r="G69" s="1" t="s">
        <v>15</v>
      </c>
      <c r="H69" s="2" t="s">
        <v>446</v>
      </c>
      <c r="I69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Beleza""))"),"Maquiagem")</f>
        <v>Maquiagem</v>
      </c>
    </row>
    <row r="70">
      <c r="A70" s="1" t="s">
        <v>447</v>
      </c>
      <c r="B70" s="1" t="s">
        <v>448</v>
      </c>
      <c r="C70" s="1" t="s">
        <v>449</v>
      </c>
      <c r="D70" s="1" t="s">
        <v>450</v>
      </c>
      <c r="E70" s="1" t="s">
        <v>451</v>
      </c>
      <c r="F70" s="1" t="s">
        <v>452</v>
      </c>
      <c r="G70" s="1" t="s">
        <v>15</v>
      </c>
      <c r="H70" s="2" t="s">
        <v>453</v>
      </c>
      <c r="I70" s="1" t="s">
        <v>122</v>
      </c>
    </row>
    <row r="71">
      <c r="A71" s="1" t="s">
        <v>454</v>
      </c>
      <c r="B71" s="1" t="s">
        <v>455</v>
      </c>
      <c r="C71" s="1" t="s">
        <v>456</v>
      </c>
      <c r="D71" s="1" t="s">
        <v>457</v>
      </c>
      <c r="E71" s="1" t="s">
        <v>458</v>
      </c>
      <c r="F71" s="1" t="s">
        <v>459</v>
      </c>
      <c r="G71" s="1" t="s">
        <v>15</v>
      </c>
      <c r="H71" s="2" t="s">
        <v>460</v>
      </c>
      <c r="I71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2">
      <c r="A72" s="1" t="s">
        <v>461</v>
      </c>
      <c r="B72" s="1" t="s">
        <v>462</v>
      </c>
      <c r="C72" s="1" t="s">
        <v>463</v>
      </c>
      <c r="D72" s="1" t="s">
        <v>464</v>
      </c>
      <c r="E72" s="1" t="s">
        <v>465</v>
      </c>
      <c r="F72" s="1" t="s">
        <v>466</v>
      </c>
      <c r="G72" s="1" t="s">
        <v>15</v>
      </c>
      <c r="H72" s="2" t="s">
        <v>467</v>
      </c>
      <c r="I72" s="1" t="s">
        <v>66</v>
      </c>
    </row>
    <row r="73">
      <c r="A73" s="1" t="s">
        <v>468</v>
      </c>
      <c r="B73" s="1" t="s">
        <v>469</v>
      </c>
      <c r="C73" s="1" t="s">
        <v>470</v>
      </c>
      <c r="D73" s="1" t="s">
        <v>471</v>
      </c>
      <c r="E73" s="1" t="s">
        <v>472</v>
      </c>
      <c r="F73" s="1" t="s">
        <v>473</v>
      </c>
      <c r="G73" s="1" t="s">
        <v>15</v>
      </c>
      <c r="H73" s="2" t="s">
        <v>474</v>
      </c>
      <c r="I73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Beleza""))"),"Salão de Beleza")</f>
        <v>Salão de Beleza</v>
      </c>
    </row>
    <row r="74">
      <c r="A74" s="1" t="s">
        <v>475</v>
      </c>
      <c r="B74" s="1" t="s">
        <v>476</v>
      </c>
      <c r="C74" s="1" t="s">
        <v>477</v>
      </c>
      <c r="D74" s="1" t="s">
        <v>478</v>
      </c>
      <c r="E74" s="1" t="s">
        <v>479</v>
      </c>
      <c r="F74" s="1" t="s">
        <v>480</v>
      </c>
      <c r="G74" s="1" t="s">
        <v>15</v>
      </c>
      <c r="H74" s="2" t="s">
        <v>481</v>
      </c>
      <c r="I74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Beleza""))"),"Salão de Beleza")</f>
        <v>Salão de Beleza</v>
      </c>
    </row>
    <row r="75">
      <c r="A75" s="1" t="s">
        <v>482</v>
      </c>
      <c r="B75" s="1" t="s">
        <v>483</v>
      </c>
      <c r="C75" s="1" t="s">
        <v>484</v>
      </c>
      <c r="D75" s="1" t="s">
        <v>485</v>
      </c>
      <c r="E75" s="1" t="s">
        <v>486</v>
      </c>
      <c r="F75" s="1" t="s">
        <v>487</v>
      </c>
      <c r="G75" s="1" t="s">
        <v>15</v>
      </c>
      <c r="H75" s="2" t="s">
        <v>488</v>
      </c>
      <c r="I75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6">
      <c r="A76" s="1" t="s">
        <v>489</v>
      </c>
      <c r="D76" s="1" t="s">
        <v>490</v>
      </c>
      <c r="E76" s="1" t="s">
        <v>491</v>
      </c>
      <c r="F76" s="1" t="s">
        <v>492</v>
      </c>
      <c r="G76" s="1" t="s">
        <v>15</v>
      </c>
      <c r="H76" s="2" t="s">
        <v>493</v>
      </c>
      <c r="I76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Beleza""))"),"Salão de Beleza")</f>
        <v>Salão de Beleza</v>
      </c>
    </row>
    <row r="77">
      <c r="A77" s="1" t="s">
        <v>494</v>
      </c>
      <c r="D77" s="1" t="s">
        <v>75</v>
      </c>
      <c r="E77" s="1" t="s">
        <v>495</v>
      </c>
      <c r="F77" s="1" t="s">
        <v>496</v>
      </c>
      <c r="G77" s="1" t="s">
        <v>15</v>
      </c>
      <c r="H77" s="2" t="s">
        <v>497</v>
      </c>
      <c r="I77" s="1" t="s">
        <v>86</v>
      </c>
    </row>
    <row r="78">
      <c r="A78" s="1" t="s">
        <v>498</v>
      </c>
      <c r="B78" s="1" t="s">
        <v>499</v>
      </c>
      <c r="C78" s="1" t="s">
        <v>500</v>
      </c>
      <c r="D78" s="1" t="s">
        <v>501</v>
      </c>
      <c r="E78" s="1" t="s">
        <v>502</v>
      </c>
      <c r="F78" s="1" t="s">
        <v>503</v>
      </c>
      <c r="G78" s="1" t="s">
        <v>15</v>
      </c>
      <c r="H78" s="2" t="s">
        <v>504</v>
      </c>
      <c r="I78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Beleza""))"),"Salão de Beleza")</f>
        <v>Salão de Beleza</v>
      </c>
    </row>
    <row r="79">
      <c r="A79" s="1" t="s">
        <v>505</v>
      </c>
      <c r="D79" s="1" t="s">
        <v>506</v>
      </c>
      <c r="E79" s="1" t="s">
        <v>507</v>
      </c>
      <c r="F79" s="1" t="s">
        <v>508</v>
      </c>
      <c r="G79" s="1" t="s">
        <v>15</v>
      </c>
      <c r="H79" s="2" t="s">
        <v>509</v>
      </c>
      <c r="I79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Beleza""))"),"Salão de Beleza")</f>
        <v>Salão de Beleza</v>
      </c>
    </row>
    <row r="80">
      <c r="A80" s="1" t="s">
        <v>510</v>
      </c>
      <c r="B80" s="1" t="s">
        <v>511</v>
      </c>
      <c r="C80" s="1" t="s">
        <v>512</v>
      </c>
      <c r="D80" s="1" t="s">
        <v>513</v>
      </c>
      <c r="E80" s="1" t="s">
        <v>514</v>
      </c>
      <c r="F80" s="1" t="s">
        <v>515</v>
      </c>
      <c r="G80" s="1" t="s">
        <v>15</v>
      </c>
      <c r="H80" s="2" t="s">
        <v>516</v>
      </c>
      <c r="I80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Beleza""))"),"Salão de Beleza")</f>
        <v>Salão de Beleza</v>
      </c>
    </row>
    <row r="81">
      <c r="A81" s="1" t="s">
        <v>517</v>
      </c>
      <c r="B81" s="1" t="s">
        <v>518</v>
      </c>
      <c r="C81" s="1" t="s">
        <v>519</v>
      </c>
      <c r="D81" s="1" t="s">
        <v>520</v>
      </c>
      <c r="E81" s="1" t="s">
        <v>521</v>
      </c>
      <c r="F81" s="1" t="s">
        <v>522</v>
      </c>
      <c r="G81" s="1" t="s">
        <v>15</v>
      </c>
      <c r="H81" s="2" t="s">
        <v>523</v>
      </c>
      <c r="I81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Beleza""))"),"Salão de Beleza")</f>
        <v>Salão de Beleza</v>
      </c>
    </row>
    <row r="82">
      <c r="A82" s="1" t="s">
        <v>524</v>
      </c>
      <c r="B82" s="1" t="s">
        <v>525</v>
      </c>
      <c r="C82" s="1" t="s">
        <v>526</v>
      </c>
      <c r="D82" s="1" t="s">
        <v>527</v>
      </c>
      <c r="E82" s="1" t="s">
        <v>528</v>
      </c>
      <c r="F82" s="1" t="s">
        <v>529</v>
      </c>
      <c r="G82" s="1" t="s">
        <v>15</v>
      </c>
      <c r="H82" s="2" t="s">
        <v>530</v>
      </c>
      <c r="I82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Beleza""))"),"Salão de Beleza")</f>
        <v>Salão de Beleza</v>
      </c>
    </row>
    <row r="83">
      <c r="A83" s="1" t="s">
        <v>531</v>
      </c>
      <c r="B83" s="1" t="s">
        <v>532</v>
      </c>
      <c r="C83" s="1" t="s">
        <v>533</v>
      </c>
      <c r="D83" s="1" t="s">
        <v>534</v>
      </c>
      <c r="E83" s="1" t="s">
        <v>535</v>
      </c>
      <c r="F83" s="1" t="s">
        <v>536</v>
      </c>
      <c r="G83" s="1" t="s">
        <v>15</v>
      </c>
      <c r="H83" s="2" t="s">
        <v>537</v>
      </c>
      <c r="I83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Beleza""))"),"Salão de Beleza")</f>
        <v>Salão de Beleza</v>
      </c>
    </row>
    <row r="84">
      <c r="A84" s="1" t="s">
        <v>538</v>
      </c>
      <c r="B84" s="1" t="s">
        <v>401</v>
      </c>
      <c r="C84" s="1" t="s">
        <v>402</v>
      </c>
      <c r="D84" s="1" t="s">
        <v>539</v>
      </c>
      <c r="E84" s="1" t="s">
        <v>540</v>
      </c>
      <c r="F84" s="1" t="s">
        <v>541</v>
      </c>
      <c r="G84" s="1" t="s">
        <v>15</v>
      </c>
      <c r="H84" s="2" t="s">
        <v>542</v>
      </c>
      <c r="I84" s="1" t="s">
        <v>66</v>
      </c>
    </row>
    <row r="85">
      <c r="A85" s="1" t="s">
        <v>543</v>
      </c>
      <c r="B85" s="1" t="s">
        <v>544</v>
      </c>
      <c r="C85" s="1" t="s">
        <v>545</v>
      </c>
      <c r="D85" s="1" t="s">
        <v>546</v>
      </c>
      <c r="E85" s="1" t="s">
        <v>547</v>
      </c>
      <c r="F85" s="1" t="s">
        <v>548</v>
      </c>
      <c r="G85" s="1" t="s">
        <v>15</v>
      </c>
      <c r="H85" s="2" t="s">
        <v>549</v>
      </c>
      <c r="I85" s="1" t="s">
        <v>197</v>
      </c>
    </row>
    <row r="86">
      <c r="A86" s="1" t="s">
        <v>550</v>
      </c>
      <c r="D86" s="1" t="s">
        <v>551</v>
      </c>
      <c r="E86" s="1" t="s">
        <v>552</v>
      </c>
      <c r="F86" s="1" t="s">
        <v>553</v>
      </c>
      <c r="G86" s="1" t="s">
        <v>15</v>
      </c>
      <c r="H86" s="2" t="s">
        <v>554</v>
      </c>
      <c r="I86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Beleza""))"),"Salão de Beleza")</f>
        <v>Salão de Beleza</v>
      </c>
    </row>
    <row r="87">
      <c r="A87" s="1" t="s">
        <v>555</v>
      </c>
      <c r="B87" s="1" t="s">
        <v>556</v>
      </c>
      <c r="C87" s="1" t="s">
        <v>557</v>
      </c>
      <c r="D87" s="1" t="s">
        <v>558</v>
      </c>
      <c r="E87" s="1" t="s">
        <v>559</v>
      </c>
      <c r="F87" s="1" t="s">
        <v>560</v>
      </c>
      <c r="G87" s="1" t="s">
        <v>15</v>
      </c>
      <c r="H87" s="2" t="s">
        <v>561</v>
      </c>
      <c r="I87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Beleza""))"),"Salão de Beleza")</f>
        <v>Salão de Beleza</v>
      </c>
    </row>
    <row r="88">
      <c r="A88" s="1" t="s">
        <v>562</v>
      </c>
      <c r="B88" s="1" t="s">
        <v>563</v>
      </c>
      <c r="C88" s="1" t="s">
        <v>564</v>
      </c>
      <c r="D88" s="1" t="s">
        <v>565</v>
      </c>
      <c r="E88" s="1" t="s">
        <v>566</v>
      </c>
      <c r="F88" s="1" t="s">
        <v>567</v>
      </c>
      <c r="G88" s="1" t="s">
        <v>15</v>
      </c>
      <c r="H88" s="2" t="s">
        <v>568</v>
      </c>
      <c r="I88" s="1" t="s">
        <v>66</v>
      </c>
    </row>
    <row r="89">
      <c r="A89" s="1" t="s">
        <v>569</v>
      </c>
      <c r="B89" s="1" t="s">
        <v>570</v>
      </c>
      <c r="C89" s="1" t="s">
        <v>571</v>
      </c>
      <c r="D89" s="1" t="s">
        <v>572</v>
      </c>
      <c r="E89" s="1" t="s">
        <v>573</v>
      </c>
      <c r="F89" s="1" t="s">
        <v>574</v>
      </c>
      <c r="G89" s="1" t="s">
        <v>15</v>
      </c>
      <c r="H89" s="2" t="s">
        <v>575</v>
      </c>
      <c r="I89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Beleza""))"),"Manicure - Esmalteria")</f>
        <v>Manicure - Esmalteria</v>
      </c>
    </row>
    <row r="90">
      <c r="A90" s="1" t="s">
        <v>576</v>
      </c>
      <c r="D90" s="1" t="s">
        <v>577</v>
      </c>
      <c r="E90" s="1" t="s">
        <v>578</v>
      </c>
      <c r="F90" s="1" t="s">
        <v>579</v>
      </c>
      <c r="G90" s="1" t="s">
        <v>15</v>
      </c>
      <c r="H90" s="2" t="s">
        <v>580</v>
      </c>
      <c r="I90" s="1" t="s">
        <v>197</v>
      </c>
    </row>
    <row r="91">
      <c r="A91" s="1" t="s">
        <v>581</v>
      </c>
      <c r="D91" s="1" t="s">
        <v>582</v>
      </c>
      <c r="E91" s="1" t="s">
        <v>583</v>
      </c>
      <c r="F91" s="1" t="s">
        <v>584</v>
      </c>
      <c r="G91" s="1" t="s">
        <v>15</v>
      </c>
      <c r="H91" s="2" t="s">
        <v>585</v>
      </c>
      <c r="I91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Beleza""))"),"Salão de Beleza")</f>
        <v>Salão de Beleza</v>
      </c>
    </row>
    <row r="92">
      <c r="A92" s="1" t="s">
        <v>586</v>
      </c>
      <c r="D92" s="1" t="s">
        <v>18</v>
      </c>
      <c r="E92" s="1" t="s">
        <v>587</v>
      </c>
      <c r="F92" s="1" t="s">
        <v>588</v>
      </c>
      <c r="G92" s="1" t="s">
        <v>15</v>
      </c>
      <c r="H92" s="2" t="s">
        <v>589</v>
      </c>
      <c r="I92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Beleza""))"),"Salão de Beleza")</f>
        <v>Salão de Beleza</v>
      </c>
    </row>
    <row r="93">
      <c r="A93" s="1" t="s">
        <v>590</v>
      </c>
      <c r="B93" s="1" t="s">
        <v>591</v>
      </c>
      <c r="C93" s="1" t="s">
        <v>592</v>
      </c>
      <c r="D93" s="1" t="s">
        <v>593</v>
      </c>
      <c r="E93" s="1" t="s">
        <v>594</v>
      </c>
      <c r="F93" s="1" t="s">
        <v>595</v>
      </c>
      <c r="G93" s="1" t="s">
        <v>15</v>
      </c>
      <c r="H93" s="2" t="s">
        <v>596</v>
      </c>
      <c r="I93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4">
      <c r="A94" s="1" t="s">
        <v>597</v>
      </c>
      <c r="B94" s="1" t="s">
        <v>598</v>
      </c>
      <c r="C94" s="1" t="s">
        <v>599</v>
      </c>
      <c r="D94" s="1" t="s">
        <v>600</v>
      </c>
      <c r="E94" s="1" t="s">
        <v>601</v>
      </c>
      <c r="F94" s="1" t="s">
        <v>602</v>
      </c>
      <c r="G94" s="1" t="s">
        <v>15</v>
      </c>
      <c r="H94" s="2" t="s">
        <v>603</v>
      </c>
      <c r="I94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Beleza""))"),"Salão de Beleza")</f>
        <v>Salão de Beleza</v>
      </c>
    </row>
    <row r="95">
      <c r="A95" s="1" t="s">
        <v>604</v>
      </c>
      <c r="B95" s="1" t="s">
        <v>605</v>
      </c>
      <c r="C95" s="1" t="s">
        <v>606</v>
      </c>
      <c r="D95" s="1" t="s">
        <v>607</v>
      </c>
      <c r="E95" s="1" t="s">
        <v>608</v>
      </c>
      <c r="F95" s="1" t="s">
        <v>609</v>
      </c>
      <c r="G95" s="1" t="s">
        <v>15</v>
      </c>
      <c r="H95" s="2" t="s">
        <v>610</v>
      </c>
      <c r="I95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Beleza""))"),"Salão de Beleza")</f>
        <v>Salão de Beleza</v>
      </c>
    </row>
    <row r="96">
      <c r="A96" s="1" t="s">
        <v>611</v>
      </c>
      <c r="B96" s="1" t="s">
        <v>612</v>
      </c>
      <c r="C96" s="1" t="s">
        <v>613</v>
      </c>
      <c r="D96" s="1" t="s">
        <v>614</v>
      </c>
      <c r="E96" s="1" t="s">
        <v>615</v>
      </c>
      <c r="F96" s="1" t="s">
        <v>616</v>
      </c>
      <c r="G96" s="1" t="s">
        <v>15</v>
      </c>
      <c r="H96" s="2" t="s">
        <v>617</v>
      </c>
      <c r="I96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Beleza""))"),"Salão de Beleza")</f>
        <v>Salão de Beleza</v>
      </c>
    </row>
    <row r="97">
      <c r="A97" s="1" t="s">
        <v>618</v>
      </c>
      <c r="B97" s="1" t="s">
        <v>619</v>
      </c>
      <c r="C97" s="1" t="s">
        <v>620</v>
      </c>
      <c r="D97" s="1" t="s">
        <v>621</v>
      </c>
      <c r="E97" s="1" t="s">
        <v>622</v>
      </c>
      <c r="F97" s="1" t="s">
        <v>623</v>
      </c>
      <c r="G97" s="1" t="s">
        <v>15</v>
      </c>
      <c r="H97" s="2" t="s">
        <v>624</v>
      </c>
      <c r="I97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Beleza""))"),"Manicure - Esmalteria")</f>
        <v>Manicure - Esmalteria</v>
      </c>
    </row>
    <row r="98">
      <c r="A98" s="1" t="s">
        <v>625</v>
      </c>
      <c r="B98" s="1" t="s">
        <v>626</v>
      </c>
      <c r="C98" s="1" t="s">
        <v>627</v>
      </c>
      <c r="D98" s="1" t="s">
        <v>628</v>
      </c>
      <c r="E98" s="1" t="s">
        <v>629</v>
      </c>
      <c r="F98" s="1" t="s">
        <v>630</v>
      </c>
      <c r="G98" s="1" t="s">
        <v>15</v>
      </c>
      <c r="H98" s="2" t="s">
        <v>631</v>
      </c>
      <c r="I98" s="1" t="s">
        <v>197</v>
      </c>
    </row>
    <row r="99">
      <c r="A99" s="1" t="s">
        <v>632</v>
      </c>
      <c r="B99" s="1" t="s">
        <v>633</v>
      </c>
      <c r="C99" s="1" t="s">
        <v>634</v>
      </c>
      <c r="D99" s="1" t="s">
        <v>635</v>
      </c>
      <c r="E99" s="1" t="s">
        <v>615</v>
      </c>
      <c r="F99" s="1" t="s">
        <v>616</v>
      </c>
      <c r="G99" s="1" t="s">
        <v>15</v>
      </c>
      <c r="H99" s="2" t="s">
        <v>636</v>
      </c>
      <c r="I99" s="1" t="s">
        <v>66</v>
      </c>
    </row>
    <row r="100">
      <c r="A100" s="1" t="s">
        <v>637</v>
      </c>
      <c r="B100" s="1" t="s">
        <v>638</v>
      </c>
      <c r="C100" s="1" t="s">
        <v>639</v>
      </c>
      <c r="D100" s="1" t="s">
        <v>640</v>
      </c>
      <c r="E100" s="1" t="s">
        <v>641</v>
      </c>
      <c r="F100" s="1" t="s">
        <v>642</v>
      </c>
      <c r="G100" s="1" t="s">
        <v>15</v>
      </c>
      <c r="H100" s="2" t="s">
        <v>643</v>
      </c>
      <c r="I100" s="1" t="s">
        <v>197</v>
      </c>
    </row>
    <row r="101">
      <c r="A101" s="1" t="s">
        <v>644</v>
      </c>
      <c r="B101" s="1" t="s">
        <v>645</v>
      </c>
      <c r="C101" s="1" t="s">
        <v>646</v>
      </c>
      <c r="D101" s="1" t="s">
        <v>647</v>
      </c>
      <c r="E101" s="1" t="s">
        <v>648</v>
      </c>
      <c r="F101" s="1" t="s">
        <v>649</v>
      </c>
      <c r="G101" s="1" t="s">
        <v>15</v>
      </c>
      <c r="H101" s="2" t="s">
        <v>650</v>
      </c>
      <c r="I101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Beleza""))"),"Salão de Beleza")</f>
        <v>Salão de Beleza</v>
      </c>
    </row>
    <row r="102">
      <c r="A102" s="1" t="s">
        <v>651</v>
      </c>
      <c r="B102" s="1" t="s">
        <v>652</v>
      </c>
      <c r="C102" s="1" t="s">
        <v>653</v>
      </c>
      <c r="D102" s="1" t="s">
        <v>654</v>
      </c>
      <c r="E102" s="1" t="s">
        <v>655</v>
      </c>
      <c r="F102" s="1" t="s">
        <v>656</v>
      </c>
      <c r="G102" s="1" t="s">
        <v>15</v>
      </c>
      <c r="H102" s="2" t="s">
        <v>657</v>
      </c>
      <c r="I102" s="3" t="str">
        <f>IFERROR(__xludf.DUMMYFUNCTION("IF(A103="""", """", IFS(REGEXMATCH(LOWER(A103), ""barbearia|barber""), ""Barbearia"", REGEXMATCH(LOWER(A103), ""sobrancelh|c[ií]lio|lash|micropigment|showbrancelhas""), ""Sobrancelhas e Cílios"", REGEXMATCH(LOWER(A103), ""maquia|make""), ""Maquiagem"", RE"&amp;"GEXMATCH(LOWER(A103), ""depil|epil""), ""Depilação"", REGEXMATCH(LOWER(A103), ""esmalteria|unha|nail|manicur|spa dos p[eé]s|kauu_nhas""), ""Manicure - Esmalteria"", REGEXMATCH(LOWER(A103), ""est[eé]tic|bronze|massot|terap|pilates|revitalize|dra""), ""Clín"&amp;"ica de Estética"", TRUE, ""Salão de Beleza""))"),"Salão de Beleza")</f>
        <v>Salão de Beleza</v>
      </c>
    </row>
    <row r="103">
      <c r="A103" s="1" t="s">
        <v>658</v>
      </c>
      <c r="B103" s="1" t="s">
        <v>659</v>
      </c>
      <c r="C103" s="1" t="s">
        <v>660</v>
      </c>
      <c r="D103" s="1" t="s">
        <v>146</v>
      </c>
      <c r="E103" s="1" t="s">
        <v>661</v>
      </c>
      <c r="F103" s="1" t="s">
        <v>662</v>
      </c>
      <c r="G103" s="1" t="s">
        <v>15</v>
      </c>
      <c r="H103" s="2" t="s">
        <v>663</v>
      </c>
      <c r="I103" s="3" t="str">
        <f>IFERROR(__xludf.DUMMYFUNCTION("IF(A104="""", """", IFS(REGEXMATCH(LOWER(A104), ""barbearia|barber""), ""Barbearia"", REGEXMATCH(LOWER(A104), ""sobrancelh|c[ií]lio|lash|micropigment|showbrancelhas""), ""Sobrancelhas e Cílios"", REGEXMATCH(LOWER(A104), ""maquia|make""), ""Maquiagem"", RE"&amp;"GEXMATCH(LOWER(A104), ""depil|epil""), ""Depilação"", REGEXMATCH(LOWER(A104), ""esmalteria|unha|nail|manicur|spa dos p[eé]s|kauu_nhas""), ""Manicure - Esmalteria"", REGEXMATCH(LOWER(A104), ""est[eé]tic|bronze|massot|terap|pilates|revitalize|dra""), ""Clín"&amp;"ica de Estética"", TRUE, ""Salão de Beleza""))"),"Salão de Beleza")</f>
        <v>Salão de Beleza</v>
      </c>
    </row>
    <row r="104">
      <c r="A104" s="1" t="s">
        <v>664</v>
      </c>
      <c r="B104" s="1" t="s">
        <v>665</v>
      </c>
      <c r="C104" s="1" t="s">
        <v>666</v>
      </c>
      <c r="D104" s="1" t="s">
        <v>667</v>
      </c>
      <c r="E104" s="1" t="s">
        <v>668</v>
      </c>
      <c r="F104" s="1" t="s">
        <v>669</v>
      </c>
      <c r="G104" s="1" t="s">
        <v>15</v>
      </c>
      <c r="H104" s="2" t="s">
        <v>670</v>
      </c>
      <c r="I104" s="3" t="str">
        <f>IFERROR(__xludf.DUMMYFUNCTION("IF(A105="""", """", IFS(REGEXMATCH(LOWER(A105), ""barbearia|barber""), ""Barbearia"", REGEXMATCH(LOWER(A105), ""sobrancelh|c[ií]lio|lash|micropigment|showbrancelhas""), ""Sobrancelhas e Cílios"", REGEXMATCH(LOWER(A105), ""maquia|make""), ""Maquiagem"", RE"&amp;"GEXMATCH(LOWER(A105), ""depil|epil""), ""Depilação"", REGEXMATCH(LOWER(A105), ""esmalteria|unha|nail|manicur|spa dos p[eé]s|kauu_nhas""), ""Manicure - Esmalteria"", REGEXMATCH(LOWER(A105), ""est[eé]tic|bronze|massot|terap|pilates|revitalize|dra""), ""Clín"&amp;"ica de Estética"", TRUE, ""Salão de Beleza""))"),"Salão de Beleza")</f>
        <v>Salão de Beleza</v>
      </c>
    </row>
    <row r="105">
      <c r="A105" s="1" t="s">
        <v>671</v>
      </c>
      <c r="D105" s="1" t="s">
        <v>672</v>
      </c>
      <c r="E105" s="1" t="s">
        <v>673</v>
      </c>
      <c r="F105" s="1" t="s">
        <v>674</v>
      </c>
      <c r="G105" s="1" t="s">
        <v>15</v>
      </c>
      <c r="H105" s="2" t="s">
        <v>675</v>
      </c>
      <c r="I105" s="1" t="s">
        <v>66</v>
      </c>
    </row>
    <row r="106">
      <c r="A106" s="1" t="s">
        <v>676</v>
      </c>
      <c r="D106" s="1" t="s">
        <v>677</v>
      </c>
      <c r="E106" s="1" t="s">
        <v>678</v>
      </c>
      <c r="F106" s="1" t="s">
        <v>679</v>
      </c>
      <c r="G106" s="1" t="s">
        <v>15</v>
      </c>
      <c r="H106" s="2" t="s">
        <v>680</v>
      </c>
      <c r="I106" s="1" t="s">
        <v>66</v>
      </c>
    </row>
    <row r="107">
      <c r="A107" s="1" t="s">
        <v>681</v>
      </c>
      <c r="D107" s="1" t="s">
        <v>682</v>
      </c>
      <c r="E107" s="1" t="s">
        <v>683</v>
      </c>
      <c r="F107" s="1" t="s">
        <v>684</v>
      </c>
      <c r="G107" s="1" t="s">
        <v>15</v>
      </c>
      <c r="H107" s="2" t="s">
        <v>685</v>
      </c>
      <c r="I107" s="1" t="s">
        <v>364</v>
      </c>
    </row>
    <row r="108">
      <c r="A108" s="1" t="s">
        <v>686</v>
      </c>
      <c r="D108" s="1" t="s">
        <v>687</v>
      </c>
      <c r="E108" s="1" t="s">
        <v>688</v>
      </c>
      <c r="F108" s="1" t="s">
        <v>689</v>
      </c>
      <c r="G108" s="1" t="s">
        <v>15</v>
      </c>
      <c r="H108" s="2" t="s">
        <v>690</v>
      </c>
      <c r="I108" s="1" t="s">
        <v>66</v>
      </c>
    </row>
    <row r="109">
      <c r="A109" s="1" t="s">
        <v>691</v>
      </c>
      <c r="B109" s="1" t="s">
        <v>692</v>
      </c>
      <c r="C109" s="1" t="s">
        <v>693</v>
      </c>
      <c r="D109" s="1" t="s">
        <v>694</v>
      </c>
      <c r="E109" s="1" t="s">
        <v>695</v>
      </c>
      <c r="F109" s="1" t="s">
        <v>696</v>
      </c>
      <c r="G109" s="1" t="s">
        <v>15</v>
      </c>
      <c r="H109" s="2" t="s">
        <v>697</v>
      </c>
      <c r="I109" s="1" t="s">
        <v>197</v>
      </c>
    </row>
    <row r="110">
      <c r="A110" s="1" t="s">
        <v>698</v>
      </c>
      <c r="D110" s="1" t="s">
        <v>699</v>
      </c>
      <c r="E110" s="1" t="s">
        <v>700</v>
      </c>
      <c r="F110" s="1" t="s">
        <v>701</v>
      </c>
      <c r="G110" s="1" t="s">
        <v>15</v>
      </c>
      <c r="H110" s="2" t="s">
        <v>702</v>
      </c>
      <c r="I110" s="3" t="str">
        <f>IFERROR(__xludf.DUMMYFUNCTION("IF(A111="""", """", IFS(REGEXMATCH(LOWER(A111), ""barbearia|barber""), ""Barbearia"", REGEXMATCH(LOWER(A111), ""sobrancelh|c[ií]lio|lash|micropigment|showbrancelhas""), ""Sobrancelhas e Cílios"", REGEXMATCH(LOWER(A111), ""maquia|make""), ""Maquiagem"", RE"&amp;"GEXMATCH(LOWER(A111), ""depil|epil""), ""Depilação"", REGEXMATCH(LOWER(A111), ""esmalteria|unha|nail|manicur|spa dos p[eé]s|kauu_nhas""), ""Manicure - Esmalteria"", REGEXMATCH(LOWER(A111), ""est[eé]tic|bronze|massot|terap|pilates|revitalize|dra""), ""Clín"&amp;"ica de Estética"", TRUE, ""Salão de Beleza""))"),"Salão de Beleza")</f>
        <v>Salão de Beleza</v>
      </c>
    </row>
    <row r="111">
      <c r="A111" s="1" t="s">
        <v>703</v>
      </c>
      <c r="B111" s="1" t="s">
        <v>704</v>
      </c>
      <c r="C111" s="1" t="s">
        <v>705</v>
      </c>
      <c r="D111" s="1" t="s">
        <v>706</v>
      </c>
      <c r="E111" s="1" t="s">
        <v>707</v>
      </c>
      <c r="F111" s="1" t="s">
        <v>708</v>
      </c>
      <c r="G111" s="1" t="s">
        <v>15</v>
      </c>
      <c r="H111" s="2" t="s">
        <v>709</v>
      </c>
      <c r="I111" s="1" t="s">
        <v>66</v>
      </c>
    </row>
    <row r="112">
      <c r="A112" s="1" t="s">
        <v>710</v>
      </c>
      <c r="B112" s="1" t="s">
        <v>711</v>
      </c>
      <c r="C112" s="1" t="s">
        <v>712</v>
      </c>
      <c r="D112" s="1" t="s">
        <v>713</v>
      </c>
      <c r="E112" s="1" t="s">
        <v>714</v>
      </c>
      <c r="F112" s="1" t="s">
        <v>715</v>
      </c>
      <c r="G112" s="1" t="s">
        <v>15</v>
      </c>
      <c r="H112" s="2" t="s">
        <v>716</v>
      </c>
      <c r="I112" s="1" t="s">
        <v>122</v>
      </c>
    </row>
    <row r="113">
      <c r="A113" s="1" t="s">
        <v>717</v>
      </c>
      <c r="B113" s="1" t="s">
        <v>718</v>
      </c>
      <c r="C113" s="1" t="s">
        <v>719</v>
      </c>
      <c r="D113" s="1" t="s">
        <v>720</v>
      </c>
      <c r="E113" s="1" t="s">
        <v>721</v>
      </c>
      <c r="F113" s="1" t="s">
        <v>722</v>
      </c>
      <c r="G113" s="1" t="s">
        <v>15</v>
      </c>
      <c r="H113" s="2" t="s">
        <v>723</v>
      </c>
      <c r="I113" s="3" t="str">
        <f>IFERROR(__xludf.DUMMYFUNCTION("IF(A114="""", """", IFS(REGEXMATCH(LOWER(A114), ""barbearia|barber""), ""Barbearia"", REGEXMATCH(LOWER(A114), ""sobrancelh|c[ií]lio|lash|micropigment|showbrancelhas""), ""Sobrancelhas e Cílios"", REGEXMATCH(LOWER(A114), ""maquia|make""), ""Maquiagem"", RE"&amp;"GEXMATCH(LOWER(A114), ""depil|epil""), ""Depilação"", REGEXMATCH(LOWER(A114), ""esmalteria|unha|nail|manicur|spa dos p[eé]s|kauu_nhas""), ""Manicure - Esmalteria"", REGEXMATCH(LOWER(A114), ""est[eé]tic|bronze|massot|terap|pilates|revitalize|dra""), ""Clín"&amp;"ica de Estética"", TRUE, ""Salão de Beleza""))"),"Salão de Beleza")</f>
        <v>Salão de Beleza</v>
      </c>
    </row>
    <row r="114">
      <c r="A114" s="1" t="s">
        <v>724</v>
      </c>
      <c r="D114" s="1" t="s">
        <v>18</v>
      </c>
      <c r="E114" s="1" t="s">
        <v>725</v>
      </c>
      <c r="F114" s="1" t="s">
        <v>726</v>
      </c>
      <c r="G114" s="1" t="s">
        <v>15</v>
      </c>
      <c r="H114" s="2" t="s">
        <v>727</v>
      </c>
      <c r="I114" s="3" t="str">
        <f>IFERROR(__xludf.DUMMYFUNCTION("IF(A115="""", """", IFS(REGEXMATCH(LOWER(A115), ""barbearia|barber""), ""Barbearia"", REGEXMATCH(LOWER(A115), ""sobrancelh|c[ií]lio|lash|micropigment|showbrancelhas""), ""Sobrancelhas e Cílios"", REGEXMATCH(LOWER(A115), ""maquia|make""), ""Maquiagem"", RE"&amp;"GEXMATCH(LOWER(A115), ""depil|epil""), ""Depilação"", REGEXMATCH(LOWER(A115), ""esmalteria|unha|nail|manicur|spa dos p[eé]s|kauu_nhas""), ""Manicure - Esmalteria"", REGEXMATCH(LOWER(A115), ""est[eé]tic|bronze|massot|terap|pilates|revitalize|dra""), ""Clín"&amp;"ica de Estética"", TRUE, ""Salão de Beleza""))"),"Salão de Beleza")</f>
        <v>Salão de Beleza</v>
      </c>
    </row>
    <row r="115">
      <c r="A115" s="1" t="s">
        <v>728</v>
      </c>
      <c r="B115" s="1" t="s">
        <v>729</v>
      </c>
      <c r="C115" s="1" t="s">
        <v>730</v>
      </c>
      <c r="D115" s="1" t="s">
        <v>731</v>
      </c>
      <c r="E115" s="1" t="s">
        <v>732</v>
      </c>
      <c r="F115" s="1" t="s">
        <v>733</v>
      </c>
      <c r="G115" s="1" t="s">
        <v>15</v>
      </c>
      <c r="H115" s="2" t="s">
        <v>734</v>
      </c>
      <c r="I115" s="3" t="str">
        <f>IFERROR(__xludf.DUMMYFUNCTION("IF(A116="""", """", IFS(REGEXMATCH(LOWER(A116), ""barbearia|barber""), ""Barbearia"", REGEXMATCH(LOWER(A116), ""sobrancelh|c[ií]lio|lash|micropigment|showbrancelhas""), ""Sobrancelhas e Cílios"", REGEXMATCH(LOWER(A116), ""maquia|make""), ""Maquiagem"", RE"&amp;"GEXMATCH(LOWER(A116), ""depil|epil""), ""Depilação"", REGEXMATCH(LOWER(A116), ""esmalteria|unha|nail|manicur|spa dos p[eé]s|kauu_nhas""), ""Manicure - Esmalteria"", REGEXMATCH(LOWER(A116), ""est[eé]tic|bronze|massot|terap|pilates|revitalize|dra""), ""Clín"&amp;"ica de Estética"", TRUE, ""Salão de Beleza""))"),"Salão de Beleza")</f>
        <v>Salão de Beleza</v>
      </c>
    </row>
    <row r="116">
      <c r="A116" s="1" t="s">
        <v>735</v>
      </c>
      <c r="B116" s="1" t="s">
        <v>736</v>
      </c>
      <c r="C116" s="1" t="s">
        <v>737</v>
      </c>
      <c r="D116" s="1" t="s">
        <v>738</v>
      </c>
      <c r="E116" s="1" t="s">
        <v>739</v>
      </c>
      <c r="F116" s="1" t="s">
        <v>740</v>
      </c>
      <c r="G116" s="1" t="s">
        <v>15</v>
      </c>
      <c r="H116" s="2" t="s">
        <v>741</v>
      </c>
      <c r="I116" s="1" t="s">
        <v>66</v>
      </c>
    </row>
    <row r="117">
      <c r="A117" s="1" t="s">
        <v>742</v>
      </c>
      <c r="B117" s="1" t="s">
        <v>743</v>
      </c>
      <c r="C117" s="1" t="s">
        <v>744</v>
      </c>
      <c r="D117" s="1" t="s">
        <v>745</v>
      </c>
      <c r="E117" s="1" t="s">
        <v>746</v>
      </c>
      <c r="F117" s="1" t="s">
        <v>747</v>
      </c>
      <c r="G117" s="1" t="s">
        <v>15</v>
      </c>
      <c r="H117" s="2" t="s">
        <v>748</v>
      </c>
      <c r="I117" s="1" t="s">
        <v>197</v>
      </c>
    </row>
    <row r="118">
      <c r="A118" s="1" t="s">
        <v>749</v>
      </c>
      <c r="B118" s="1" t="s">
        <v>750</v>
      </c>
      <c r="C118" s="1" t="s">
        <v>751</v>
      </c>
      <c r="D118" s="1" t="s">
        <v>752</v>
      </c>
      <c r="E118" s="1" t="s">
        <v>753</v>
      </c>
      <c r="F118" s="1" t="s">
        <v>754</v>
      </c>
      <c r="G118" s="1" t="s">
        <v>15</v>
      </c>
      <c r="H118" s="2" t="s">
        <v>755</v>
      </c>
      <c r="I118" s="1" t="s">
        <v>197</v>
      </c>
    </row>
    <row r="119">
      <c r="A119" s="1" t="s">
        <v>756</v>
      </c>
      <c r="D119" s="1" t="s">
        <v>18</v>
      </c>
      <c r="E119" s="1" t="s">
        <v>757</v>
      </c>
      <c r="F119" s="1" t="s">
        <v>758</v>
      </c>
      <c r="G119" s="1" t="s">
        <v>15</v>
      </c>
      <c r="H119" s="2" t="s">
        <v>759</v>
      </c>
      <c r="I119" s="3" t="str">
        <f>IFERROR(__xludf.DUMMYFUNCTION("IF(A120="""", """", IFS(REGEXMATCH(LOWER(A120), ""barbearia|barber""), ""Barbearia"", REGEXMATCH(LOWER(A120), ""sobrancelh|c[ií]lio|lash|micropigment|showbrancelhas""), ""Sobrancelhas e Cílios"", REGEXMATCH(LOWER(A120), ""maquia|make""), ""Maquiagem"", RE"&amp;"GEXMATCH(LOWER(A120), ""depil|epil""), ""Depilação"", REGEXMATCH(LOWER(A120), ""esmalteria|unha|nail|manicur|spa dos p[eé]s|kauu_nhas""), ""Manicure - Esmalteria"", REGEXMATCH(LOWER(A120), ""est[eé]tic|bronze|massot|terap|pilates|revitalize|dra""), ""Clín"&amp;"ica de Estética"", TRUE, ""Salão de Beleza""))"),"Salão de Beleza")</f>
        <v>Salão de Beleza</v>
      </c>
    </row>
    <row r="120">
      <c r="A120" s="1" t="s">
        <v>760</v>
      </c>
      <c r="B120" s="1" t="s">
        <v>761</v>
      </c>
      <c r="C120" s="1" t="s">
        <v>762</v>
      </c>
      <c r="D120" s="1" t="s">
        <v>763</v>
      </c>
      <c r="E120" s="1" t="s">
        <v>764</v>
      </c>
      <c r="F120" s="1" t="s">
        <v>765</v>
      </c>
      <c r="G120" s="1" t="s">
        <v>15</v>
      </c>
      <c r="H120" s="2" t="s">
        <v>766</v>
      </c>
      <c r="I120" s="3" t="str">
        <f>IFERROR(__xludf.DUMMYFUNCTION("IF(A121="""", """", IFS(REGEXMATCH(LOWER(A121), ""barbearia|barber""), ""Barbearia"", REGEXMATCH(LOWER(A121), ""sobrancelh|c[ií]lio|lash|micropigment|showbrancelhas""), ""Sobrancelhas e Cílios"", REGEXMATCH(LOWER(A121), ""maquia|make""), ""Maquiagem"", RE"&amp;"GEXMATCH(LOWER(A121), ""depil|epil""), ""Depilação"", REGEXMATCH(LOWER(A121), ""esmalteria|unha|nail|manicur|spa dos p[eé]s|kauu_nhas""), ""Manicure - Esmalteria"", REGEXMATCH(LOWER(A121), ""est[eé]tic|bronze|massot|terap|pilates|revitalize|dra""), ""Clín"&amp;"ica de Estética"", TRUE, ""Salão de Beleza""))"),"Salão de Beleza")</f>
        <v>Salão de Beleza</v>
      </c>
    </row>
    <row r="121">
      <c r="A121" s="1" t="s">
        <v>767</v>
      </c>
      <c r="B121" s="1" t="s">
        <v>768</v>
      </c>
      <c r="C121" s="1" t="s">
        <v>769</v>
      </c>
      <c r="D121" s="1" t="s">
        <v>770</v>
      </c>
      <c r="E121" s="1" t="s">
        <v>771</v>
      </c>
      <c r="F121" s="1" t="s">
        <v>772</v>
      </c>
      <c r="G121" s="1" t="s">
        <v>15</v>
      </c>
      <c r="H121" s="2" t="s">
        <v>773</v>
      </c>
      <c r="I121" s="3" t="str">
        <f>IFERROR(__xludf.DUMMYFUNCTION("IF(A122="""", """", IFS(REGEXMATCH(LOWER(A122), ""barbearia|barber""), ""Barbearia"", REGEXMATCH(LOWER(A122), ""sobrancelh|c[ií]lio|lash|micropigment|showbrancelhas""), ""Sobrancelhas e Cílios"", REGEXMATCH(LOWER(A122), ""maquia|make""), ""Maquiagem"", RE"&amp;"GEXMATCH(LOWER(A122), ""depil|epil""), ""Depilação"", REGEXMATCH(LOWER(A122), ""esmalteria|unha|nail|manicur|spa dos p[eé]s|kauu_nhas""), ""Manicure - Esmalteria"", REGEXMATCH(LOWER(A122), ""est[eé]tic|bronze|massot|terap|pilates|revitalize|dra""), ""Clín"&amp;"ica de Estética"", TRUE, ""Salão de Beleza""))"),"Salão de Beleza")</f>
        <v>Salão de Beleza</v>
      </c>
    </row>
    <row r="122">
      <c r="A122" s="1" t="s">
        <v>774</v>
      </c>
      <c r="D122" s="1" t="s">
        <v>775</v>
      </c>
      <c r="E122" s="1" t="s">
        <v>776</v>
      </c>
      <c r="F122" s="1" t="s">
        <v>777</v>
      </c>
      <c r="G122" s="1" t="s">
        <v>15</v>
      </c>
      <c r="H122" s="2" t="s">
        <v>778</v>
      </c>
      <c r="I122" s="1" t="s">
        <v>66</v>
      </c>
    </row>
    <row r="123">
      <c r="A123" s="1" t="s">
        <v>779</v>
      </c>
      <c r="B123" s="1" t="s">
        <v>780</v>
      </c>
      <c r="C123" s="1" t="s">
        <v>781</v>
      </c>
      <c r="D123" s="1" t="s">
        <v>782</v>
      </c>
      <c r="E123" s="1" t="s">
        <v>783</v>
      </c>
      <c r="F123" s="1" t="s">
        <v>784</v>
      </c>
      <c r="G123" s="1" t="s">
        <v>15</v>
      </c>
      <c r="H123" s="2" t="s">
        <v>785</v>
      </c>
      <c r="I123" s="1" t="s">
        <v>66</v>
      </c>
    </row>
    <row r="124">
      <c r="A124" s="1" t="s">
        <v>786</v>
      </c>
      <c r="B124" s="1" t="s">
        <v>787</v>
      </c>
      <c r="C124" s="1" t="s">
        <v>788</v>
      </c>
      <c r="D124" s="1" t="s">
        <v>789</v>
      </c>
      <c r="E124" s="1" t="s">
        <v>790</v>
      </c>
      <c r="F124" s="1" t="s">
        <v>791</v>
      </c>
      <c r="G124" s="1" t="s">
        <v>15</v>
      </c>
      <c r="H124" s="2" t="s">
        <v>792</v>
      </c>
      <c r="I124" s="1" t="s">
        <v>793</v>
      </c>
    </row>
    <row r="125">
      <c r="A125" s="1" t="s">
        <v>794</v>
      </c>
      <c r="D125" s="1" t="s">
        <v>795</v>
      </c>
      <c r="E125" s="1" t="s">
        <v>796</v>
      </c>
      <c r="F125" s="1" t="s">
        <v>797</v>
      </c>
      <c r="G125" s="1" t="s">
        <v>15</v>
      </c>
      <c r="H125" s="2" t="s">
        <v>798</v>
      </c>
      <c r="I125" s="3" t="str">
        <f>IFERROR(__xludf.DUMMYFUNCTION("IF(A126="""", """", IFS(REGEXMATCH(LOWER(A126), ""barbearia|barber""), ""Barbearia"", REGEXMATCH(LOWER(A126), ""sobrancelh|c[ií]lio|lash|micropigment|showbrancelhas""), ""Sobrancelhas e Cílios"", REGEXMATCH(LOWER(A126), ""maquia|make""), ""Maquiagem"", RE"&amp;"GEXMATCH(LOWER(A126), ""depil|epil""), ""Depilação"", REGEXMATCH(LOWER(A126), ""esmalteria|unha|nail|manicur|spa dos p[eé]s|kauu_nhas""), ""Manicure - Esmalteria"", REGEXMATCH(LOWER(A126), ""est[eé]tic|bronze|massot|terap|pilates|revitalize|dra""), ""Clín"&amp;"ica de Estética"", TRUE, ""Salão de Beleza""))"),"Salão de Beleza")</f>
        <v>Salão de Beleza</v>
      </c>
    </row>
    <row r="126">
      <c r="A126" s="1" t="s">
        <v>799</v>
      </c>
      <c r="D126" s="1" t="s">
        <v>18</v>
      </c>
      <c r="E126" s="1" t="s">
        <v>800</v>
      </c>
      <c r="F126" s="1" t="s">
        <v>801</v>
      </c>
      <c r="G126" s="1" t="s">
        <v>15</v>
      </c>
      <c r="H126" s="2" t="s">
        <v>802</v>
      </c>
      <c r="I126" s="1" t="s">
        <v>66</v>
      </c>
    </row>
    <row r="127">
      <c r="A127" s="1" t="s">
        <v>803</v>
      </c>
      <c r="D127" s="1" t="s">
        <v>804</v>
      </c>
      <c r="E127" s="1" t="s">
        <v>805</v>
      </c>
      <c r="F127" s="1" t="s">
        <v>806</v>
      </c>
      <c r="G127" s="1" t="s">
        <v>15</v>
      </c>
      <c r="H127" s="2" t="s">
        <v>807</v>
      </c>
      <c r="I127" s="1" t="s">
        <v>197</v>
      </c>
    </row>
    <row r="128">
      <c r="A128" s="1" t="s">
        <v>808</v>
      </c>
      <c r="D128" s="1" t="s">
        <v>75</v>
      </c>
      <c r="E128" s="1" t="s">
        <v>809</v>
      </c>
      <c r="F128" s="1" t="s">
        <v>810</v>
      </c>
      <c r="G128" s="1" t="s">
        <v>15</v>
      </c>
      <c r="H128" s="2" t="s">
        <v>811</v>
      </c>
      <c r="I128" s="1" t="s">
        <v>66</v>
      </c>
    </row>
    <row r="129">
      <c r="A129" s="1" t="s">
        <v>812</v>
      </c>
      <c r="B129" s="1" t="s">
        <v>729</v>
      </c>
      <c r="C129" s="1" t="s">
        <v>730</v>
      </c>
      <c r="D129" s="1" t="s">
        <v>813</v>
      </c>
      <c r="E129" s="1" t="s">
        <v>814</v>
      </c>
      <c r="F129" s="1" t="s">
        <v>815</v>
      </c>
      <c r="G129" s="1" t="s">
        <v>15</v>
      </c>
      <c r="H129" s="2" t="s">
        <v>816</v>
      </c>
      <c r="I129" s="1" t="s">
        <v>364</v>
      </c>
    </row>
    <row r="130">
      <c r="A130" s="1" t="s">
        <v>817</v>
      </c>
      <c r="B130" s="1" t="s">
        <v>818</v>
      </c>
      <c r="C130" s="1" t="s">
        <v>819</v>
      </c>
      <c r="D130" s="1" t="s">
        <v>820</v>
      </c>
      <c r="E130" s="1" t="s">
        <v>821</v>
      </c>
      <c r="F130" s="1" t="s">
        <v>822</v>
      </c>
      <c r="G130" s="1" t="s">
        <v>15</v>
      </c>
      <c r="H130" s="2" t="s">
        <v>823</v>
      </c>
      <c r="I130" s="1" t="s">
        <v>66</v>
      </c>
    </row>
    <row r="131">
      <c r="A131" s="1" t="s">
        <v>824</v>
      </c>
      <c r="D131" s="1" t="s">
        <v>825</v>
      </c>
      <c r="E131" s="1" t="s">
        <v>826</v>
      </c>
      <c r="F131" s="1" t="s">
        <v>827</v>
      </c>
      <c r="G131" s="1" t="s">
        <v>15</v>
      </c>
      <c r="H131" s="2" t="s">
        <v>828</v>
      </c>
      <c r="I131" s="3" t="str">
        <f>IFERROR(__xludf.DUMMYFUNCTION("IF(A132="""", """", IFS(REGEXMATCH(LOWER(A132), ""barbearia|barber""), ""Barbearia"", REGEXMATCH(LOWER(A132), ""sobrancelh|c[ií]lio|lash|micropigment|showbrancelhas""), ""Sobrancelhas e Cílios"", REGEXMATCH(LOWER(A132), ""maquia|make""), ""Maquiagem"", RE"&amp;"GEXMATCH(LOWER(A132), ""depil|epil""), ""Depilação"", REGEXMATCH(LOWER(A132), ""esmalteria|unha|nail|manicur|spa dos p[eé]s|kauu_nhas""), ""Manicure - Esmalteria"", REGEXMATCH(LOWER(A132), ""est[eé]tic|bronze|massot|terap|pilates|revitalize|dra""), ""Clín"&amp;"ica de Estética"", TRUE, ""Salão de Beleza""))"),"Salão de Beleza")</f>
        <v>Salão de Beleza</v>
      </c>
    </row>
    <row r="132">
      <c r="A132" s="1" t="s">
        <v>829</v>
      </c>
      <c r="D132" s="1" t="s">
        <v>830</v>
      </c>
      <c r="E132" s="1" t="s">
        <v>831</v>
      </c>
      <c r="F132" s="1" t="s">
        <v>832</v>
      </c>
      <c r="G132" s="1" t="s">
        <v>15</v>
      </c>
      <c r="H132" s="2" t="s">
        <v>833</v>
      </c>
      <c r="I132" s="1" t="s">
        <v>66</v>
      </c>
    </row>
    <row r="133">
      <c r="A133" s="1" t="s">
        <v>834</v>
      </c>
      <c r="B133" s="1" t="s">
        <v>835</v>
      </c>
      <c r="C133" s="1" t="s">
        <v>836</v>
      </c>
      <c r="D133" s="1" t="s">
        <v>837</v>
      </c>
      <c r="E133" s="1" t="s">
        <v>838</v>
      </c>
      <c r="F133" s="1" t="s">
        <v>839</v>
      </c>
      <c r="G133" s="1" t="s">
        <v>15</v>
      </c>
      <c r="H133" s="2" t="s">
        <v>840</v>
      </c>
      <c r="I133" s="1" t="s">
        <v>197</v>
      </c>
    </row>
    <row r="134">
      <c r="A134" s="1" t="s">
        <v>841</v>
      </c>
      <c r="B134" s="1" t="s">
        <v>842</v>
      </c>
      <c r="C134" s="1" t="s">
        <v>843</v>
      </c>
      <c r="D134" s="1" t="s">
        <v>844</v>
      </c>
      <c r="E134" s="1" t="s">
        <v>845</v>
      </c>
      <c r="F134" s="1" t="s">
        <v>846</v>
      </c>
      <c r="G134" s="1" t="s">
        <v>15</v>
      </c>
      <c r="H134" s="2" t="s">
        <v>847</v>
      </c>
      <c r="I134" s="3" t="str">
        <f>IFERROR(__xludf.DUMMYFUNCTION("IF(A135="""", """", IFS(REGEXMATCH(LOWER(A135), ""barbearia|barber""), ""Barbearia"", REGEXMATCH(LOWER(A135), ""sobrancelh|c[ií]lio|lash|micropigment|showbrancelhas""), ""Sobrancelhas e Cílios"", REGEXMATCH(LOWER(A135), ""maquia|make""), ""Maquiagem"", RE"&amp;"GEXMATCH(LOWER(A135), ""depil|epil""), ""Depilação"", REGEXMATCH(LOWER(A135), ""esmalteria|unha|nail|manicur|spa dos p[eé]s|kauu_nhas""), ""Manicure - Esmalteria"", REGEXMATCH(LOWER(A135), ""est[eé]tic|bronze|massot|terap|pilates|revitalize|dra""), ""Clín"&amp;"ica de Estética"", TRUE, ""Salão de Beleza""))"),"Salão de Beleza")</f>
        <v>Salão de Beleza</v>
      </c>
    </row>
    <row r="135">
      <c r="A135" s="1" t="s">
        <v>848</v>
      </c>
      <c r="B135" s="1" t="s">
        <v>849</v>
      </c>
      <c r="C135" s="1" t="s">
        <v>850</v>
      </c>
      <c r="D135" s="1" t="s">
        <v>851</v>
      </c>
      <c r="E135" s="1" t="s">
        <v>852</v>
      </c>
      <c r="F135" s="1" t="s">
        <v>853</v>
      </c>
      <c r="G135" s="1" t="s">
        <v>15</v>
      </c>
      <c r="H135" s="2" t="s">
        <v>854</v>
      </c>
      <c r="I135" s="3" t="str">
        <f>IFERROR(__xludf.DUMMYFUNCTION("IF(A136="""", """", IFS(REGEXMATCH(LOWER(A136), ""barbearia|barber""), ""Barbearia"", REGEXMATCH(LOWER(A136), ""sobrancelh|c[ií]lio|lash|micropigment|showbrancelhas""), ""Sobrancelhas e Cílios"", REGEXMATCH(LOWER(A136), ""maquia|make""), ""Maquiagem"", RE"&amp;"GEXMATCH(LOWER(A136), ""depil|epil""), ""Depilação"", REGEXMATCH(LOWER(A136), ""esmalteria|unha|nail|manicur|spa dos p[eé]s|kauu_nhas""), ""Manicure - Esmalteria"", REGEXMATCH(LOWER(A136), ""est[eé]tic|bronze|massot|terap|pilates|revitalize|dra""), ""Clín"&amp;"ica de Estética"", TRUE, ""Salão de Beleza""))"),"Salão de Beleza")</f>
        <v>Salão de Beleza</v>
      </c>
    </row>
    <row r="136">
      <c r="A136" s="1" t="s">
        <v>855</v>
      </c>
      <c r="B136" s="1" t="s">
        <v>856</v>
      </c>
      <c r="C136" s="1" t="s">
        <v>857</v>
      </c>
      <c r="D136" s="1" t="s">
        <v>858</v>
      </c>
      <c r="E136" s="1" t="s">
        <v>859</v>
      </c>
      <c r="F136" s="1" t="s">
        <v>860</v>
      </c>
      <c r="G136" s="1" t="s">
        <v>15</v>
      </c>
      <c r="H136" s="2" t="s">
        <v>861</v>
      </c>
      <c r="I136" s="3" t="str">
        <f>IFERROR(__xludf.DUMMYFUNCTION("IF(A137="""", """", IFS(REGEXMATCH(LOWER(A137), ""barbearia|barber""), ""Barbearia"", REGEXMATCH(LOWER(A137), ""sobrancelh|c[ií]lio|lash|micropigment|showbrancelhas""), ""Sobrancelhas e Cílios"", REGEXMATCH(LOWER(A137), ""maquia|make""), ""Maquiagem"", RE"&amp;"GEXMATCH(LOWER(A137), ""depil|epil""), ""Depilação"", REGEXMATCH(LOWER(A137), ""esmalteria|unha|nail|manicur|spa dos p[eé]s|kauu_nhas""), ""Manicure - Esmalteria"", REGEXMATCH(LOWER(A137), ""est[eé]tic|bronze|massot|terap|pilates|revitalize|dra""), ""Clín"&amp;"ica de Estética"", TRUE, ""Salão de Beleza""))"),"Salão de Beleza")</f>
        <v>Salão de Beleza</v>
      </c>
    </row>
    <row r="137">
      <c r="A137" s="1" t="s">
        <v>862</v>
      </c>
      <c r="B137" s="1" t="s">
        <v>863</v>
      </c>
      <c r="C137" s="1" t="s">
        <v>864</v>
      </c>
      <c r="D137" s="1" t="s">
        <v>865</v>
      </c>
      <c r="E137" s="1" t="s">
        <v>866</v>
      </c>
      <c r="F137" s="1" t="s">
        <v>867</v>
      </c>
      <c r="G137" s="1" t="s">
        <v>15</v>
      </c>
      <c r="H137" s="2" t="s">
        <v>868</v>
      </c>
      <c r="I137" s="1" t="s">
        <v>66</v>
      </c>
    </row>
    <row r="138">
      <c r="A138" s="1" t="s">
        <v>869</v>
      </c>
      <c r="B138" s="1" t="s">
        <v>870</v>
      </c>
      <c r="C138" s="1" t="s">
        <v>871</v>
      </c>
      <c r="D138" s="1" t="s">
        <v>872</v>
      </c>
      <c r="E138" s="1" t="s">
        <v>873</v>
      </c>
      <c r="F138" s="1" t="s">
        <v>874</v>
      </c>
      <c r="G138" s="1" t="s">
        <v>15</v>
      </c>
      <c r="H138" s="2" t="s">
        <v>875</v>
      </c>
      <c r="I138" s="3" t="str">
        <f>IFERROR(__xludf.DUMMYFUNCTION("IF(A139="""", """", IFS(REGEXMATCH(LOWER(A139), ""barbearia|barber""), ""Barbearia"", REGEXMATCH(LOWER(A139), ""sobrancelh|c[ií]lio|lash|micropigment|showbrancelhas""), ""Sobrancelhas e Cílios"", REGEXMATCH(LOWER(A139), ""maquia|make""), ""Maquiagem"", RE"&amp;"GEXMATCH(LOWER(A139), ""depil|epil""), ""Depilação"", REGEXMATCH(LOWER(A139), ""esmalteria|unha|nail|manicur|spa dos p[eé]s|kauu_nhas""), ""Manicure - Esmalteria"", REGEXMATCH(LOWER(A139), ""est[eé]tic|bronze|massot|terap|pilates|revitalize|dra""), ""Clín"&amp;"ica de Estética"", TRUE, ""Salão de Beleza""))"),"Salão de Beleza")</f>
        <v>Salão de Beleza</v>
      </c>
    </row>
    <row r="139">
      <c r="A139" s="1" t="s">
        <v>876</v>
      </c>
      <c r="D139" s="1" t="s">
        <v>877</v>
      </c>
      <c r="E139" s="1" t="s">
        <v>878</v>
      </c>
      <c r="F139" s="1" t="s">
        <v>879</v>
      </c>
      <c r="G139" s="1" t="s">
        <v>15</v>
      </c>
      <c r="H139" s="2" t="s">
        <v>880</v>
      </c>
      <c r="I139" s="1" t="s">
        <v>66</v>
      </c>
    </row>
    <row r="140">
      <c r="A140" s="1" t="s">
        <v>881</v>
      </c>
      <c r="B140" s="1" t="s">
        <v>882</v>
      </c>
      <c r="C140" s="1" t="s">
        <v>883</v>
      </c>
      <c r="D140" s="1" t="s">
        <v>884</v>
      </c>
      <c r="E140" s="1" t="s">
        <v>885</v>
      </c>
      <c r="F140" s="1" t="s">
        <v>886</v>
      </c>
      <c r="G140" s="1" t="s">
        <v>15</v>
      </c>
      <c r="H140" s="2" t="s">
        <v>887</v>
      </c>
      <c r="I140" s="1" t="s">
        <v>86</v>
      </c>
    </row>
    <row r="141">
      <c r="A141" s="1" t="s">
        <v>888</v>
      </c>
      <c r="D141" s="1" t="s">
        <v>889</v>
      </c>
      <c r="E141" s="1" t="s">
        <v>890</v>
      </c>
      <c r="F141" s="1" t="s">
        <v>891</v>
      </c>
      <c r="G141" s="1" t="s">
        <v>15</v>
      </c>
      <c r="H141" s="2" t="s">
        <v>892</v>
      </c>
      <c r="I141" s="1" t="s">
        <v>66</v>
      </c>
    </row>
    <row r="142">
      <c r="A142" s="1" t="s">
        <v>893</v>
      </c>
      <c r="B142" s="1" t="s">
        <v>894</v>
      </c>
      <c r="C142" s="1" t="s">
        <v>895</v>
      </c>
      <c r="D142" s="1" t="s">
        <v>896</v>
      </c>
      <c r="E142" s="1" t="s">
        <v>897</v>
      </c>
      <c r="F142" s="1" t="s">
        <v>898</v>
      </c>
      <c r="G142" s="1" t="s">
        <v>15</v>
      </c>
      <c r="H142" s="2" t="s">
        <v>899</v>
      </c>
      <c r="I142" s="1" t="s">
        <v>86</v>
      </c>
    </row>
    <row r="143">
      <c r="A143" s="1" t="s">
        <v>900</v>
      </c>
      <c r="D143" s="1" t="s">
        <v>901</v>
      </c>
      <c r="E143" s="1" t="s">
        <v>902</v>
      </c>
      <c r="F143" s="1" t="s">
        <v>903</v>
      </c>
      <c r="G143" s="1" t="s">
        <v>15</v>
      </c>
      <c r="H143" s="2" t="s">
        <v>904</v>
      </c>
      <c r="I143" s="1" t="s">
        <v>197</v>
      </c>
    </row>
    <row r="144">
      <c r="A144" s="1" t="s">
        <v>905</v>
      </c>
      <c r="B144" s="1" t="s">
        <v>906</v>
      </c>
      <c r="C144" s="1" t="s">
        <v>907</v>
      </c>
      <c r="D144" s="1" t="s">
        <v>908</v>
      </c>
      <c r="E144" s="1" t="s">
        <v>909</v>
      </c>
      <c r="F144" s="1" t="s">
        <v>910</v>
      </c>
      <c r="G144" s="1" t="s">
        <v>15</v>
      </c>
      <c r="H144" s="2" t="s">
        <v>911</v>
      </c>
      <c r="I144" s="1" t="s">
        <v>364</v>
      </c>
    </row>
    <row r="145">
      <c r="A145" s="1" t="s">
        <v>912</v>
      </c>
      <c r="B145" s="1" t="s">
        <v>913</v>
      </c>
      <c r="C145" s="1" t="s">
        <v>914</v>
      </c>
      <c r="D145" s="1" t="s">
        <v>915</v>
      </c>
      <c r="E145" s="1" t="s">
        <v>916</v>
      </c>
      <c r="F145" s="1" t="s">
        <v>917</v>
      </c>
      <c r="G145" s="1" t="s">
        <v>15</v>
      </c>
      <c r="H145" s="2" t="s">
        <v>918</v>
      </c>
      <c r="I145" s="1" t="s">
        <v>197</v>
      </c>
    </row>
    <row r="146">
      <c r="A146" s="1" t="s">
        <v>919</v>
      </c>
      <c r="B146" s="1" t="s">
        <v>920</v>
      </c>
      <c r="C146" s="1" t="s">
        <v>921</v>
      </c>
      <c r="D146" s="1" t="s">
        <v>922</v>
      </c>
      <c r="E146" s="1" t="s">
        <v>923</v>
      </c>
      <c r="F146" s="1" t="s">
        <v>924</v>
      </c>
      <c r="G146" s="1" t="s">
        <v>15</v>
      </c>
      <c r="H146" s="2" t="s">
        <v>925</v>
      </c>
      <c r="I146" s="1" t="s">
        <v>205</v>
      </c>
    </row>
    <row r="147">
      <c r="A147" s="1" t="s">
        <v>926</v>
      </c>
      <c r="D147" s="1" t="s">
        <v>18</v>
      </c>
      <c r="E147" s="1" t="s">
        <v>927</v>
      </c>
      <c r="F147" s="1" t="s">
        <v>928</v>
      </c>
      <c r="G147" s="1" t="s">
        <v>15</v>
      </c>
      <c r="H147" s="2" t="s">
        <v>929</v>
      </c>
      <c r="I147" s="1" t="s">
        <v>197</v>
      </c>
    </row>
    <row r="148">
      <c r="A148" s="1" t="s">
        <v>930</v>
      </c>
      <c r="D148" s="1" t="s">
        <v>931</v>
      </c>
      <c r="E148" s="1" t="s">
        <v>909</v>
      </c>
      <c r="F148" s="1" t="s">
        <v>910</v>
      </c>
      <c r="G148" s="1" t="s">
        <v>15</v>
      </c>
      <c r="H148" s="2" t="s">
        <v>932</v>
      </c>
      <c r="I148" s="3" t="str">
        <f>IFERROR(__xludf.DUMMYFUNCTION("IF(A149="""", """", IFS(REGEXMATCH(LOWER(A149), ""barbearia|barber""), ""Barbearia"", REGEXMATCH(LOWER(A149), ""sobrancelh|c[ií]lio|lash|micropigment|showbrancelhas""), ""Sobrancelhas e Cílios"", REGEXMATCH(LOWER(A149), ""maquia|make""), ""Maquiagem"", RE"&amp;"GEXMATCH(LOWER(A149), ""depil|epil""), ""Depilação"", REGEXMATCH(LOWER(A149), ""esmalteria|unha|nail|manicur|spa dos p[eé]s|kauu_nhas""), ""Manicure - Esmalteria"", REGEXMATCH(LOWER(A149), ""est[eé]tic|bronze|massot|terap|pilates|revitalize|dra""), ""Clín"&amp;"ica de Estética"", TRUE, ""Salão de Beleza""))"),"Salão de Beleza")</f>
        <v>Salão de Beleza</v>
      </c>
    </row>
    <row r="149">
      <c r="A149" s="1" t="s">
        <v>933</v>
      </c>
      <c r="D149" s="1" t="s">
        <v>934</v>
      </c>
      <c r="E149" s="1" t="s">
        <v>935</v>
      </c>
      <c r="F149" s="1" t="s">
        <v>936</v>
      </c>
      <c r="G149" s="1" t="s">
        <v>15</v>
      </c>
      <c r="H149" s="2" t="s">
        <v>937</v>
      </c>
      <c r="I149" s="1" t="s">
        <v>197</v>
      </c>
    </row>
    <row r="150">
      <c r="A150" s="1" t="s">
        <v>938</v>
      </c>
      <c r="B150" s="1" t="s">
        <v>939</v>
      </c>
      <c r="C150" s="1" t="s">
        <v>940</v>
      </c>
      <c r="D150" s="1" t="s">
        <v>941</v>
      </c>
      <c r="E150" s="1" t="s">
        <v>942</v>
      </c>
      <c r="F150" s="1" t="s">
        <v>943</v>
      </c>
      <c r="G150" s="1" t="s">
        <v>15</v>
      </c>
      <c r="H150" s="2" t="s">
        <v>944</v>
      </c>
      <c r="I150" s="1" t="s">
        <v>197</v>
      </c>
    </row>
    <row r="151">
      <c r="A151" s="1" t="s">
        <v>945</v>
      </c>
      <c r="B151" s="1" t="s">
        <v>946</v>
      </c>
      <c r="C151" s="1" t="s">
        <v>947</v>
      </c>
      <c r="D151" s="1" t="s">
        <v>948</v>
      </c>
      <c r="E151" s="1" t="s">
        <v>949</v>
      </c>
      <c r="F151" s="1" t="s">
        <v>950</v>
      </c>
      <c r="G151" s="1" t="s">
        <v>15</v>
      </c>
      <c r="H151" s="2" t="s">
        <v>951</v>
      </c>
      <c r="I151" s="3" t="str">
        <f>IFERROR(__xludf.DUMMYFUNCTION("IF(A152="""", """", IFS(REGEXMATCH(LOWER(A152), ""barbearia|barber""), ""Barbearia"", REGEXMATCH(LOWER(A152), ""sobrancelh|c[ií]lio|lash|micropigment|showbrancelhas""), ""Sobrancelhas e Cílios"", REGEXMATCH(LOWER(A152), ""maquia|make""), ""Maquiagem"", RE"&amp;"GEXMATCH(LOWER(A152), ""depil|epil""), ""Depilação"", REGEXMATCH(LOWER(A152), ""esmalteria|unha|nail|manicur|spa dos p[eé]s|kauu_nhas""), ""Manicure - Esmalteria"", REGEXMATCH(LOWER(A152), ""est[eé]tic|bronze|massot|terap|pilates|revitalize|dra""), ""Clín"&amp;"ica de Estética"", TRUE, ""Salão de Beleza""))"),"Salão de Beleza")</f>
        <v>Salão de Beleza</v>
      </c>
    </row>
    <row r="152">
      <c r="A152" s="1" t="s">
        <v>952</v>
      </c>
      <c r="B152" s="1" t="s">
        <v>953</v>
      </c>
      <c r="C152" s="1" t="s">
        <v>954</v>
      </c>
      <c r="D152" s="1" t="s">
        <v>955</v>
      </c>
      <c r="E152" s="1" t="s">
        <v>956</v>
      </c>
      <c r="F152" s="1" t="s">
        <v>957</v>
      </c>
      <c r="G152" s="1" t="s">
        <v>15</v>
      </c>
      <c r="H152" s="2" t="s">
        <v>958</v>
      </c>
      <c r="I152" s="1" t="s">
        <v>66</v>
      </c>
    </row>
    <row r="153">
      <c r="A153" s="1" t="s">
        <v>959</v>
      </c>
      <c r="B153" s="1" t="s">
        <v>960</v>
      </c>
      <c r="C153" s="1" t="s">
        <v>961</v>
      </c>
      <c r="D153" s="1" t="s">
        <v>962</v>
      </c>
      <c r="E153" s="1" t="s">
        <v>963</v>
      </c>
      <c r="F153" s="1" t="s">
        <v>964</v>
      </c>
      <c r="G153" s="1" t="s">
        <v>15</v>
      </c>
      <c r="H153" s="2" t="s">
        <v>965</v>
      </c>
      <c r="I153" s="1" t="s">
        <v>364</v>
      </c>
    </row>
    <row r="154">
      <c r="A154" s="1" t="s">
        <v>966</v>
      </c>
      <c r="D154" s="1" t="s">
        <v>18</v>
      </c>
      <c r="E154" s="1" t="s">
        <v>615</v>
      </c>
      <c r="F154" s="1" t="s">
        <v>616</v>
      </c>
      <c r="G154" s="1" t="s">
        <v>15</v>
      </c>
      <c r="H154" s="2" t="s">
        <v>967</v>
      </c>
      <c r="I154" s="1" t="s">
        <v>66</v>
      </c>
    </row>
    <row r="155">
      <c r="A155" s="1" t="s">
        <v>968</v>
      </c>
      <c r="B155" s="1" t="s">
        <v>969</v>
      </c>
      <c r="C155" s="1" t="s">
        <v>970</v>
      </c>
      <c r="D155" s="1" t="s">
        <v>971</v>
      </c>
      <c r="E155" s="1" t="s">
        <v>972</v>
      </c>
      <c r="F155" s="1" t="s">
        <v>973</v>
      </c>
      <c r="G155" s="1" t="s">
        <v>15</v>
      </c>
      <c r="H155" s="2" t="s">
        <v>974</v>
      </c>
      <c r="I155" s="3" t="str">
        <f>IFERROR(__xludf.DUMMYFUNCTION("IF(A156="""", """", IFS(REGEXMATCH(LOWER(A156), ""barbearia|barber""), ""Barbearia"", REGEXMATCH(LOWER(A156), ""sobrancelh|c[ií]lio|lash|micropigment|showbrancelhas""), ""Sobrancelhas e Cílios"", REGEXMATCH(LOWER(A156), ""maquia|make""), ""Maquiagem"", RE"&amp;"GEXMATCH(LOWER(A156), ""depil|epil""), ""Depilação"", REGEXMATCH(LOWER(A156), ""esmalteria|unha|nail|manicur|spa dos p[eé]s|kauu_nhas""), ""Manicure - Esmalteria"", REGEXMATCH(LOWER(A156), ""est[eé]tic|bronze|massot|terap|pilates|revitalize|dra""), ""Clín"&amp;"ica de Estética"", TRUE, ""Salão de Beleza""))"),"Manicure - Esmalteria")</f>
        <v>Manicure - Esmalteria</v>
      </c>
    </row>
    <row r="156">
      <c r="A156" s="1" t="s">
        <v>975</v>
      </c>
      <c r="B156" s="1" t="s">
        <v>976</v>
      </c>
      <c r="C156" s="1" t="s">
        <v>977</v>
      </c>
      <c r="D156" s="1" t="s">
        <v>978</v>
      </c>
      <c r="E156" s="1" t="s">
        <v>979</v>
      </c>
      <c r="F156" s="1" t="s">
        <v>980</v>
      </c>
      <c r="G156" s="1" t="s">
        <v>15</v>
      </c>
      <c r="H156" s="2" t="s">
        <v>981</v>
      </c>
      <c r="I156" s="1" t="s">
        <v>197</v>
      </c>
    </row>
    <row r="157">
      <c r="A157" s="1" t="s">
        <v>982</v>
      </c>
      <c r="B157" s="1" t="s">
        <v>983</v>
      </c>
      <c r="C157" s="1" t="s">
        <v>984</v>
      </c>
      <c r="D157" s="1" t="s">
        <v>985</v>
      </c>
      <c r="E157" s="1" t="s">
        <v>986</v>
      </c>
      <c r="F157" s="1" t="s">
        <v>987</v>
      </c>
      <c r="G157" s="1" t="s">
        <v>15</v>
      </c>
      <c r="H157" s="2" t="s">
        <v>988</v>
      </c>
      <c r="I157" s="1" t="s">
        <v>66</v>
      </c>
    </row>
    <row r="158">
      <c r="A158" s="1" t="s">
        <v>989</v>
      </c>
      <c r="B158" s="1" t="s">
        <v>990</v>
      </c>
      <c r="C158" s="1" t="s">
        <v>991</v>
      </c>
      <c r="D158" s="1" t="s">
        <v>992</v>
      </c>
      <c r="E158" s="1" t="s">
        <v>993</v>
      </c>
      <c r="F158" s="1" t="s">
        <v>994</v>
      </c>
      <c r="G158" s="1" t="s">
        <v>15</v>
      </c>
      <c r="H158" s="2" t="s">
        <v>995</v>
      </c>
      <c r="I158" s="3" t="str">
        <f>IFERROR(__xludf.DUMMYFUNCTION("IF(A159="""", """", IFS(REGEXMATCH(LOWER(A159), ""barbearia|barber""), ""Barbearia"", REGEXMATCH(LOWER(A159), ""sobrancelh|c[ií]lio|lash|micropigment|showbrancelhas""), ""Sobrancelhas e Cílios"", REGEXMATCH(LOWER(A159), ""maquia|make""), ""Maquiagem"", RE"&amp;"GEXMATCH(LOWER(A159), ""depil|epil""), ""Depilação"", REGEXMATCH(LOWER(A159), ""esmalteria|unha|nail|manicur|spa dos p[eé]s|kauu_nhas""), ""Manicure - Esmalteria"", REGEXMATCH(LOWER(A159), ""est[eé]tic|bronze|massot|terap|pilates|revitalize|dra""), ""Clín"&amp;"ica de Estética"", TRUE, ""Salão de Beleza""))"),"Barbearia")</f>
        <v>Barbearia</v>
      </c>
    </row>
    <row r="159">
      <c r="A159" s="1" t="s">
        <v>996</v>
      </c>
      <c r="B159" s="1" t="s">
        <v>997</v>
      </c>
      <c r="C159" s="1" t="s">
        <v>998</v>
      </c>
      <c r="D159" s="1" t="s">
        <v>999</v>
      </c>
      <c r="E159" s="1" t="s">
        <v>1000</v>
      </c>
      <c r="F159" s="1" t="s">
        <v>1001</v>
      </c>
      <c r="G159" s="1" t="s">
        <v>15</v>
      </c>
      <c r="H159" s="2" t="s">
        <v>1002</v>
      </c>
      <c r="I159" s="1" t="s">
        <v>86</v>
      </c>
    </row>
    <row r="160">
      <c r="A160" s="1" t="s">
        <v>1003</v>
      </c>
      <c r="B160" s="1" t="s">
        <v>1004</v>
      </c>
      <c r="C160" s="1" t="s">
        <v>1005</v>
      </c>
      <c r="D160" s="1" t="s">
        <v>1006</v>
      </c>
      <c r="E160" s="1" t="s">
        <v>1007</v>
      </c>
      <c r="F160" s="1" t="s">
        <v>1008</v>
      </c>
      <c r="G160" s="1" t="s">
        <v>15</v>
      </c>
      <c r="H160" s="2" t="s">
        <v>1009</v>
      </c>
      <c r="I160" s="1" t="s">
        <v>66</v>
      </c>
    </row>
    <row r="161">
      <c r="A161" s="1" t="s">
        <v>1010</v>
      </c>
      <c r="B161" s="1" t="s">
        <v>1011</v>
      </c>
      <c r="C161" s="1" t="s">
        <v>1012</v>
      </c>
      <c r="D161" s="1" t="s">
        <v>1013</v>
      </c>
      <c r="E161" s="1" t="s">
        <v>1014</v>
      </c>
      <c r="F161" s="1" t="s">
        <v>1015</v>
      </c>
      <c r="G161" s="1" t="s">
        <v>15</v>
      </c>
      <c r="H161" s="2" t="s">
        <v>1016</v>
      </c>
      <c r="I161" s="3" t="str">
        <f>IFERROR(__xludf.DUMMYFUNCTION("IF(A162="""", """", IFS(REGEXMATCH(LOWER(A162), ""barbearia|barber""), ""Barbearia"", REGEXMATCH(LOWER(A162), ""sobrancelh|c[ií]lio|lash|micropigment|showbrancelhas""), ""Sobrancelhas e Cílios"", REGEXMATCH(LOWER(A162), ""maquia|make""), ""Maquiagem"", RE"&amp;"GEXMATCH(LOWER(A162), ""depil|epil""), ""Depilação"", REGEXMATCH(LOWER(A162), ""esmalteria|unha|nail|manicur|spa dos p[eé]s|kauu_nhas""), ""Manicure - Esmalteria"", REGEXMATCH(LOWER(A162), ""est[eé]tic|bronze|massot|terap|pilates|revitalize|dra""), ""Clín"&amp;"ica de Estética"", TRUE, ""Salão de Beleza""))"),"Barbearia")</f>
        <v>Barbearia</v>
      </c>
    </row>
    <row r="162">
      <c r="A162" s="1" t="s">
        <v>1017</v>
      </c>
      <c r="B162" s="1" t="s">
        <v>1018</v>
      </c>
      <c r="C162" s="1" t="s">
        <v>1019</v>
      </c>
      <c r="D162" s="1" t="s">
        <v>1020</v>
      </c>
      <c r="E162" s="1" t="s">
        <v>1021</v>
      </c>
      <c r="F162" s="1" t="s">
        <v>1022</v>
      </c>
      <c r="G162" s="1" t="s">
        <v>15</v>
      </c>
      <c r="H162" s="2" t="s">
        <v>1023</v>
      </c>
      <c r="I162" s="3" t="str">
        <f>IFERROR(__xludf.DUMMYFUNCTION("IF(A163="""", """", IFS(REGEXMATCH(LOWER(A163), ""barbearia|barber""), ""Barbearia"", REGEXMATCH(LOWER(A163), ""sobrancelh|c[ií]lio|lash|micropigment|showbrancelhas""), ""Sobrancelhas e Cílios"", REGEXMATCH(LOWER(A163), ""maquia|make""), ""Maquiagem"", RE"&amp;"GEXMATCH(LOWER(A163), ""depil|epil""), ""Depilação"", REGEXMATCH(LOWER(A163), ""esmalteria|unha|nail|manicur|spa dos p[eé]s|kauu_nhas""), ""Manicure - Esmalteria"", REGEXMATCH(LOWER(A163), ""est[eé]tic|bronze|massot|terap|pilates|revitalize|dra""), ""Clín"&amp;"ica de Estética"", TRUE, ""Salão de Beleza""))"),"Barbearia")</f>
        <v>Barbearia</v>
      </c>
    </row>
    <row r="163">
      <c r="A163" s="1" t="s">
        <v>1024</v>
      </c>
      <c r="B163" s="1" t="s">
        <v>1025</v>
      </c>
      <c r="C163" s="1" t="s">
        <v>1026</v>
      </c>
      <c r="D163" s="1" t="s">
        <v>1027</v>
      </c>
      <c r="E163" s="1" t="s">
        <v>1028</v>
      </c>
      <c r="F163" s="1" t="s">
        <v>1029</v>
      </c>
      <c r="G163" s="1" t="s">
        <v>15</v>
      </c>
      <c r="H163" s="2" t="s">
        <v>1030</v>
      </c>
      <c r="I163" s="3" t="str">
        <f>IFERROR(__xludf.DUMMYFUNCTION("IF(A164="""", """", IFS(REGEXMATCH(LOWER(A164), ""barbearia|barber""), ""Barbearia"", REGEXMATCH(LOWER(A164), ""sobrancelh|c[ií]lio|lash|micropigment|showbrancelhas""), ""Sobrancelhas e Cílios"", REGEXMATCH(LOWER(A164), ""maquia|make""), ""Maquiagem"", RE"&amp;"GEXMATCH(LOWER(A164), ""depil|epil""), ""Depilação"", REGEXMATCH(LOWER(A164), ""esmalteria|unha|nail|manicur|spa dos p[eé]s|kauu_nhas""), ""Manicure - Esmalteria"", REGEXMATCH(LOWER(A164), ""est[eé]tic|bronze|massot|terap|pilates|revitalize|dra""), ""Clín"&amp;"ica de Estética"", TRUE, ""Salão de Beleza""))"),"Barbearia")</f>
        <v>Barbearia</v>
      </c>
    </row>
    <row r="164">
      <c r="A164" s="1" t="s">
        <v>1031</v>
      </c>
      <c r="B164" s="1" t="s">
        <v>1032</v>
      </c>
      <c r="C164" s="1" t="s">
        <v>1033</v>
      </c>
      <c r="D164" s="1" t="s">
        <v>1034</v>
      </c>
      <c r="E164" s="1" t="s">
        <v>1035</v>
      </c>
      <c r="F164" s="1" t="s">
        <v>1036</v>
      </c>
      <c r="G164" s="1" t="s">
        <v>15</v>
      </c>
      <c r="H164" s="2" t="s">
        <v>1037</v>
      </c>
      <c r="I164" s="3" t="str">
        <f>IFERROR(__xludf.DUMMYFUNCTION("IF(A165="""", """", IFS(REGEXMATCH(LOWER(A165), ""barbearia|barber""), ""Barbearia"", REGEXMATCH(LOWER(A165), ""sobrancelh|c[ií]lio|lash|micropigment|showbrancelhas""), ""Sobrancelhas e Cílios"", REGEXMATCH(LOWER(A165), ""maquia|make""), ""Maquiagem"", RE"&amp;"GEXMATCH(LOWER(A165), ""depil|epil""), ""Depilação"", REGEXMATCH(LOWER(A165), ""esmalteria|unha|nail|manicur|spa dos p[eé]s|kauu_nhas""), ""Manicure - Esmalteria"", REGEXMATCH(LOWER(A165), ""est[eé]tic|bronze|massot|terap|pilates|revitalize|dra""), ""Clín"&amp;"ica de Estética"", TRUE, ""Salão de Beleza""))"),"Barbearia")</f>
        <v>Barbearia</v>
      </c>
    </row>
    <row r="165">
      <c r="A165" s="1" t="s">
        <v>1038</v>
      </c>
      <c r="B165" s="1" t="s">
        <v>1039</v>
      </c>
      <c r="C165" s="1" t="s">
        <v>1040</v>
      </c>
      <c r="D165" s="1" t="s">
        <v>1041</v>
      </c>
      <c r="E165" s="1" t="s">
        <v>1042</v>
      </c>
      <c r="F165" s="1" t="s">
        <v>1043</v>
      </c>
      <c r="G165" s="1" t="s">
        <v>15</v>
      </c>
      <c r="H165" s="2" t="s">
        <v>1044</v>
      </c>
      <c r="I165" s="3" t="str">
        <f>IFERROR(__xludf.DUMMYFUNCTION("IF(A166="""", """", IFS(REGEXMATCH(LOWER(A166), ""barbearia|barber""), ""Barbearia"", REGEXMATCH(LOWER(A166), ""sobrancelh|c[ií]lio|lash|micropigment|showbrancelhas""), ""Sobrancelhas e Cílios"", REGEXMATCH(LOWER(A166), ""maquia|make""), ""Maquiagem"", RE"&amp;"GEXMATCH(LOWER(A166), ""depil|epil""), ""Depilação"", REGEXMATCH(LOWER(A166), ""esmalteria|unha|nail|manicur|spa dos p[eé]s|kauu_nhas""), ""Manicure - Esmalteria"", REGEXMATCH(LOWER(A166), ""est[eé]tic|bronze|massot|terap|pilates|revitalize|dra""), ""Clín"&amp;"ica de Estética"", TRUE, ""Salão de Beleza""))"),"Barbearia")</f>
        <v>Barbearia</v>
      </c>
    </row>
    <row r="166">
      <c r="A166" s="1" t="s">
        <v>1045</v>
      </c>
      <c r="B166" s="1" t="s">
        <v>1046</v>
      </c>
      <c r="C166" s="1" t="s">
        <v>1047</v>
      </c>
      <c r="D166" s="1" t="s">
        <v>1048</v>
      </c>
      <c r="E166" s="1" t="s">
        <v>1049</v>
      </c>
      <c r="F166" s="1" t="s">
        <v>1050</v>
      </c>
      <c r="G166" s="1" t="s">
        <v>15</v>
      </c>
      <c r="H166" s="2" t="s">
        <v>1051</v>
      </c>
      <c r="I166" s="3" t="str">
        <f>IFERROR(__xludf.DUMMYFUNCTION("IF(A167="""", """", IFS(REGEXMATCH(LOWER(A167), ""barbearia|barber""), ""Barbearia"", REGEXMATCH(LOWER(A167), ""sobrancelh|c[ií]lio|lash|micropigment|showbrancelhas""), ""Sobrancelhas e Cílios"", REGEXMATCH(LOWER(A167), ""maquia|make""), ""Maquiagem"", RE"&amp;"GEXMATCH(LOWER(A167), ""depil|epil""), ""Depilação"", REGEXMATCH(LOWER(A167), ""esmalteria|unha|nail|manicur|spa dos p[eé]s|kauu_nhas""), ""Manicure - Esmalteria"", REGEXMATCH(LOWER(A167), ""est[eé]tic|bronze|massot|terap|pilates|revitalize|dra""), ""Clín"&amp;"ica de Estética"", TRUE, ""Salão de Beleza""))"),"Barbearia")</f>
        <v>Barbearia</v>
      </c>
    </row>
    <row r="167">
      <c r="A167" s="1" t="s">
        <v>1052</v>
      </c>
      <c r="B167" s="1" t="s">
        <v>1053</v>
      </c>
      <c r="C167" s="1" t="s">
        <v>1054</v>
      </c>
      <c r="D167" s="1" t="s">
        <v>1055</v>
      </c>
      <c r="E167" s="1" t="s">
        <v>1056</v>
      </c>
      <c r="F167" s="1" t="s">
        <v>1057</v>
      </c>
      <c r="G167" s="1" t="s">
        <v>15</v>
      </c>
      <c r="H167" s="2" t="s">
        <v>1058</v>
      </c>
      <c r="I167" s="3" t="str">
        <f>IFERROR(__xludf.DUMMYFUNCTION("IF(A168="""", """", IFS(REGEXMATCH(LOWER(A168), ""barbearia|barber""), ""Barbearia"", REGEXMATCH(LOWER(A168), ""sobrancelh|c[ií]lio|lash|micropigment|showbrancelhas""), ""Sobrancelhas e Cílios"", REGEXMATCH(LOWER(A168), ""maquia|make""), ""Maquiagem"", RE"&amp;"GEXMATCH(LOWER(A168), ""depil|epil""), ""Depilação"", REGEXMATCH(LOWER(A168), ""esmalteria|unha|nail|manicur|spa dos p[eé]s|kauu_nhas""), ""Manicure - Esmalteria"", REGEXMATCH(LOWER(A168), ""est[eé]tic|bronze|massot|terap|pilates|revitalize|dra""), ""Clín"&amp;"ica de Estética"", TRUE, ""Salão de Beleza""))"),"Barbearia")</f>
        <v>Barbearia</v>
      </c>
    </row>
    <row r="168">
      <c r="A168" s="1" t="s">
        <v>1059</v>
      </c>
      <c r="B168" s="1" t="s">
        <v>1060</v>
      </c>
      <c r="C168" s="1" t="s">
        <v>1061</v>
      </c>
      <c r="D168" s="1" t="s">
        <v>18</v>
      </c>
      <c r="E168" s="1" t="s">
        <v>1062</v>
      </c>
      <c r="F168" s="1" t="s">
        <v>1063</v>
      </c>
      <c r="G168" s="1" t="s">
        <v>15</v>
      </c>
      <c r="H168" s="2" t="s">
        <v>1064</v>
      </c>
      <c r="I168" s="3" t="str">
        <f>IFERROR(__xludf.DUMMYFUNCTION("IF(A169="""", """", IFS(REGEXMATCH(LOWER(A169), ""barbearia|barber""), ""Barbearia"", REGEXMATCH(LOWER(A169), ""sobrancelh|c[ií]lio|lash|micropigment|showbrancelhas""), ""Sobrancelhas e Cílios"", REGEXMATCH(LOWER(A169), ""maquia|make""), ""Maquiagem"", RE"&amp;"GEXMATCH(LOWER(A169), ""depil|epil""), ""Depilação"", REGEXMATCH(LOWER(A169), ""esmalteria|unha|nail|manicur|spa dos p[eé]s|kauu_nhas""), ""Manicure - Esmalteria"", REGEXMATCH(LOWER(A169), ""est[eé]tic|bronze|massot|terap|pilates|revitalize|dra""), ""Clín"&amp;"ica de Estética"", TRUE, ""Salão de Beleza""))"),"Barbearia")</f>
        <v>Barbearia</v>
      </c>
    </row>
    <row r="169">
      <c r="A169" s="1" t="s">
        <v>1065</v>
      </c>
      <c r="B169" s="1" t="s">
        <v>1066</v>
      </c>
      <c r="C169" s="1" t="s">
        <v>1067</v>
      </c>
      <c r="D169" s="1" t="s">
        <v>1068</v>
      </c>
      <c r="E169" s="1" t="s">
        <v>1069</v>
      </c>
      <c r="F169" s="1" t="s">
        <v>1070</v>
      </c>
      <c r="G169" s="1" t="s">
        <v>15</v>
      </c>
      <c r="H169" s="2" t="s">
        <v>1071</v>
      </c>
      <c r="I169" s="3" t="str">
        <f>IFERROR(__xludf.DUMMYFUNCTION("IF(A170="""", """", IFS(REGEXMATCH(LOWER(A170), ""barbearia|barber""), ""Barbearia"", REGEXMATCH(LOWER(A170), ""sobrancelh|c[ií]lio|lash|micropigment|showbrancelhas""), ""Sobrancelhas e Cílios"", REGEXMATCH(LOWER(A170), ""maquia|make""), ""Maquiagem"", RE"&amp;"GEXMATCH(LOWER(A170), ""depil|epil""), ""Depilação"", REGEXMATCH(LOWER(A170), ""esmalteria|unha|nail|manicur|spa dos p[eé]s|kauu_nhas""), ""Manicure - Esmalteria"", REGEXMATCH(LOWER(A170), ""est[eé]tic|bronze|massot|terap|pilates|revitalize|dra""), ""Clín"&amp;"ica de Estética"", TRUE, ""Salão de Beleza""))"),"Barbearia")</f>
        <v>Barbearia</v>
      </c>
    </row>
    <row r="170">
      <c r="A170" s="1" t="s">
        <v>1072</v>
      </c>
      <c r="B170" s="1" t="s">
        <v>1073</v>
      </c>
      <c r="C170" s="1" t="s">
        <v>1074</v>
      </c>
      <c r="D170" s="1" t="s">
        <v>1075</v>
      </c>
      <c r="E170" s="1" t="s">
        <v>1076</v>
      </c>
      <c r="F170" s="1" t="s">
        <v>1077</v>
      </c>
      <c r="G170" s="1" t="s">
        <v>15</v>
      </c>
      <c r="H170" s="2" t="s">
        <v>1078</v>
      </c>
      <c r="I170" s="1" t="s">
        <v>86</v>
      </c>
    </row>
    <row r="171">
      <c r="A171" s="1" t="s">
        <v>1079</v>
      </c>
      <c r="D171" s="1" t="s">
        <v>1080</v>
      </c>
      <c r="E171" s="1" t="s">
        <v>615</v>
      </c>
      <c r="F171" s="1" t="s">
        <v>616</v>
      </c>
      <c r="G171" s="1" t="s">
        <v>15</v>
      </c>
      <c r="H171" s="2" t="s">
        <v>1081</v>
      </c>
      <c r="I171" s="3" t="str">
        <f>IFERROR(__xludf.DUMMYFUNCTION("IF(A172="""", """", IFS(REGEXMATCH(LOWER(A172), ""barbearia|barber""), ""Barbearia"", REGEXMATCH(LOWER(A172), ""sobrancelh|c[ií]lio|lash|micropigment|showbrancelhas""), ""Sobrancelhas e Cílios"", REGEXMATCH(LOWER(A172), ""maquia|make""), ""Maquiagem"", RE"&amp;"GEXMATCH(LOWER(A172), ""depil|epil""), ""Depilação"", REGEXMATCH(LOWER(A172), ""esmalteria|unha|nail|manicur|spa dos p[eé]s|kauu_nhas""), ""Manicure - Esmalteria"", REGEXMATCH(LOWER(A172), ""est[eé]tic|bronze|massot|terap|pilates|revitalize|dra""), ""Clín"&amp;"ica de Estética"", TRUE, ""Salão de Beleza""))"),"Sobrancelhas e Cílios")</f>
        <v>Sobrancelhas e Cílios</v>
      </c>
    </row>
    <row r="172">
      <c r="A172" s="1" t="s">
        <v>1082</v>
      </c>
      <c r="B172" s="1" t="s">
        <v>1083</v>
      </c>
      <c r="C172" s="1" t="s">
        <v>1084</v>
      </c>
      <c r="D172" s="1" t="s">
        <v>1085</v>
      </c>
      <c r="E172" s="1" t="s">
        <v>1086</v>
      </c>
      <c r="F172" s="1" t="s">
        <v>1087</v>
      </c>
      <c r="G172" s="1" t="s">
        <v>15</v>
      </c>
      <c r="H172" s="2" t="s">
        <v>1088</v>
      </c>
      <c r="I172" s="1" t="s">
        <v>205</v>
      </c>
    </row>
    <row r="173">
      <c r="A173" s="1" t="s">
        <v>1089</v>
      </c>
      <c r="B173" s="1" t="s">
        <v>1090</v>
      </c>
      <c r="C173" s="1" t="s">
        <v>1091</v>
      </c>
      <c r="D173" s="1" t="s">
        <v>18</v>
      </c>
      <c r="E173" s="1" t="s">
        <v>1092</v>
      </c>
      <c r="F173" s="1" t="s">
        <v>1093</v>
      </c>
      <c r="G173" s="1" t="s">
        <v>15</v>
      </c>
      <c r="H173" s="2" t="s">
        <v>1094</v>
      </c>
      <c r="I173" s="3" t="str">
        <f>IFERROR(__xludf.DUMMYFUNCTION("IF(A174="""", """", IFS(REGEXMATCH(LOWER(A174), ""barbearia|barber""), ""Barbearia"", REGEXMATCH(LOWER(A174), ""sobrancelh|c[ií]lio|lash|micropigment|showbrancelhas""), ""Sobrancelhas e Cílios"", REGEXMATCH(LOWER(A174), ""maquia|make""), ""Maquiagem"", RE"&amp;"GEXMATCH(LOWER(A174), ""depil|epil""), ""Depilação"", REGEXMATCH(LOWER(A174), ""esmalteria|unha|nail|manicur|spa dos p[eé]s|kauu_nhas""), ""Manicure - Esmalteria"", REGEXMATCH(LOWER(A174), ""est[eé]tic|bronze|massot|terap|pilates|revitalize|dra""), ""Clín"&amp;"ica de Estética"", TRUE, ""Salão de Beleza""))"),"Manicure - Esmalteria")</f>
        <v>Manicure - Esmalteria</v>
      </c>
    </row>
    <row r="174">
      <c r="A174" s="1" t="s">
        <v>1095</v>
      </c>
      <c r="D174" s="1" t="s">
        <v>1096</v>
      </c>
      <c r="E174" s="1" t="s">
        <v>1097</v>
      </c>
      <c r="F174" s="1" t="s">
        <v>1098</v>
      </c>
      <c r="G174" s="1" t="s">
        <v>15</v>
      </c>
      <c r="H174" s="2" t="s">
        <v>1099</v>
      </c>
      <c r="I174" s="1" t="s">
        <v>197</v>
      </c>
    </row>
    <row r="175">
      <c r="A175" s="1" t="s">
        <v>1100</v>
      </c>
      <c r="B175" s="1" t="s">
        <v>1101</v>
      </c>
      <c r="C175" s="1" t="s">
        <v>1102</v>
      </c>
      <c r="D175" s="1" t="s">
        <v>1103</v>
      </c>
      <c r="E175" s="1" t="s">
        <v>1104</v>
      </c>
      <c r="F175" s="1" t="s">
        <v>1105</v>
      </c>
      <c r="G175" s="1" t="s">
        <v>15</v>
      </c>
      <c r="H175" s="2" t="s">
        <v>1106</v>
      </c>
      <c r="I175" s="1" t="s">
        <v>205</v>
      </c>
    </row>
    <row r="176">
      <c r="A176" s="1" t="s">
        <v>1107</v>
      </c>
      <c r="B176" s="1" t="s">
        <v>1108</v>
      </c>
      <c r="C176" s="1" t="s">
        <v>1109</v>
      </c>
      <c r="D176" s="1" t="s">
        <v>1110</v>
      </c>
      <c r="E176" s="1" t="s">
        <v>1111</v>
      </c>
      <c r="F176" s="1" t="s">
        <v>1112</v>
      </c>
      <c r="G176" s="1" t="s">
        <v>15</v>
      </c>
      <c r="H176" s="2" t="s">
        <v>1113</v>
      </c>
      <c r="I176" s="3" t="str">
        <f>IFERROR(__xludf.DUMMYFUNCTION("IF(A177="""", """", IFS(REGEXMATCH(LOWER(A177), ""barbearia|barber""), ""Barbearia"", REGEXMATCH(LOWER(A177), ""sobrancelh|c[ií]lio|lash|micropigment|showbrancelhas""), ""Sobrancelhas e Cílios"", REGEXMATCH(LOWER(A177), ""maquia|make""), ""Maquiagem"", RE"&amp;"GEXMATCH(LOWER(A177), ""depil|epil""), ""Depilação"", REGEXMATCH(LOWER(A177), ""esmalteria|unha|nail|manicur|spa dos p[eé]s|kauu_nhas""), ""Manicure - Esmalteria"", REGEXMATCH(LOWER(A177), ""est[eé]tic|bronze|massot|terap|pilates|revitalize|dra""), ""Clín"&amp;"ica de Estética"", TRUE, ""Salão de Beleza""))"),"Manicure - Esmalteria")</f>
        <v>Manicure - Esmalteria</v>
      </c>
    </row>
    <row r="177">
      <c r="A177" s="1" t="s">
        <v>1114</v>
      </c>
      <c r="B177" s="1" t="s">
        <v>1115</v>
      </c>
      <c r="C177" s="1" t="s">
        <v>1116</v>
      </c>
      <c r="D177" s="1" t="s">
        <v>884</v>
      </c>
      <c r="E177" s="1" t="s">
        <v>1117</v>
      </c>
      <c r="F177" s="1" t="s">
        <v>1118</v>
      </c>
      <c r="G177" s="1" t="s">
        <v>15</v>
      </c>
      <c r="H177" s="2" t="s">
        <v>1119</v>
      </c>
      <c r="I177" s="3" t="str">
        <f>IFERROR(__xludf.DUMMYFUNCTION("IF(A178="""", """", IFS(REGEXMATCH(LOWER(A178), ""barbearia|barber""), ""Barbearia"", REGEXMATCH(LOWER(A178), ""sobrancelh|c[ií]lio|lash|micropigment|showbrancelhas""), ""Sobrancelhas e Cílios"", REGEXMATCH(LOWER(A178), ""maquia|make""), ""Maquiagem"", RE"&amp;"GEXMATCH(LOWER(A178), ""depil|epil""), ""Depilação"", REGEXMATCH(LOWER(A178), ""esmalteria|unha|nail|manicur|spa dos p[eé]s|kauu_nhas""), ""Manicure - Esmalteria"", REGEXMATCH(LOWER(A178), ""est[eé]tic|bronze|massot|terap|pilates|revitalize|dra""), ""Clín"&amp;"ica de Estética"", TRUE, ""Salão de Beleza""))"),"Manicure - Esmalteria")</f>
        <v>Manicure - Esmalteria</v>
      </c>
    </row>
    <row r="178">
      <c r="A178" s="1" t="s">
        <v>1120</v>
      </c>
      <c r="B178" s="1" t="s">
        <v>1121</v>
      </c>
      <c r="C178" s="1" t="s">
        <v>1122</v>
      </c>
      <c r="D178" s="1" t="s">
        <v>1123</v>
      </c>
      <c r="E178" s="1" t="s">
        <v>1124</v>
      </c>
      <c r="F178" s="1" t="s">
        <v>1125</v>
      </c>
      <c r="G178" s="1" t="s">
        <v>15</v>
      </c>
      <c r="H178" s="2" t="s">
        <v>1126</v>
      </c>
      <c r="I178" s="1" t="s">
        <v>197</v>
      </c>
    </row>
    <row r="179">
      <c r="A179" s="1" t="s">
        <v>1127</v>
      </c>
      <c r="B179" s="1" t="s">
        <v>1128</v>
      </c>
      <c r="C179" s="1" t="s">
        <v>1129</v>
      </c>
      <c r="D179" s="1" t="s">
        <v>1130</v>
      </c>
      <c r="E179" s="1" t="s">
        <v>1131</v>
      </c>
      <c r="F179" s="1" t="s">
        <v>1132</v>
      </c>
      <c r="G179" s="1" t="s">
        <v>15</v>
      </c>
      <c r="H179" s="2" t="s">
        <v>1133</v>
      </c>
      <c r="I179" s="1" t="s">
        <v>66</v>
      </c>
    </row>
    <row r="180">
      <c r="A180" s="1" t="s">
        <v>1134</v>
      </c>
      <c r="B180" s="1" t="s">
        <v>1135</v>
      </c>
      <c r="C180" s="1" t="s">
        <v>1136</v>
      </c>
      <c r="D180" s="1" t="s">
        <v>1137</v>
      </c>
      <c r="E180" s="1" t="s">
        <v>1138</v>
      </c>
      <c r="F180" s="1" t="s">
        <v>1139</v>
      </c>
      <c r="G180" s="1" t="s">
        <v>15</v>
      </c>
      <c r="H180" s="2" t="s">
        <v>1140</v>
      </c>
      <c r="I180" s="3" t="str">
        <f>IFERROR(__xludf.DUMMYFUNCTION("IF(A181="""", """", IFS(REGEXMATCH(LOWER(A181), ""barbearia|barber""), ""Barbearia"", REGEXMATCH(LOWER(A181), ""sobrancelh|c[ií]lio|lash|micropigment|showbrancelhas""), ""Sobrancelhas e Cílios"", REGEXMATCH(LOWER(A181), ""maquia|make""), ""Maquiagem"", RE"&amp;"GEXMATCH(LOWER(A181), ""depil|epil""), ""Depilação"", REGEXMATCH(LOWER(A181), ""esmalteria|unha|nail|manicur|spa dos p[eé]s|kauu_nhas""), ""Manicure - Esmalteria"", REGEXMATCH(LOWER(A181), ""est[eé]tic|bronze|massot|terap|pilates|revitalize|dra""), ""Clín"&amp;"ica de Estética"", TRUE, ""Salão de Beleza""))"),"Manicure - Esmalteria")</f>
        <v>Manicure - Esmalteria</v>
      </c>
    </row>
    <row r="181">
      <c r="A181" s="1" t="s">
        <v>1141</v>
      </c>
      <c r="B181" s="1" t="s">
        <v>1142</v>
      </c>
      <c r="C181" s="1" t="s">
        <v>1143</v>
      </c>
      <c r="D181" s="1" t="s">
        <v>1144</v>
      </c>
      <c r="E181" s="1" t="s">
        <v>1145</v>
      </c>
      <c r="F181" s="1" t="s">
        <v>1146</v>
      </c>
      <c r="G181" s="1" t="s">
        <v>15</v>
      </c>
      <c r="H181" s="2" t="s">
        <v>1147</v>
      </c>
      <c r="I181" s="3" t="str">
        <f>IFERROR(__xludf.DUMMYFUNCTION("IF(A182="""", """", IFS(REGEXMATCH(LOWER(A182), ""barbearia|barber""), ""Barbearia"", REGEXMATCH(LOWER(A182), ""sobrancelh|c[ií]lio|lash|micropigment|showbrancelhas""), ""Sobrancelhas e Cílios"", REGEXMATCH(LOWER(A182), ""maquia|make""), ""Maquiagem"", RE"&amp;"GEXMATCH(LOWER(A182), ""depil|epil""), ""Depilação"", REGEXMATCH(LOWER(A182), ""esmalteria|unha|nail|manicur|spa dos p[eé]s|kauu_nhas""), ""Manicure - Esmalteria"", REGEXMATCH(LOWER(A182), ""est[eé]tic|bronze|massot|terap|pilates|revitalize|dra""), ""Clín"&amp;"ica de Estética"", TRUE, ""Salão de Beleza""))"),"Manicure - Esmalteria")</f>
        <v>Manicure - Esmalteria</v>
      </c>
    </row>
    <row r="182">
      <c r="A182" s="1" t="s">
        <v>1148</v>
      </c>
      <c r="B182" s="1" t="s">
        <v>1149</v>
      </c>
      <c r="C182" s="1" t="s">
        <v>1150</v>
      </c>
      <c r="D182" s="1" t="s">
        <v>1151</v>
      </c>
      <c r="E182" s="1" t="s">
        <v>1152</v>
      </c>
      <c r="F182" s="1" t="s">
        <v>1153</v>
      </c>
      <c r="G182" s="1" t="s">
        <v>15</v>
      </c>
      <c r="H182" s="2" t="s">
        <v>1154</v>
      </c>
      <c r="I182" s="1" t="s">
        <v>197</v>
      </c>
    </row>
    <row r="183">
      <c r="A183" s="1" t="s">
        <v>1155</v>
      </c>
      <c r="B183" s="1" t="s">
        <v>1156</v>
      </c>
      <c r="C183" s="1" t="s">
        <v>1157</v>
      </c>
      <c r="D183" s="1" t="s">
        <v>1158</v>
      </c>
      <c r="E183" s="1" t="s">
        <v>1159</v>
      </c>
      <c r="F183" s="1" t="s">
        <v>1160</v>
      </c>
      <c r="G183" s="1" t="s">
        <v>15</v>
      </c>
      <c r="H183" s="2" t="s">
        <v>1161</v>
      </c>
      <c r="I183" s="1" t="s">
        <v>205</v>
      </c>
    </row>
    <row r="184">
      <c r="A184" s="1" t="s">
        <v>1162</v>
      </c>
      <c r="D184" s="1" t="s">
        <v>1163</v>
      </c>
      <c r="E184" s="1" t="s">
        <v>1164</v>
      </c>
      <c r="F184" s="1" t="s">
        <v>1165</v>
      </c>
      <c r="G184" s="1" t="s">
        <v>15</v>
      </c>
      <c r="H184" s="2" t="s">
        <v>1166</v>
      </c>
      <c r="I184" s="1" t="s">
        <v>1167</v>
      </c>
    </row>
    <row r="185">
      <c r="A185" s="1" t="s">
        <v>1168</v>
      </c>
      <c r="B185" s="1" t="s">
        <v>1169</v>
      </c>
      <c r="C185" s="1" t="s">
        <v>1170</v>
      </c>
      <c r="D185" s="1" t="s">
        <v>1171</v>
      </c>
      <c r="E185" s="1" t="s">
        <v>1172</v>
      </c>
      <c r="F185" s="1" t="s">
        <v>1173</v>
      </c>
      <c r="G185" s="1" t="s">
        <v>15</v>
      </c>
      <c r="H185" s="2" t="s">
        <v>1174</v>
      </c>
      <c r="I185" s="3" t="str">
        <f>IFERROR(__xludf.DUMMYFUNCTION("IF(A186="""", """", IFS(REGEXMATCH(LOWER(A186), ""barbearia|barber""), ""Barbearia"", REGEXMATCH(LOWER(A186), ""sobrancelh|c[ií]lio|lash|micropigment|showbrancelhas""), ""Sobrancelhas e Cílios"", REGEXMATCH(LOWER(A186), ""maquia|make""), ""Maquiagem"", RE"&amp;"GEXMATCH(LOWER(A186), ""depil|epil""), ""Depilação"", REGEXMATCH(LOWER(A186), ""esmalteria|unha|nail|manicur|spa dos p[eé]s|kauu_nhas""), ""Manicure - Esmalteria"", REGEXMATCH(LOWER(A186), ""est[eé]tic|bronze|massot|terap|pilates|revitalize|dra""), ""Clín"&amp;"ica de Estética"", TRUE, ""Salão de Beleza""))"),"Maquiagem")</f>
        <v>Maquiagem</v>
      </c>
    </row>
    <row r="186">
      <c r="A186" s="1" t="s">
        <v>1175</v>
      </c>
      <c r="B186" s="1" t="s">
        <v>1176</v>
      </c>
      <c r="C186" s="1" t="s">
        <v>1177</v>
      </c>
      <c r="E186" s="1" t="s">
        <v>1178</v>
      </c>
      <c r="F186" s="1" t="s">
        <v>1179</v>
      </c>
      <c r="G186" s="1" t="s">
        <v>15</v>
      </c>
      <c r="H186" s="2" t="s">
        <v>1180</v>
      </c>
      <c r="I186" s="3" t="str">
        <f>IFERROR(__xludf.DUMMYFUNCTION("IF(A187="""", """", IFS(REGEXMATCH(LOWER(A187), ""barbearia|barber""), ""Barbearia"", REGEXMATCH(LOWER(A187), ""sobrancelh|c[ií]lio|lash|micropigment|showbrancelhas""), ""Sobrancelhas e Cílios"", REGEXMATCH(LOWER(A187), ""maquia|make""), ""Maquiagem"", RE"&amp;"GEXMATCH(LOWER(A187), ""depil|epil""), ""Depilação"", REGEXMATCH(LOWER(A187), ""esmalteria|unha|nail|manicur|spa dos p[eé]s|kauu_nhas""), ""Manicure - Esmalteria"", REGEXMATCH(LOWER(A187), ""est[eé]tic|bronze|massot|terap|pilates|revitalize|dra""), ""Clín"&amp;"ica de Estética"", TRUE, ""Salão de Beleza""))"),"Maquiagem")</f>
        <v>Maquiagem</v>
      </c>
    </row>
    <row r="187">
      <c r="A187" s="1" t="s">
        <v>1181</v>
      </c>
      <c r="B187" s="1" t="s">
        <v>1182</v>
      </c>
      <c r="C187" s="1" t="s">
        <v>1183</v>
      </c>
      <c r="D187" s="1" t="s">
        <v>1184</v>
      </c>
      <c r="E187" s="1" t="s">
        <v>1185</v>
      </c>
      <c r="F187" s="1" t="s">
        <v>1186</v>
      </c>
      <c r="G187" s="1" t="s">
        <v>15</v>
      </c>
      <c r="H187" s="2" t="s">
        <v>1187</v>
      </c>
      <c r="I187" s="1" t="s">
        <v>122</v>
      </c>
    </row>
    <row r="188">
      <c r="A188" s="1" t="s">
        <v>1188</v>
      </c>
      <c r="B188" s="1" t="s">
        <v>1189</v>
      </c>
      <c r="C188" s="1" t="s">
        <v>1190</v>
      </c>
      <c r="D188" s="1" t="s">
        <v>1191</v>
      </c>
      <c r="E188" s="1" t="s">
        <v>1192</v>
      </c>
      <c r="F188" s="1" t="s">
        <v>1193</v>
      </c>
      <c r="G188" s="1" t="s">
        <v>15</v>
      </c>
      <c r="H188" s="2" t="s">
        <v>1194</v>
      </c>
      <c r="I188" s="1" t="s">
        <v>205</v>
      </c>
    </row>
    <row r="189">
      <c r="A189" s="1" t="s">
        <v>1195</v>
      </c>
      <c r="D189" s="1" t="s">
        <v>1196</v>
      </c>
      <c r="E189" s="1" t="s">
        <v>1197</v>
      </c>
      <c r="F189" s="1" t="s">
        <v>1198</v>
      </c>
      <c r="G189" s="1" t="s">
        <v>15</v>
      </c>
      <c r="H189" s="2" t="s">
        <v>1199</v>
      </c>
      <c r="I189" s="1" t="s">
        <v>205</v>
      </c>
    </row>
    <row r="190">
      <c r="A190" s="1" t="s">
        <v>1200</v>
      </c>
      <c r="D190" s="1" t="s">
        <v>1201</v>
      </c>
      <c r="E190" s="1" t="s">
        <v>1202</v>
      </c>
      <c r="F190" s="1" t="s">
        <v>1203</v>
      </c>
      <c r="G190" s="1" t="s">
        <v>15</v>
      </c>
      <c r="H190" s="2" t="s">
        <v>1204</v>
      </c>
      <c r="I190" s="1" t="s">
        <v>197</v>
      </c>
    </row>
    <row r="191">
      <c r="A191" s="1" t="s">
        <v>1205</v>
      </c>
      <c r="B191" s="1" t="s">
        <v>1206</v>
      </c>
      <c r="C191" s="1" t="s">
        <v>1207</v>
      </c>
      <c r="D191" s="1" t="s">
        <v>1208</v>
      </c>
      <c r="E191" s="1" t="s">
        <v>1209</v>
      </c>
      <c r="F191" s="1" t="s">
        <v>1210</v>
      </c>
      <c r="G191" s="1" t="s">
        <v>15</v>
      </c>
      <c r="H191" s="2" t="s">
        <v>1211</v>
      </c>
      <c r="I191" s="1" t="s">
        <v>178</v>
      </c>
    </row>
    <row r="192">
      <c r="A192" s="1" t="s">
        <v>1212</v>
      </c>
      <c r="B192" s="1" t="s">
        <v>913</v>
      </c>
      <c r="C192" s="1" t="s">
        <v>914</v>
      </c>
      <c r="E192" s="1" t="s">
        <v>1178</v>
      </c>
      <c r="F192" s="1" t="s">
        <v>1179</v>
      </c>
      <c r="G192" s="1" t="s">
        <v>15</v>
      </c>
      <c r="H192" s="2" t="s">
        <v>1213</v>
      </c>
      <c r="I192" s="3" t="str">
        <f>IFERROR(__xludf.DUMMYFUNCTION("IF(A193="""", """", IFS(REGEXMATCH(LOWER(A193), ""barbearia|barber""), ""Barbearia"", REGEXMATCH(LOWER(A193), ""sobrancelh|c[ií]lio|lash|micropigment|showbrancelhas""), ""Sobrancelhas e Cílios"", REGEXMATCH(LOWER(A193), ""maquia|make""), ""Maquiagem"", RE"&amp;"GEXMATCH(LOWER(A193), ""depil|epil""), ""Depilação"", REGEXMATCH(LOWER(A193), ""esmalteria|unha|nail|manicur|spa dos p[eé]s|kauu_nhas""), ""Manicure - Esmalteria"", REGEXMATCH(LOWER(A193), ""est[eé]tic|bronze|massot|terap|pilates|revitalize|dra""), ""Clín"&amp;"ica de Estética"", TRUE, ""Salão de Beleza""))"),"Salão de Beleza")</f>
        <v>Salão de Beleza</v>
      </c>
    </row>
    <row r="193">
      <c r="A193" s="1" t="s">
        <v>1214</v>
      </c>
      <c r="B193" s="1" t="s">
        <v>1215</v>
      </c>
      <c r="C193" s="1" t="s">
        <v>1216</v>
      </c>
      <c r="E193" s="1" t="s">
        <v>1178</v>
      </c>
      <c r="F193" s="1" t="s">
        <v>1179</v>
      </c>
      <c r="G193" s="1" t="s">
        <v>15</v>
      </c>
      <c r="H193" s="2" t="s">
        <v>1217</v>
      </c>
      <c r="I193" s="1" t="s">
        <v>197</v>
      </c>
    </row>
    <row r="194">
      <c r="A194" s="1" t="s">
        <v>1218</v>
      </c>
      <c r="D194" s="1" t="s">
        <v>1219</v>
      </c>
      <c r="E194" s="1" t="s">
        <v>1220</v>
      </c>
      <c r="F194" s="1" t="s">
        <v>1221</v>
      </c>
      <c r="G194" s="1" t="s">
        <v>15</v>
      </c>
      <c r="H194" s="2" t="s">
        <v>1222</v>
      </c>
      <c r="I194" s="1" t="s">
        <v>66</v>
      </c>
    </row>
    <row r="195">
      <c r="A195" s="1" t="s">
        <v>1223</v>
      </c>
      <c r="D195" s="1" t="s">
        <v>1224</v>
      </c>
      <c r="E195" s="1" t="s">
        <v>1225</v>
      </c>
      <c r="F195" s="1" t="s">
        <v>1226</v>
      </c>
      <c r="G195" s="1" t="s">
        <v>15</v>
      </c>
      <c r="H195" s="2" t="s">
        <v>1227</v>
      </c>
      <c r="I195" s="1" t="s">
        <v>86</v>
      </c>
    </row>
    <row r="196">
      <c r="A196" s="1" t="s">
        <v>1228</v>
      </c>
      <c r="B196" s="1" t="s">
        <v>1229</v>
      </c>
      <c r="C196" s="1" t="s">
        <v>1230</v>
      </c>
      <c r="D196" s="1" t="s">
        <v>770</v>
      </c>
      <c r="E196" s="1" t="s">
        <v>1231</v>
      </c>
      <c r="F196" s="1" t="s">
        <v>1232</v>
      </c>
      <c r="G196" s="1" t="s">
        <v>15</v>
      </c>
      <c r="H196" s="2" t="s">
        <v>1233</v>
      </c>
      <c r="I196" s="3" t="str">
        <f>IFERROR(__xludf.DUMMYFUNCTION("IF(A197="""", """", IFS(REGEXMATCH(LOWER(A197), ""barbearia|barber""), ""Barbearia"", REGEXMATCH(LOWER(A197), ""sobrancelh|c[ií]lio|lash|micropigment|showbrancelhas""), ""Sobrancelhas e Cílios"", REGEXMATCH(LOWER(A197), ""maquia|make""), ""Maquiagem"", RE"&amp;"GEXMATCH(LOWER(A197), ""depil|epil""), ""Depilação"", REGEXMATCH(LOWER(A197), ""esmalteria|unha|nail|manicur|spa dos p[eé]s|kauu_nhas""), ""Manicure - Esmalteria"", REGEXMATCH(LOWER(A197), ""est[eé]tic|bronze|massot|terap|pilates|revitalize|dra""), ""Clín"&amp;"ica de Estética"", TRUE, ""Salão de Beleza""))"),"Salão de Beleza")</f>
        <v>Salão de Beleza</v>
      </c>
    </row>
    <row r="197">
      <c r="A197" s="1" t="s">
        <v>1234</v>
      </c>
      <c r="B197" s="1" t="s">
        <v>1053</v>
      </c>
      <c r="C197" s="1" t="s">
        <v>1054</v>
      </c>
      <c r="D197" s="1" t="s">
        <v>1235</v>
      </c>
      <c r="E197" s="1" t="s">
        <v>1236</v>
      </c>
      <c r="F197" s="1" t="s">
        <v>1237</v>
      </c>
      <c r="G197" s="1" t="s">
        <v>15</v>
      </c>
      <c r="H197" s="2" t="s">
        <v>1238</v>
      </c>
      <c r="I197" s="3" t="str">
        <f>IFERROR(__xludf.DUMMYFUNCTION("IF(A198="""", """", IFS(REGEXMATCH(LOWER(A198), ""barbearia|barber""), ""Barbearia"", REGEXMATCH(LOWER(A198), ""sobrancelh|c[ií]lio|lash|micropigment|showbrancelhas""), ""Sobrancelhas e Cílios"", REGEXMATCH(LOWER(A198), ""maquia|make""), ""Maquiagem"", RE"&amp;"GEXMATCH(LOWER(A198), ""depil|epil""), ""Depilação"", REGEXMATCH(LOWER(A198), ""esmalteria|unha|nail|manicur|spa dos p[eé]s|kauu_nhas""), ""Manicure - Esmalteria"", REGEXMATCH(LOWER(A198), ""est[eé]tic|bronze|massot|terap|pilates|revitalize|dra""), ""Clín"&amp;"ica de Estética"", TRUE, ""Salão de Beleza""))"),"Barbearia")</f>
        <v>Barbearia</v>
      </c>
    </row>
    <row r="198">
      <c r="A198" s="1" t="s">
        <v>1239</v>
      </c>
      <c r="B198" s="1" t="s">
        <v>1240</v>
      </c>
      <c r="C198" s="1" t="s">
        <v>1241</v>
      </c>
      <c r="D198" s="1" t="s">
        <v>1242</v>
      </c>
      <c r="E198" s="1" t="s">
        <v>1243</v>
      </c>
      <c r="F198" s="1" t="s">
        <v>1244</v>
      </c>
      <c r="G198" s="1" t="s">
        <v>15</v>
      </c>
      <c r="H198" s="2" t="s">
        <v>1245</v>
      </c>
      <c r="I198" s="3" t="str">
        <f>IFERROR(__xludf.DUMMYFUNCTION("IF(A199="""", """", IFS(REGEXMATCH(LOWER(A199), ""barbearia|barber""), ""Barbearia"", REGEXMATCH(LOWER(A199), ""sobrancelh|c[ií]lio|lash|micropigment|showbrancelhas""), ""Sobrancelhas e Cílios"", REGEXMATCH(LOWER(A199), ""maquia|make""), ""Maquiagem"", RE"&amp;"GEXMATCH(LOWER(A199), ""depil|epil""), ""Depilação"", REGEXMATCH(LOWER(A199), ""esmalteria|unha|nail|manicur|spa dos p[eé]s|kauu_nhas""), ""Manicure - Esmalteria"", REGEXMATCH(LOWER(A199), ""est[eé]tic|bronze|massot|terap|pilates|revitalize|dra""), ""Clín"&amp;"ica de Estética"", TRUE, ""Salão de Beleza""))"),"Barbearia")</f>
        <v>Barbearia</v>
      </c>
    </row>
    <row r="199">
      <c r="A199" s="1" t="s">
        <v>1246</v>
      </c>
      <c r="D199" s="1" t="s">
        <v>1247</v>
      </c>
      <c r="E199" s="1" t="s">
        <v>1248</v>
      </c>
      <c r="F199" s="1" t="s">
        <v>1249</v>
      </c>
      <c r="G199" s="1" t="s">
        <v>15</v>
      </c>
      <c r="H199" s="2" t="s">
        <v>1250</v>
      </c>
      <c r="I199" s="3" t="str">
        <f>IFERROR(__xludf.DUMMYFUNCTION("IF(A200="""", """", IFS(REGEXMATCH(LOWER(A200), ""barbearia|barber""), ""Barbearia"", REGEXMATCH(LOWER(A200), ""sobrancelh|c[ií]lio|lash|micropigment|showbrancelhas""), ""Sobrancelhas e Cílios"", REGEXMATCH(LOWER(A200), ""maquia|make""), ""Maquiagem"", RE"&amp;"GEXMATCH(LOWER(A200), ""depil|epil""), ""Depilação"", REGEXMATCH(LOWER(A200), ""esmalteria|unha|nail|manicur|spa dos p[eé]s|kauu_nhas""), ""Manicure - Esmalteria"", REGEXMATCH(LOWER(A200), ""est[eé]tic|bronze|massot|terap|pilates|revitalize|dra""), ""Clín"&amp;"ica de Estética"", TRUE, ""Salão de Beleza""))"),"Barbearia")</f>
        <v>Barbearia</v>
      </c>
    </row>
    <row r="200">
      <c r="A200" s="1" t="s">
        <v>1251</v>
      </c>
      <c r="B200" s="1" t="s">
        <v>1252</v>
      </c>
      <c r="C200" s="1" t="s">
        <v>1253</v>
      </c>
      <c r="D200" s="1" t="s">
        <v>1254</v>
      </c>
      <c r="E200" s="1" t="s">
        <v>1255</v>
      </c>
      <c r="F200" s="1" t="s">
        <v>1256</v>
      </c>
      <c r="G200" s="1" t="s">
        <v>15</v>
      </c>
      <c r="H200" s="2" t="s">
        <v>1257</v>
      </c>
      <c r="I200" s="3" t="str">
        <f>IFERROR(__xludf.DUMMYFUNCTION("IF(A201="""", """", IFS(REGEXMATCH(LOWER(A201), ""barbearia|barber""), ""Barbearia"", REGEXMATCH(LOWER(A201), ""sobrancelh|c[ií]lio|lash|micropigment|showbrancelhas""), ""Sobrancelhas e Cílios"", REGEXMATCH(LOWER(A201), ""maquia|make""), ""Maquiagem"", RE"&amp;"GEXMATCH(LOWER(A201), ""depil|epil""), ""Depilação"", REGEXMATCH(LOWER(A201), ""esmalteria|unha|nail|manicur|spa dos p[eé]s|kauu_nhas""), ""Manicure - Esmalteria"", REGEXMATCH(LOWER(A201), ""est[eé]tic|bronze|massot|terap|pilates|revitalize|dra""), ""Clín"&amp;"ica de Estética"", TRUE, ""Salão de Beleza""))"),"Barbearia")</f>
        <v>Barbearia</v>
      </c>
    </row>
    <row r="201">
      <c r="A201" s="1" t="s">
        <v>1258</v>
      </c>
      <c r="B201" s="1" t="s">
        <v>1259</v>
      </c>
      <c r="C201" s="1" t="s">
        <v>1260</v>
      </c>
      <c r="D201" s="1" t="s">
        <v>1261</v>
      </c>
      <c r="E201" s="1" t="s">
        <v>1262</v>
      </c>
      <c r="F201" s="1" t="s">
        <v>1263</v>
      </c>
      <c r="G201" s="1" t="s">
        <v>15</v>
      </c>
      <c r="H201" s="2" t="s">
        <v>1264</v>
      </c>
      <c r="I201" s="3" t="str">
        <f>IFERROR(__xludf.DUMMYFUNCTION("IF(A202="""", """", IFS(REGEXMATCH(LOWER(A202), ""barbearia|barber""), ""Barbearia"", REGEXMATCH(LOWER(A202), ""sobrancelh|c[ií]lio|lash|micropigment|showbrancelhas""), ""Sobrancelhas e Cílios"", REGEXMATCH(LOWER(A202), ""maquia|make""), ""Maquiagem"", RE"&amp;"GEXMATCH(LOWER(A202), ""depil|epil""), ""Depilação"", REGEXMATCH(LOWER(A202), ""esmalteria|unha|nail|manicur|spa dos p[eé]s|kauu_nhas""), ""Manicure - Esmalteria"", REGEXMATCH(LOWER(A202), ""est[eé]tic|bronze|massot|terap|pilates|revitalize|dra""), ""Clín"&amp;"ica de Estética"", TRUE, ""Salão de Beleza""))"),"Barbearia")</f>
        <v>Barbearia</v>
      </c>
    </row>
    <row r="202">
      <c r="A202" s="1" t="s">
        <v>1265</v>
      </c>
      <c r="B202" s="1" t="s">
        <v>1189</v>
      </c>
      <c r="C202" s="1" t="s">
        <v>1190</v>
      </c>
      <c r="D202" s="1" t="s">
        <v>1266</v>
      </c>
      <c r="E202" s="1" t="s">
        <v>1267</v>
      </c>
      <c r="F202" s="1" t="s">
        <v>1268</v>
      </c>
      <c r="G202" s="1" t="s">
        <v>15</v>
      </c>
      <c r="H202" s="2" t="s">
        <v>1269</v>
      </c>
      <c r="I202" s="3" t="str">
        <f>IFERROR(__xludf.DUMMYFUNCTION("IF(A203="""", """", IFS(REGEXMATCH(LOWER(A203), ""barbearia|barber""), ""Barbearia"", REGEXMATCH(LOWER(A203), ""sobrancelh|c[ií]lio|lash|micropigment|showbrancelhas""), ""Sobrancelhas e Cílios"", REGEXMATCH(LOWER(A203), ""maquia|make""), ""Maquiagem"", RE"&amp;"GEXMATCH(LOWER(A203), ""depil|epil""), ""Depilação"", REGEXMATCH(LOWER(A203), ""esmalteria|unha|nail|manicur|spa dos p[eé]s|kauu_nhas""), ""Manicure - Esmalteria"", REGEXMATCH(LOWER(A203), ""est[eé]tic|bronze|massot|terap|pilates|revitalize|dra""), ""Clín"&amp;"ica de Estética"", TRUE, ""Salão de Beleza""))"),"Barbearia")</f>
        <v>Barbearia</v>
      </c>
    </row>
    <row r="203">
      <c r="A203" s="1" t="s">
        <v>1270</v>
      </c>
      <c r="B203" s="1" t="s">
        <v>1271</v>
      </c>
      <c r="C203" s="1" t="s">
        <v>1272</v>
      </c>
      <c r="D203" s="1" t="s">
        <v>1027</v>
      </c>
      <c r="E203" s="1" t="s">
        <v>1273</v>
      </c>
      <c r="F203" s="1" t="s">
        <v>1274</v>
      </c>
      <c r="G203" s="1" t="s">
        <v>15</v>
      </c>
      <c r="H203" s="2" t="s">
        <v>1275</v>
      </c>
      <c r="I203" s="1" t="s">
        <v>86</v>
      </c>
    </row>
    <row r="204">
      <c r="A204" s="1" t="s">
        <v>1276</v>
      </c>
      <c r="B204" s="1" t="s">
        <v>1277</v>
      </c>
      <c r="C204" s="1" t="s">
        <v>1278</v>
      </c>
      <c r="D204" s="1" t="s">
        <v>1279</v>
      </c>
      <c r="E204" s="1" t="s">
        <v>1280</v>
      </c>
      <c r="F204" s="1" t="s">
        <v>1281</v>
      </c>
      <c r="G204" s="1" t="s">
        <v>15</v>
      </c>
      <c r="H204" s="2" t="s">
        <v>1282</v>
      </c>
      <c r="I204" s="1" t="s">
        <v>86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</hyperlinks>
  <drawing r:id="rId204"/>
</worksheet>
</file>