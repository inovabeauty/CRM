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Peritoró 2026-09-1" sheetId="1" r:id="rId5"/>
  </sheets>
  <definedNames/>
  <calcPr/>
</workbook>
</file>

<file path=xl/sharedStrings.xml><?xml version="1.0" encoding="utf-8"?>
<sst xmlns="http://schemas.openxmlformats.org/spreadsheetml/2006/main" count="148" uniqueCount="124">
  <si>
    <t>Nome</t>
  </si>
  <si>
    <t>phone</t>
  </si>
  <si>
    <t>WhatsApp</t>
  </si>
  <si>
    <t>Endereço</t>
  </si>
  <si>
    <t>Latitude</t>
  </si>
  <si>
    <t>Longitude</t>
  </si>
  <si>
    <t>Cidade</t>
  </si>
  <si>
    <t>url</t>
  </si>
  <si>
    <t>Categoria</t>
  </si>
  <si>
    <t>Eugênia Santos STUDIO DE BELEZA</t>
  </si>
  <si>
    <t>Peritoró - MA, 65418-000, Brasil</t>
  </si>
  <si>
    <t>-4.372011</t>
  </si>
  <si>
    <t>-44.331273</t>
  </si>
  <si>
    <t>Peritoró - MA</t>
  </si>
  <si>
    <t>https://www.google.com/maps/search/?api=1&amp;query=Eug%C3%AAnia%20Santos%20STUDIO%20DE%20BELEZA&amp;query_place_id=ChIJkcHqmS_KiwcRtE2K_ihl7GU</t>
  </si>
  <si>
    <t>Centro Etético Carpus Belle</t>
  </si>
  <si>
    <t>-4.3746434</t>
  </si>
  <si>
    <t>-44.3299445</t>
  </si>
  <si>
    <t>https://www.google.com/maps/search/?api=1&amp;query=Centro%20Et%C3%A9tico%20Carpus%20Belle&amp;query_place_id=ChIJi46XkC7KiwcRLwHzDP91nRE</t>
  </si>
  <si>
    <t>Yara Studio de beleza</t>
  </si>
  <si>
    <t>+55 99 99126-9330</t>
  </si>
  <si>
    <t>+5599991269330</t>
  </si>
  <si>
    <t>Tv. da Matriz, 01 - Centro, Peritoró - MA, 65418-000, Brasil</t>
  </si>
  <si>
    <t>-4.3748125</t>
  </si>
  <si>
    <t>-44.340762</t>
  </si>
  <si>
    <t>https://www.google.com/maps/search/?api=1&amp;query=Yara%20Studio%20de%20beleza&amp;query_place_id=ChIJ0zwvcBHLiwcR7GubBbVUrFo</t>
  </si>
  <si>
    <t>Salão Diana Bella</t>
  </si>
  <si>
    <t>+55 99 99124-3213</t>
  </si>
  <si>
    <t>+5599991243213</t>
  </si>
  <si>
    <t>Tv. Sete de Setembro, S/nº, Peritoró - MA, 65418-000, Brasil</t>
  </si>
  <si>
    <t>-4.3734209</t>
  </si>
  <si>
    <t>-44.3284058</t>
  </si>
  <si>
    <t>https://www.google.com/maps/search/?api=1&amp;query=Sal%C3%A3o%20Diana%20Bella&amp;query_place_id=ChIJc2yYKrHLiwcRmoRgCgM1vOs</t>
  </si>
  <si>
    <t>Alexandre Barbeiro</t>
  </si>
  <si>
    <t>+55 99 99216-6832</t>
  </si>
  <si>
    <t>+5599992166832</t>
  </si>
  <si>
    <t>Tv. da Igreja - Livramento, Peritoró - MA, 65418-000, Brasil</t>
  </si>
  <si>
    <t>-4.3508312</t>
  </si>
  <si>
    <t>-44.3753802</t>
  </si>
  <si>
    <t>https://www.google.com/maps/search/?api=1&amp;query=Alexandre%20Barbeiro&amp;query_place_id=ChIJNQ2spXnLiwcR_lbcop-80FE</t>
  </si>
  <si>
    <t>Barbearia</t>
  </si>
  <si>
    <t>Maeli cabeleireira</t>
  </si>
  <si>
    <t>-4.3779439</t>
  </si>
  <si>
    <t>-44.3392338</t>
  </si>
  <si>
    <t>https://www.google.com/maps/search/?api=1&amp;query=Maeli%20cabeleireira&amp;query_place_id=ChIJyWb5YwDLiwcRPVZPwvDoxiE</t>
  </si>
  <si>
    <t>Cristina Cabeleireira</t>
  </si>
  <si>
    <t>Vila Tiradentes, Peritoró - MA, 65418-000, Brasil</t>
  </si>
  <si>
    <t>-4.3736631</t>
  </si>
  <si>
    <t>-44.3271352</t>
  </si>
  <si>
    <t>https://www.google.com/maps/search/?api=1&amp;query=Cristina%20Cabeleireira&amp;query_place_id=ChIJSXRIHynKiwcROr877X2_YhM</t>
  </si>
  <si>
    <t>Vivi Rodrigues Hair</t>
  </si>
  <si>
    <t>+55 99 99190-9907</t>
  </si>
  <si>
    <t>+5599991909907</t>
  </si>
  <si>
    <t>Av. Brasil, Peritoró - MA, 65418-000, Brasil</t>
  </si>
  <si>
    <t>-4.3755687</t>
  </si>
  <si>
    <t>-44.3299825</t>
  </si>
  <si>
    <t>https://www.google.com/maps/search/?api=1&amp;query=Vivi%20Rodrigues%20Hair&amp;query_place_id=ChIJ1YcsWXzLiwcRScY40herEXs</t>
  </si>
  <si>
    <t>Salão de Beleza</t>
  </si>
  <si>
    <t>Nails Branca Esmalteria</t>
  </si>
  <si>
    <t>R. Quatro de Outubro, Peritoró - MA, 65418-000, Brasil</t>
  </si>
  <si>
    <t>-4.3771578</t>
  </si>
  <si>
    <t>-44.340139</t>
  </si>
  <si>
    <t>https://www.google.com/maps/search/?api=1&amp;query=Nails%20Branca%20Esmalteria&amp;query_place_id=ChIJQalnu9LLiwcR4osAIGFcROI</t>
  </si>
  <si>
    <t>Manicure - Esmalteria</t>
  </si>
  <si>
    <t>RC Studio Cílios &amp; Sobrancelhas</t>
  </si>
  <si>
    <t>R. São Raimundo, Peritoró - MA, 65418-000, Brasil</t>
  </si>
  <si>
    <t>-4.3738977</t>
  </si>
  <si>
    <t>-44.3440786</t>
  </si>
  <si>
    <t>https://www.google.com/maps/search/?api=1&amp;query=RC%20Studio%20C%C3%ADlios%20%26%20Sobrancelhas&amp;query_place_id=ChIJ80jzGgDLiwcR4H1Po2OXDYw</t>
  </si>
  <si>
    <t>Sobrancelhas e Cílios</t>
  </si>
  <si>
    <t>Salão da Sirlene</t>
  </si>
  <si>
    <t>+55 99 99205-3832</t>
  </si>
  <si>
    <t>+5599992053832</t>
  </si>
  <si>
    <t>R. da Faixa, 26 - Peritoro, Peritoró - MA, 65418-000, Brasil</t>
  </si>
  <si>
    <t>-4.3733533</t>
  </si>
  <si>
    <t>-44.3288727</t>
  </si>
  <si>
    <t>https://www.google.com/maps/search/?api=1&amp;query=Sal%C3%A3o%20da%20Sirlene&amp;query_place_id=ChIJj9xkFgDLiwcR1jsTIkTcPyM</t>
  </si>
  <si>
    <t>Nildeunhas</t>
  </si>
  <si>
    <t>+55 99 99174-2447</t>
  </si>
  <si>
    <t>+5599991742447</t>
  </si>
  <si>
    <t>Rua da lavandeira- n*70, Coroatá - MA, 65415-000, Brasil</t>
  </si>
  <si>
    <t>-4.3783943</t>
  </si>
  <si>
    <t>-44.3392961</t>
  </si>
  <si>
    <t>https://www.google.com/maps/search/?api=1&amp;query=Nildeunhas&amp;query_place_id=ChIJ0Tdxp9yhiwcRuNZTCN93gFg</t>
  </si>
  <si>
    <t>Nina manicure</t>
  </si>
  <si>
    <t>+55 99 99173-1814</t>
  </si>
  <si>
    <t>+5599991731814</t>
  </si>
  <si>
    <t>R. do Meio, 220, Peritoró - MA, 65418-000, Brasil</t>
  </si>
  <si>
    <t>-4.3738047</t>
  </si>
  <si>
    <t>-44.3403161</t>
  </si>
  <si>
    <t>https://www.google.com/maps/search/?api=1&amp;query=Nina%20manicure&amp;query_place_id=ChIJMQlf62jLiwcRwoG5RT9Fsvw</t>
  </si>
  <si>
    <t>Natacha Sobrancelhas</t>
  </si>
  <si>
    <t>+55 99 98227-8698</t>
  </si>
  <si>
    <t>+5599982278698</t>
  </si>
  <si>
    <t>Rua do Grupo - Independência, Peritoró - MA, 65418-000, Brasil</t>
  </si>
  <si>
    <t>-4.4585281</t>
  </si>
  <si>
    <t>-44.3813721</t>
  </si>
  <si>
    <t>https://www.google.com/maps/search/?api=1&amp;query=Natacha%20Sobrancelhas&amp;query_place_id=ChIJ16dV1JnNiwcRkTU6tYjovNo</t>
  </si>
  <si>
    <t>Studio Lourdes_mila</t>
  </si>
  <si>
    <t>loteamento cinco estrelas, Peritoró - MA, 65418-000, Brasil</t>
  </si>
  <si>
    <t>-4.3774454</t>
  </si>
  <si>
    <t>-44.3311525</t>
  </si>
  <si>
    <t>https://www.google.com/maps/search/?api=1&amp;query=Studio%20Lourdes_mila&amp;query_place_id=ChIJPU4IfK7LiwcRgcicVEdEBss</t>
  </si>
  <si>
    <t>Beautiful life</t>
  </si>
  <si>
    <t>+55 99 99230-9409</t>
  </si>
  <si>
    <t>+5599992309409</t>
  </si>
  <si>
    <t>R. da Linha - Centro, Peritoró - MA, 65418-000, Brasil</t>
  </si>
  <si>
    <t>-4.3738165</t>
  </si>
  <si>
    <t>-44.3412077</t>
  </si>
  <si>
    <t>https://www.google.com/maps/search/?api=1&amp;query=Beautiful%20life&amp;query_place_id=ChIJScBwzc7LiwcRj5OwRb5Qcc0</t>
  </si>
  <si>
    <t>Barbearia no grau</t>
  </si>
  <si>
    <t>+55 65 99957-7252</t>
  </si>
  <si>
    <t>+5565999577252</t>
  </si>
  <si>
    <t>Av. Brasil - Centro, Peritoró - MA, 65418-000, Brasil</t>
  </si>
  <si>
    <t>-4.3737878</t>
  </si>
  <si>
    <t>-44.3343235</t>
  </si>
  <si>
    <t>https://www.google.com/maps/search/?api=1&amp;query=Barbearia%20no%20grau&amp;query_place_id=ChIJY97NH3LLiwcReCwflOZH5Gg</t>
  </si>
  <si>
    <t>Barbearia Pai e Filho</t>
  </si>
  <si>
    <t>+55 99 99159-3910</t>
  </si>
  <si>
    <t>+5599991593910</t>
  </si>
  <si>
    <t>São João Das Neves, Peritoró - MA, 65418-000, Brasil</t>
  </si>
  <si>
    <t>-4.4050749</t>
  </si>
  <si>
    <t>-44.2627441</t>
  </si>
  <si>
    <t>https://www.google.com/maps/search/?api=1&amp;query=Barbearia%20Pai%20e%20Filho&amp;query_place_id=ChIJPe4ZsBzJiwcRpDuin6xtCOI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</si>
</sst>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search/?api=1&amp;query=Sal%C3%A3o%20da%20Sirlene&amp;query_place_id=ChIJj9xkFgDLiwcR1jsTIkTcPyM" TargetMode="External"/><Relationship Id="rId10" Type="http://schemas.openxmlformats.org/officeDocument/2006/relationships/hyperlink" Target="https://www.google.com/maps/search/?api=1&amp;query=RC%20Studio%20C%C3%ADlios%20%26%20Sobrancelhas&amp;query_place_id=ChIJ80jzGgDLiwcR4H1Po2OXDYw" TargetMode="External"/><Relationship Id="rId13" Type="http://schemas.openxmlformats.org/officeDocument/2006/relationships/hyperlink" Target="https://www.google.com/maps/search/?api=1&amp;query=Nina%20manicure&amp;query_place_id=ChIJMQlf62jLiwcRwoG5RT9Fsvw" TargetMode="External"/><Relationship Id="rId12" Type="http://schemas.openxmlformats.org/officeDocument/2006/relationships/hyperlink" Target="https://www.google.com/maps/search/?api=1&amp;query=Nildeunhas&amp;query_place_id=ChIJ0Tdxp9yhiwcRuNZTCN93gFg" TargetMode="External"/><Relationship Id="rId1" Type="http://schemas.openxmlformats.org/officeDocument/2006/relationships/hyperlink" Target="https://www.google.com/maps/search/?api=1&amp;query=Eug%C3%AAnia%20Santos%20STUDIO%20DE%20BELEZA&amp;query_place_id=ChIJkcHqmS_KiwcRtE2K_ihl7GU" TargetMode="External"/><Relationship Id="rId2" Type="http://schemas.openxmlformats.org/officeDocument/2006/relationships/hyperlink" Target="https://www.google.com/maps/search/?api=1&amp;query=Centro%20Et%C3%A9tico%20Carpus%20Belle&amp;query_place_id=ChIJi46XkC7KiwcRLwHzDP91nRE" TargetMode="External"/><Relationship Id="rId3" Type="http://schemas.openxmlformats.org/officeDocument/2006/relationships/hyperlink" Target="https://www.google.com/maps/search/?api=1&amp;query=Yara%20Studio%20de%20beleza&amp;query_place_id=ChIJ0zwvcBHLiwcR7GubBbVUrFo" TargetMode="External"/><Relationship Id="rId4" Type="http://schemas.openxmlformats.org/officeDocument/2006/relationships/hyperlink" Target="https://www.google.com/maps/search/?api=1&amp;query=Sal%C3%A3o%20Diana%20Bella&amp;query_place_id=ChIJc2yYKrHLiwcRmoRgCgM1vOs" TargetMode="External"/><Relationship Id="rId9" Type="http://schemas.openxmlformats.org/officeDocument/2006/relationships/hyperlink" Target="https://www.google.com/maps/search/?api=1&amp;query=Nails%20Branca%20Esmalteria&amp;query_place_id=ChIJQalnu9LLiwcR4osAIGFcROI" TargetMode="External"/><Relationship Id="rId15" Type="http://schemas.openxmlformats.org/officeDocument/2006/relationships/hyperlink" Target="https://www.google.com/maps/search/?api=1&amp;query=Studio%20Lourdes_mila&amp;query_place_id=ChIJPU4IfK7LiwcRgcicVEdEBss" TargetMode="External"/><Relationship Id="rId14" Type="http://schemas.openxmlformats.org/officeDocument/2006/relationships/hyperlink" Target="https://www.google.com/maps/search/?api=1&amp;query=Natacha%20Sobrancelhas&amp;query_place_id=ChIJ16dV1JnNiwcRkTU6tYjovNo" TargetMode="External"/><Relationship Id="rId17" Type="http://schemas.openxmlformats.org/officeDocument/2006/relationships/hyperlink" Target="https://www.google.com/maps/search/?api=1&amp;query=Barbearia%20no%20grau&amp;query_place_id=ChIJY97NH3LLiwcReCwflOZH5Gg" TargetMode="External"/><Relationship Id="rId16" Type="http://schemas.openxmlformats.org/officeDocument/2006/relationships/hyperlink" Target="https://www.google.com/maps/search/?api=1&amp;query=Beautiful%20life&amp;query_place_id=ChIJScBwzc7LiwcRj5OwRb5Qcc0" TargetMode="External"/><Relationship Id="rId5" Type="http://schemas.openxmlformats.org/officeDocument/2006/relationships/hyperlink" Target="https://www.google.com/maps/search/?api=1&amp;query=Alexandre%20Barbeiro&amp;query_place_id=ChIJNQ2spXnLiwcR_lbcop-80FE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google.com/maps/search/?api=1&amp;query=Maeli%20cabeleireira&amp;query_place_id=ChIJyWb5YwDLiwcRPVZPwvDoxiE" TargetMode="External"/><Relationship Id="rId18" Type="http://schemas.openxmlformats.org/officeDocument/2006/relationships/hyperlink" Target="https://www.google.com/maps/search/?api=1&amp;query=Barbearia%20Pai%20e%20Filho&amp;query_place_id=ChIJPe4ZsBzJiwcRpDuin6xtCOI" TargetMode="External"/><Relationship Id="rId7" Type="http://schemas.openxmlformats.org/officeDocument/2006/relationships/hyperlink" Target="https://www.google.com/maps/search/?api=1&amp;query=Cristina%20Cabeleireira&amp;query_place_id=ChIJSXRIHynKiwcROr877X2_YhM" TargetMode="External"/><Relationship Id="rId8" Type="http://schemas.openxmlformats.org/officeDocument/2006/relationships/hyperlink" Target="https://www.google.com/maps/search/?api=1&amp;query=Vivi%20Rodrigues%20Hair&amp;query_place_id=ChIJ1YcsWXzLiwcRScY40herE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 t="s">
        <v>14</v>
      </c>
      <c r="I2" s="3" t="str">
        <f>IFERROR(__xludf.DUMMYFUNCTION("IF(A3="""", """", IFS(REGEXMATCH(LOWER(A3), ""barbearia|barber""), ""Barbearia"", REGEXMATCH(LOWER(A3), ""sobrancelh|c[ií]lio|lash|micropigment|showbrancelhas""), ""Sobrancelhas e Cílios"", REGEXMATCH(LOWER(A3), ""maquia|make""), ""Maquiagem"", REGEXMATCH"&amp;"(LOWER(A3), ""depil|epil""), ""Depilação"", REGEXMATCH(LOWER(A3), ""esmalteria|unha|nail|manicur|spa dos p[eé]s|kauu_nhas""), ""Manicure - Esmalteria"", REGEXMATCH(LOWER(A3), ""est[eé]tic|bronze|massot|terap|pilates|revitalize|dra""), ""Clínica de Estétic"&amp;"a"", TRUE, ""Salão de Beleza""))"),"Salão de Beleza")</f>
        <v>Salão de Beleza</v>
      </c>
    </row>
    <row r="3">
      <c r="A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  <c r="H3" s="2" t="s">
        <v>18</v>
      </c>
      <c r="I3" s="3" t="str">
        <f>IFERROR(__xludf.DUMMYFUNCTION("IF(A4="""", """", IFS(REGEXMATCH(LOWER(A4), ""barbearia|barber""), ""Barbearia"", REGEXMATCH(LOWER(A4), ""sobrancelh|c[ií]lio|lash|micropigment|showbrancelhas""), ""Sobrancelhas e Cílios"", REGEXMATCH(LOWER(A4), ""maquia|make""), ""Maquiagem"", REGEXMATCH"&amp;"(LOWER(A4), ""depil|epil""), ""Depilação"", REGEXMATCH(LOWER(A4), ""esmalteria|unha|nail|manicur|spa dos p[eé]s|kauu_nhas""), ""Manicure - Esmalteria"", REGEXMATCH(LOWER(A4), ""est[eé]tic|bronze|massot|terap|pilates|revitalize|dra""), ""Clínica de Estétic"&amp;"a"", TRUE, ""Salão de Beleza""))"),"Salão de Beleza")</f>
        <v>Salão de Beleza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13</v>
      </c>
      <c r="H4" s="2" t="s">
        <v>25</v>
      </c>
      <c r="I4" s="3" t="str">
        <f>IFERROR(__xludf.DUMMYFUNCTION("IF(A5="""", """", IFS(REGEXMATCH(LOWER(A5), ""barbearia|barber""), ""Barbearia"", REGEXMATCH(LOWER(A5), ""sobrancelh|c[ií]lio|lash|micropigment|showbrancelhas""), ""Sobrancelhas e Cílios"", REGEXMATCH(LOWER(A5), ""maquia|make""), ""Maquiagem"", REGEXMATCH"&amp;"(LOWER(A5), ""depil|epil""), ""Depilação"", REGEXMATCH(LOWER(A5), ""esmalteria|unha|nail|manicur|spa dos p[eé]s|kauu_nhas""), ""Manicure - Esmalteria"", REGEXMATCH(LOWER(A5), ""est[eé]tic|bronze|massot|terap|pilates|revitalize|dra""), ""Clínica de Estétic"&amp;"a"", TRUE, ""Salão de Beleza""))"),"Salão de Beleza")</f>
        <v>Salão de Beleza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13</v>
      </c>
      <c r="H5" s="2" t="s">
        <v>32</v>
      </c>
      <c r="I5" s="3" t="str">
        <f>IFERROR(__xludf.DUMMYFUNCTION("IF(A6="""", """", IFS(REGEXMATCH(LOWER(A6), ""barbearia|barber""), ""Barbearia"", REGEXMATCH(LOWER(A6), ""sobrancelh|c[ií]lio|lash|micropigment|showbrancelhas""), ""Sobrancelhas e Cílios"", REGEXMATCH(LOWER(A6), ""maquia|make""), ""Maquiagem"", REGEXMATCH"&amp;"(LOWER(A6), ""depil|epil""), ""Depilação"", REGEXMATCH(LOWER(A6), ""esmalteria|unha|nail|manicur|spa dos p[eé]s|kauu_nhas""), ""Manicure - Esmalteria"", REGEXMATCH(LOWER(A6), ""est[eé]tic|bronze|massot|terap|pilates|revitalize|dra""), ""Clínica de Estétic"&amp;"a"", TRUE, ""Salão de Beleza""))"),"Salão de Beleza")</f>
        <v>Salão de Beleza</v>
      </c>
    </row>
    <row r="6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13</v>
      </c>
      <c r="H6" s="2" t="s">
        <v>39</v>
      </c>
      <c r="I6" s="1" t="s">
        <v>40</v>
      </c>
    </row>
    <row r="7">
      <c r="A7" s="1" t="s">
        <v>41</v>
      </c>
      <c r="D7" s="1" t="s">
        <v>10</v>
      </c>
      <c r="E7" s="1" t="s">
        <v>42</v>
      </c>
      <c r="F7" s="1" t="s">
        <v>43</v>
      </c>
      <c r="G7" s="1" t="s">
        <v>13</v>
      </c>
      <c r="H7" s="2" t="s">
        <v>44</v>
      </c>
      <c r="I7" s="3" t="str">
        <f>IFERROR(__xludf.DUMMYFUNCTION("IF(A8="""", """", IFS(REGEXMATCH(LOWER(A8), ""barbearia|barber""), ""Barbearia"", REGEXMATCH(LOWER(A8), ""sobrancelh|c[ií]lio|lash|micropigment|showbrancelhas""), ""Sobrancelhas e Cílios"", REGEXMATCH(LOWER(A8), ""maquia|make""), ""Maquiagem"", REGEXMATCH"&amp;"(LOWER(A8), ""depil|epil""), ""Depilação"", REGEXMATCH(LOWER(A8), ""esmalteria|unha|nail|manicur|spa dos p[eé]s|kauu_nhas""), ""Manicure - Esmalteria"", REGEXMATCH(LOWER(A8), ""est[eé]tic|bronze|massot|terap|pilates|revitalize|dra""), ""Clínica de Estétic"&amp;"a"", TRUE, ""Salão de Beleza""))"),"Salão de Beleza")</f>
        <v>Salão de Beleza</v>
      </c>
    </row>
    <row r="8">
      <c r="A8" s="1" t="s">
        <v>45</v>
      </c>
      <c r="D8" s="1" t="s">
        <v>46</v>
      </c>
      <c r="E8" s="1" t="s">
        <v>47</v>
      </c>
      <c r="F8" s="1" t="s">
        <v>48</v>
      </c>
      <c r="G8" s="1" t="s">
        <v>13</v>
      </c>
      <c r="H8" s="2" t="s">
        <v>49</v>
      </c>
      <c r="I8" s="3" t="str">
        <f>IFERROR(__xludf.DUMMYFUNCTION("IF(A9="""", """", IFS(REGEXMATCH(LOWER(A9), ""barbearia|barber""), ""Barbearia"", REGEXMATCH(LOWER(A9), ""sobrancelh|c[ií]lio|lash|micropigment|showbrancelhas""), ""Sobrancelhas e Cílios"", REGEXMATCH(LOWER(A9), ""maquia|make""), ""Maquiagem"", REGEXMATCH"&amp;"(LOWER(A9), ""depil|epil""), ""Depilação"", REGEXMATCH(LOWER(A9), ""esmalteria|unha|nail|manicur|spa dos p[eé]s|kauu_nhas""), ""Manicure - Esmalteria"", REGEXMATCH(LOWER(A9), ""est[eé]tic|bronze|massot|terap|pilates|revitalize|dra""), ""Clínica de Estétic"&amp;"a"", TRUE, ""Salão de Beleza""))"),"Salão de Beleza")</f>
        <v>Salão de Beleza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13</v>
      </c>
      <c r="H9" s="2" t="s">
        <v>56</v>
      </c>
      <c r="I9" s="1" t="s">
        <v>57</v>
      </c>
    </row>
    <row r="10">
      <c r="A10" s="1" t="s">
        <v>58</v>
      </c>
      <c r="D10" s="1" t="s">
        <v>59</v>
      </c>
      <c r="E10" s="1" t="s">
        <v>60</v>
      </c>
      <c r="F10" s="1" t="s">
        <v>61</v>
      </c>
      <c r="G10" s="1" t="s">
        <v>13</v>
      </c>
      <c r="H10" s="2" t="s">
        <v>62</v>
      </c>
      <c r="I10" s="1" t="s">
        <v>63</v>
      </c>
    </row>
    <row r="11">
      <c r="A11" s="1" t="s">
        <v>64</v>
      </c>
      <c r="D11" s="1" t="s">
        <v>65</v>
      </c>
      <c r="E11" s="1" t="s">
        <v>66</v>
      </c>
      <c r="F11" s="1" t="s">
        <v>67</v>
      </c>
      <c r="G11" s="1" t="s">
        <v>13</v>
      </c>
      <c r="H11" s="2" t="s">
        <v>68</v>
      </c>
      <c r="I11" s="1" t="s">
        <v>69</v>
      </c>
    </row>
    <row r="12">
      <c r="A12" s="1" t="s">
        <v>70</v>
      </c>
      <c r="B12" s="1" t="s">
        <v>71</v>
      </c>
      <c r="C12" s="1" t="s">
        <v>72</v>
      </c>
      <c r="D12" s="1" t="s">
        <v>73</v>
      </c>
      <c r="E12" s="1" t="s">
        <v>74</v>
      </c>
      <c r="F12" s="1" t="s">
        <v>75</v>
      </c>
      <c r="G12" s="1" t="s">
        <v>13</v>
      </c>
      <c r="H12" s="2" t="s">
        <v>76</v>
      </c>
      <c r="I12" s="1" t="s">
        <v>57</v>
      </c>
    </row>
    <row r="13">
      <c r="A13" s="1" t="s">
        <v>77</v>
      </c>
      <c r="B13" s="1" t="s">
        <v>78</v>
      </c>
      <c r="C13" s="1" t="s">
        <v>79</v>
      </c>
      <c r="D13" s="1" t="s">
        <v>80</v>
      </c>
      <c r="E13" s="1" t="s">
        <v>81</v>
      </c>
      <c r="F13" s="1" t="s">
        <v>82</v>
      </c>
      <c r="G13" s="1" t="s">
        <v>13</v>
      </c>
      <c r="H13" s="2" t="s">
        <v>83</v>
      </c>
      <c r="I13" s="3" t="str">
        <f>IFERROR(__xludf.DUMMYFUNCTION("IF(A14="""", """", IFS(REGEXMATCH(LOWER(A14), ""barbearia|barber""), ""Barbearia"", REGEXMATCH(LOWER(A14), ""sobrancelh|c[ií]lio|lash|micropigment|showbrancelhas""), ""Sobrancelhas e Cílios"", REGEXMATCH(LOWER(A14), ""maquia|make""), ""Maquiagem"", REGEXM"&amp;"ATCH(LOWER(A14), ""depil|epil""), ""Depilação"", REGEXMATCH(LOWER(A14), ""esmalteria|unha|nail|manicur|spa dos p[eé]s|kauu_nhas""), ""Manicure - Esmalteria"", REGEXMATCH(LOWER(A14), ""est[eé]tic|bronze|massot|terap|pilates|revitalize|dra""), ""Clínica de "&amp;"Estética"", TRUE, ""Salão de Beleza""))"),"Manicure - Esmalteria")</f>
        <v>Manicure - Esmalteria</v>
      </c>
    </row>
    <row r="14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13</v>
      </c>
      <c r="H14" s="2" t="s">
        <v>90</v>
      </c>
      <c r="I14" s="3" t="str">
        <f>IFERROR(__xludf.DUMMYFUNCTION("IF(A15="""", """", IFS(REGEXMATCH(LOWER(A15), ""barbearia|barber""), ""Barbearia"", REGEXMATCH(LOWER(A15), ""sobrancelh|c[ií]lio|lash|micropigment|showbrancelhas""), ""Sobrancelhas e Cílios"", REGEXMATCH(LOWER(A15), ""maquia|make""), ""Maquiagem"", REGEXM"&amp;"ATCH(LOWER(A15), ""depil|epil""), ""Depilação"", REGEXMATCH(LOWER(A15), ""esmalteria|unha|nail|manicur|spa dos p[eé]s|kauu_nhas""), ""Manicure - Esmalteria"", REGEXMATCH(LOWER(A15), ""est[eé]tic|bronze|massot|terap|pilates|revitalize|dra""), ""Clínica de "&amp;"Estética"", TRUE, ""Salão de Beleza""))"),"Sobrancelhas e Cílios")</f>
        <v>Sobrancelhas e Cílios</v>
      </c>
    </row>
    <row r="15">
      <c r="A15" s="1" t="s">
        <v>91</v>
      </c>
      <c r="B15" s="1" t="s">
        <v>92</v>
      </c>
      <c r="C15" s="1" t="s">
        <v>93</v>
      </c>
      <c r="D15" s="1" t="s">
        <v>94</v>
      </c>
      <c r="E15" s="1" t="s">
        <v>95</v>
      </c>
      <c r="F15" s="1" t="s">
        <v>96</v>
      </c>
      <c r="G15" s="1" t="s">
        <v>13</v>
      </c>
      <c r="H15" s="2" t="s">
        <v>97</v>
      </c>
      <c r="I15" s="1" t="s">
        <v>69</v>
      </c>
    </row>
    <row r="16">
      <c r="A16" s="1" t="s">
        <v>98</v>
      </c>
      <c r="D16" s="1" t="s">
        <v>99</v>
      </c>
      <c r="E16" s="1" t="s">
        <v>100</v>
      </c>
      <c r="F16" s="1" t="s">
        <v>101</v>
      </c>
      <c r="G16" s="1" t="s">
        <v>13</v>
      </c>
      <c r="H16" s="2" t="s">
        <v>102</v>
      </c>
      <c r="I16" s="3" t="str">
        <f>IFERROR(__xludf.DUMMYFUNCTION("IF(A17="""", """", IFS(REGEXMATCH(LOWER(A17), ""barbearia|barber""), ""Barbearia"", REGEXMATCH(LOWER(A17), ""sobrancelh|c[ií]lio|lash|micropigment|showbrancelhas""), ""Sobrancelhas e Cílios"", REGEXMATCH(LOWER(A17), ""maquia|make""), ""Maquiagem"", REGEXM"&amp;"ATCH(LOWER(A17), ""depil|epil""), ""Depilação"", REGEXMATCH(LOWER(A17), ""esmalteria|unha|nail|manicur|spa dos p[eé]s|kauu_nhas""), ""Manicure - Esmalteria"", REGEXMATCH(LOWER(A17), ""est[eé]tic|bronze|massot|terap|pilates|revitalize|dra""), ""Clínica de "&amp;"Estética"", TRUE, ""Salão de Beleza""))"),"Salão de Beleza")</f>
        <v>Salão de Beleza</v>
      </c>
    </row>
    <row r="17">
      <c r="A17" s="1" t="s">
        <v>103</v>
      </c>
      <c r="B17" s="1" t="s">
        <v>104</v>
      </c>
      <c r="C17" s="1" t="s">
        <v>105</v>
      </c>
      <c r="D17" s="1" t="s">
        <v>106</v>
      </c>
      <c r="E17" s="1" t="s">
        <v>107</v>
      </c>
      <c r="F17" s="1" t="s">
        <v>108</v>
      </c>
      <c r="G17" s="1" t="s">
        <v>13</v>
      </c>
      <c r="H17" s="2" t="s">
        <v>109</v>
      </c>
      <c r="I17" s="1" t="s">
        <v>57</v>
      </c>
    </row>
    <row r="18">
      <c r="A18" s="1" t="s">
        <v>110</v>
      </c>
      <c r="B18" s="1" t="s">
        <v>111</v>
      </c>
      <c r="C18" s="1" t="s">
        <v>112</v>
      </c>
      <c r="D18" s="1" t="s">
        <v>113</v>
      </c>
      <c r="E18" s="1" t="s">
        <v>114</v>
      </c>
      <c r="F18" s="1" t="s">
        <v>115</v>
      </c>
      <c r="G18" s="1" t="s">
        <v>13</v>
      </c>
      <c r="H18" s="2" t="s">
        <v>116</v>
      </c>
      <c r="I18" s="1" t="s">
        <v>40</v>
      </c>
    </row>
    <row r="19">
      <c r="A19" s="1" t="s">
        <v>117</v>
      </c>
      <c r="B19" s="1" t="s">
        <v>118</v>
      </c>
      <c r="C19" s="1" t="s">
        <v>119</v>
      </c>
      <c r="D19" s="1" t="s">
        <v>120</v>
      </c>
      <c r="E19" s="1" t="s">
        <v>121</v>
      </c>
      <c r="F19" s="1" t="s">
        <v>122</v>
      </c>
      <c r="G19" s="1" t="s">
        <v>13</v>
      </c>
      <c r="H19" s="2" t="s">
        <v>123</v>
      </c>
      <c r="I19" s="1" t="s">
        <v>40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</hyperlinks>
  <drawing r:id="rId19"/>
</worksheet>
</file>