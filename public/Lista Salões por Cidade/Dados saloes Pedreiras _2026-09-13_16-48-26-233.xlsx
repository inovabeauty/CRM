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saloes Pedreiras _2026-09" sheetId="1" r:id="rId5"/>
  </sheets>
  <definedNames/>
  <calcPr/>
</workbook>
</file>

<file path=xl/sharedStrings.xml><?xml version="1.0" encoding="utf-8"?>
<sst xmlns="http://schemas.openxmlformats.org/spreadsheetml/2006/main" count="658" uniqueCount="529">
  <si>
    <t>Nome</t>
  </si>
  <si>
    <t>phone</t>
  </si>
  <si>
    <t>WhatsApp</t>
  </si>
  <si>
    <t>Endereço</t>
  </si>
  <si>
    <t>Latitude</t>
  </si>
  <si>
    <t>Longitude</t>
  </si>
  <si>
    <t>Cidade</t>
  </si>
  <si>
    <t>url</t>
  </si>
  <si>
    <t>Categoria</t>
  </si>
  <si>
    <t>Espaço Dany Cardoso D' Blessed</t>
  </si>
  <si>
    <t>+55 99 98468-6411</t>
  </si>
  <si>
    <t>+5599984686411</t>
  </si>
  <si>
    <t>R. das Laranjeiras, Pedreiras - MA, 65725-000, Brasil</t>
  </si>
  <si>
    <t>-4.5757363</t>
  </si>
  <si>
    <t>-44.6044021</t>
  </si>
  <si>
    <t>Pedreiras - MA</t>
  </si>
  <si>
    <t>https://www.google.com/maps/search/?api=1&amp;query=Espa%C3%A7o%20Dany%20Cardoso%20D'%20Blessed&amp;query_place_id=ChIJlf6bLdyJiQcRJ9PcZDC8wHI</t>
  </si>
  <si>
    <t>Morais Studio</t>
  </si>
  <si>
    <t>R. Crecêncio Raposo, 193, Pedreiras - MA, 65725-000, Brasil</t>
  </si>
  <si>
    <t>-4.5683087</t>
  </si>
  <si>
    <t>-44.6035152</t>
  </si>
  <si>
    <t>https://www.google.com/maps/search/?api=1&amp;query=Morais%20Studio&amp;query_place_id=ChIJaxtqOmEnigcRaUrvp6HTgsc</t>
  </si>
  <si>
    <t>Salão Fios Dourados</t>
  </si>
  <si>
    <t>+55 99 98152-9621</t>
  </si>
  <si>
    <t>+5599981529621</t>
  </si>
  <si>
    <t>Salão fios dourados, R. Manoel Trindade - Centro, Pedreiras - MA, 65725-000, Brasil</t>
  </si>
  <si>
    <t>-4.5720551</t>
  </si>
  <si>
    <t>-44.6047842</t>
  </si>
  <si>
    <t>https://www.google.com/maps/search/?api=1&amp;query=Sal%C3%A3o%20Fios%20Dourados&amp;query_place_id=ChIJ0RAFdbGJiQcRsJUCd2RPovo</t>
  </si>
  <si>
    <t>DIVAS CABELOS</t>
  </si>
  <si>
    <t>+55 99 98468-6489</t>
  </si>
  <si>
    <t>+5599984686489</t>
  </si>
  <si>
    <t>R. Onze, 581, Pedreiras - MA, 65725-000, Brasil</t>
  </si>
  <si>
    <t>-4.5711648</t>
  </si>
  <si>
    <t>-44.5888137</t>
  </si>
  <si>
    <t>https://www.google.com/maps/search/?api=1&amp;query=DIVAS%20CABELOS&amp;query_place_id=ChIJWcANmX8nigcRLw1Iicv87ro</t>
  </si>
  <si>
    <t>Espaço Sílvio Oliveira</t>
  </si>
  <si>
    <t>+55 99 98122-0844</t>
  </si>
  <si>
    <t>+5599981220844</t>
  </si>
  <si>
    <t>R. Cantanhede, 197, Pedreiras - MA, 65725-000, Brasil</t>
  </si>
  <si>
    <t>-4.5699727</t>
  </si>
  <si>
    <t>-44.6010455</t>
  </si>
  <si>
    <t>https://www.google.com/maps/search/?api=1&amp;query=Espa%C3%A7o%20S%C3%ADlvio%20Oliveira&amp;query_place_id=ChIJmfZHurMnigcRNEDQJCSEbjA</t>
  </si>
  <si>
    <t>Nenza Beauty</t>
  </si>
  <si>
    <t>R. Maneco Rêgo, Pedreiras - MA, 65725-000, Brasil</t>
  </si>
  <si>
    <t>-4.5696319</t>
  </si>
  <si>
    <t>-44.6001037</t>
  </si>
  <si>
    <t>https://www.google.com/maps/search/?api=1&amp;query=Nenza%20Beauty&amp;query_place_id=ChIJt1HjrmMnigcRK9kaE8-hZ8s</t>
  </si>
  <si>
    <t>Salão Nina Fashion</t>
  </si>
  <si>
    <t>R. da Prainha, 238, Pedreiras - MA, 65725-000, Brasil</t>
  </si>
  <si>
    <t>-4.5712913</t>
  </si>
  <si>
    <t>-44.5972982</t>
  </si>
  <si>
    <t>https://www.google.com/maps/search/?api=1&amp;query=Sal%C3%A3o%20Nina%20Fashion&amp;query_place_id=ChIJT827tGInigcRJ2JIuCizCDg</t>
  </si>
  <si>
    <t>Salão de Beleza</t>
  </si>
  <si>
    <t>Studio Carine Designer de Sobrancelhas e Depilaçao</t>
  </si>
  <si>
    <t>+55 99 98218-1299</t>
  </si>
  <si>
    <t>+5599982181299</t>
  </si>
  <si>
    <t>Rua Santo Antônio, 257 Pedreiras (Centro - Alto são José, Pedreiras - MA, 65725-000, Brasil</t>
  </si>
  <si>
    <t>-4.57329</t>
  </si>
  <si>
    <t>-44.6035477</t>
  </si>
  <si>
    <t>https://www.google.com/maps/search/?api=1&amp;query=Studio%20Carine%20Designer%20de%20Sobrancelhas%20e%20Depila%C3%A7ao&amp;query_place_id=ChIJn_FwHN-JiQcR3DG3-NWimyc</t>
  </si>
  <si>
    <t>Sobrancelhas e Cílios</t>
  </si>
  <si>
    <t>Studio Patricía Lima</t>
  </si>
  <si>
    <t>+55 99 98197-6024</t>
  </si>
  <si>
    <t>+5599981976024</t>
  </si>
  <si>
    <t>R. da Independência - Centro, Pedreiras - MA, 65725-000, Brasil</t>
  </si>
  <si>
    <t>-4.5691711</t>
  </si>
  <si>
    <t>-44.6044998</t>
  </si>
  <si>
    <t>https://www.google.com/maps/search/?api=1&amp;query=Studio%20Patric%C3%ADa%20Lima&amp;query_place_id=ChIJl3XhimonigcRkfIVM3Zay2A</t>
  </si>
  <si>
    <t>Studio Maria Linda</t>
  </si>
  <si>
    <t>+55 63 99278-0963</t>
  </si>
  <si>
    <t>+5563992780963</t>
  </si>
  <si>
    <t>-4.5690893</t>
  </si>
  <si>
    <t>-44.6047826</t>
  </si>
  <si>
    <t>https://www.google.com/maps/search/?api=1&amp;query=Studio%20Maria%20Linda&amp;query_place_id=ChIJN80p32cnigcR4LsmernZnUs</t>
  </si>
  <si>
    <t>Cléo Pereira Studio De Beleza Unissex</t>
  </si>
  <si>
    <t>Pedreiras - MA, 65725-000, Brasil</t>
  </si>
  <si>
    <t>-4.5760248</t>
  </si>
  <si>
    <t>-44.5947448</t>
  </si>
  <si>
    <t>https://www.google.com/maps/search/?api=1&amp;query=Cl%C3%A9o%20Pereira%20Studio%20De%20Beleza%20Unissex&amp;query_place_id=ChIJ21bg1NaJiQcRQXE5whYWINA</t>
  </si>
  <si>
    <t>Studio Lizandra Oliveira</t>
  </si>
  <si>
    <t>+55 99 98260-6923</t>
  </si>
  <si>
    <t>+5599982606923</t>
  </si>
  <si>
    <t>R. Euríco Ribeiro, 634 - Centro - Centro, Pedreiras - MA, 65725-000, Brasil</t>
  </si>
  <si>
    <t>-4.5710392</t>
  </si>
  <si>
    <t>-44.5997806</t>
  </si>
  <si>
    <t>https://www.google.com/maps/search/?api=1&amp;query=Studio%20Lizandra%20Oliveira&amp;query_place_id=ChIJ5XuJQ_4nigcRwi6py4_8FDw</t>
  </si>
  <si>
    <t>Studio Glamour</t>
  </si>
  <si>
    <t>+55 99 98181-4389</t>
  </si>
  <si>
    <t>+5599981814389</t>
  </si>
  <si>
    <t>R. Frederico Bulhões, 2198 - Goiabal, Pedreiras - MA, 65725-000, Brasil</t>
  </si>
  <si>
    <t>-4.5750295</t>
  </si>
  <si>
    <t>-44.5987873</t>
  </si>
  <si>
    <t>https://www.google.com/maps/search/?api=1&amp;query=Studio%20Glamour&amp;query_place_id=ChIJmVIwltmJiQcRq0d6B-hs9Rk</t>
  </si>
  <si>
    <t>Stúdio Belo Espaço Patricia Macedo</t>
  </si>
  <si>
    <t>-4.572439</t>
  </si>
  <si>
    <t>-44.6000157</t>
  </si>
  <si>
    <t>https://www.google.com/maps/search/?api=1&amp;query=St%C3%BAdio%20Belo%20Espa%C3%A7o%20Patricia%20Macedo&amp;query_place_id=ChIJP-luTmInigcRigkddvr9ZYA</t>
  </si>
  <si>
    <t>Gardenia Cabelos</t>
  </si>
  <si>
    <t>+55 99 98125-3171</t>
  </si>
  <si>
    <t>+5599981253171</t>
  </si>
  <si>
    <t>R. Raimundo Araújo, 225 - Centro, Pedreiras - MA, 65725-000, Brasil</t>
  </si>
  <si>
    <t>-4.5744102</t>
  </si>
  <si>
    <t>-44.6004723</t>
  </si>
  <si>
    <t>https://www.google.com/maps/search/?api=1&amp;query=Gardenia%20Cabelos&amp;query_place_id=ChIJz_2wEk6JiQcR-sHI5PQ8DkY</t>
  </si>
  <si>
    <t>Claudia Esmalteria e Salão</t>
  </si>
  <si>
    <t>+55 99 98853-2551</t>
  </si>
  <si>
    <t>+5599988532551</t>
  </si>
  <si>
    <t>R. Maneco Rêgo - Centro, Pedreiras - MA, 65725-000, Brasil</t>
  </si>
  <si>
    <t>-4.570461</t>
  </si>
  <si>
    <t>-44.6005013</t>
  </si>
  <si>
    <t>https://www.google.com/maps/search/?api=1&amp;query=Claudia%20Esmalteria%20e%20Sal%C3%A3o&amp;query_place_id=ChIJXfNrJ9EnigcR6Ui5G5HhijQ</t>
  </si>
  <si>
    <t>Salão de Beleza e Manicure</t>
  </si>
  <si>
    <t>Salão D'clea e Deyse Maciel Estética e Micropigmentação</t>
  </si>
  <si>
    <t>+55 98 98200-7819</t>
  </si>
  <si>
    <t>+5598982007819</t>
  </si>
  <si>
    <t>Tv. Crescêncio Raposo, 486 - Centro, Pedreiras - MA, 65725-000, Brasil</t>
  </si>
  <si>
    <t>-4.5690519</t>
  </si>
  <si>
    <t>-44.6009722</t>
  </si>
  <si>
    <t>https://www.google.com/maps/search/?api=1&amp;query=Sal%C3%A3o%20D'clea%20e%20Deyse%20Maciel%20Est%C3%A9tica%20e%20Micropigmenta%C3%A7%C3%A3o&amp;query_place_id=ChIJc4ixoeAnigcRK4DFlkPpX4E</t>
  </si>
  <si>
    <t>Majestic Studio | Maquiagem | Unhas</t>
  </si>
  <si>
    <t>+55 99 98261-9662</t>
  </si>
  <si>
    <t>+5599982619662</t>
  </si>
  <si>
    <t>R. Maneco Rêgo, 194A - Centro, Pedreiras - MA, 65725-000, Brasil</t>
  </si>
  <si>
    <t>-4.5704258</t>
  </si>
  <si>
    <t>-44.6002577</t>
  </si>
  <si>
    <t>https://www.google.com/maps/search/?api=1&amp;query=Majestic%20Studio%20%7C%20Maquiagem%20%7C%20Unhas&amp;query_place_id=ChIJa3JfxlInigcR25wzW-c2HLE</t>
  </si>
  <si>
    <t>Maquiagem e Manicure</t>
  </si>
  <si>
    <t>Salão mulheres VIP</t>
  </si>
  <si>
    <t>+55 99 99104-2763</t>
  </si>
  <si>
    <t>+5599991042763</t>
  </si>
  <si>
    <t>Na - R. Jeremias Caldeiras - Centro, Pedreiras - MA, 65725-000, Brasil</t>
  </si>
  <si>
    <t>-4.5695553</t>
  </si>
  <si>
    <t>-44.5991439</t>
  </si>
  <si>
    <t>https://www.google.com/maps/search/?api=1&amp;query=Sal%C3%A3o%20mulheres%20VIP&amp;query_place_id=ChIJ_Zi9ApUnigcR4F2VAzR_WdQ</t>
  </si>
  <si>
    <t>Studio Natallya Oliveira- Sobrancelhas e epilação</t>
  </si>
  <si>
    <t>+55 99 98260-5606</t>
  </si>
  <si>
    <t>+5599982605606</t>
  </si>
  <si>
    <t>Ao lado do império da carne, mesma rua do Supermercado saturnino - R. Jeremias Caldeiras, 301 - Centro, Pedreiras - MA, 65725-000, Brasil</t>
  </si>
  <si>
    <t>-4.5684217</t>
  </si>
  <si>
    <t>-44.5987734</t>
  </si>
  <si>
    <t>https://www.google.com/maps/search/?api=1&amp;query=Studio%20Natallya%20Oliveira-%20Sobrancelhas%20e%20epila%C3%A7%C3%A3o&amp;query_place_id=ChIJ6bqYrq2JiQcRwBKct7a3X_k</t>
  </si>
  <si>
    <t>☆Entrelace _Key_Amorim☆</t>
  </si>
  <si>
    <t>R. Santa Rosa, 95 - NOVO SERINGAL, Pedreiras - MA, 65725-000, Brasil</t>
  </si>
  <si>
    <t>-4.5635337</t>
  </si>
  <si>
    <t>-44.596685</t>
  </si>
  <si>
    <t>https://www.google.com/maps/search/?api=1&amp;query=%E2%98%86Entrelace%20_Key_Amorim%E2%98%86&amp;query_place_id=ChIJ8wKtCmInigcROJtuw8YIS4c</t>
  </si>
  <si>
    <t>Eliane cabelos</t>
  </si>
  <si>
    <t>+55 99 98423-0981</t>
  </si>
  <si>
    <t>+5599984230981</t>
  </si>
  <si>
    <t>R. Tancredo Neves, 92, Pedreiras - MA, 65725-000, Brasil</t>
  </si>
  <si>
    <t>-4.5640245</t>
  </si>
  <si>
    <t>-44.5953087</t>
  </si>
  <si>
    <t>https://www.google.com/maps/search/?api=1&amp;query=Eliane%20cabelos&amp;query_place_id=ChIJy8pa6xAnigcRzX0J5M54yDU</t>
  </si>
  <si>
    <t>Espaço de beleza Gleyce Alves</t>
  </si>
  <si>
    <t>+55 99 98456-6391</t>
  </si>
  <si>
    <t>+5599984566391</t>
  </si>
  <si>
    <t>Rua José Ribeiro Mutirão - Mutirão, Pedreiras - MA, 65725-000, Brasil</t>
  </si>
  <si>
    <t>-4.5704403</t>
  </si>
  <si>
    <t>-44.5899167</t>
  </si>
  <si>
    <t>https://www.google.com/maps/search/?api=1&amp;query=Espa%C3%A7o%20de%20beleza%20Gleyce%20Alves&amp;query_place_id=ChIJix1u3F8nigcRV4z4Kyg4f9k</t>
  </si>
  <si>
    <t>Fernando CABELOS</t>
  </si>
  <si>
    <t>-4.5793248</t>
  </si>
  <si>
    <t>-44.608247</t>
  </si>
  <si>
    <t>https://www.google.com/maps/search/?api=1&amp;query=Fernando%20CABELOS&amp;query_place_id=ChIJac0pbuiJiQcRL1GcExW7kwg</t>
  </si>
  <si>
    <t>Nazim Cabelos e Afiações</t>
  </si>
  <si>
    <t>+55 99 98481-7791</t>
  </si>
  <si>
    <t>+5599984817791</t>
  </si>
  <si>
    <t>Tv. José de Freitas, 850-952, Pedreiras - MA, 65725-000, Brasil</t>
  </si>
  <si>
    <t>-4.5767677</t>
  </si>
  <si>
    <t>-44.5922038</t>
  </si>
  <si>
    <t>https://www.google.com/maps/search/?api=1&amp;query=Nazim%20Cabelos%20e%20Afia%C3%A7%C3%B5es&amp;query_place_id=ChIJnVZv-9OJiQcRaP1-0Tv6GAA</t>
  </si>
  <si>
    <t>Torres Cabeleleiro Unisex</t>
  </si>
  <si>
    <t>+55 99 98133-2296</t>
  </si>
  <si>
    <t>+5599981332296</t>
  </si>
  <si>
    <t>R. Getúlio Vargas, 245, Pedreiras - MA, 65725-000, Brasil</t>
  </si>
  <si>
    <t>-4.5763096</t>
  </si>
  <si>
    <t>-44.6019438</t>
  </si>
  <si>
    <t>https://www.google.com/maps/search/?api=1&amp;query=Torres%20Cabeleleiro%20Unisex&amp;query_place_id=ChIJe4ATCtyJiQcRMYzkjiax2BA</t>
  </si>
  <si>
    <t>André Barber - Barbeiro</t>
  </si>
  <si>
    <t>+55 99 98548-8813</t>
  </si>
  <si>
    <t>+5599985488813</t>
  </si>
  <si>
    <t>R. Euríco Ribeiro, 679 - Centro, Pedreiras - MA, 65725-000, Brasil</t>
  </si>
  <si>
    <t>-4.5710485</t>
  </si>
  <si>
    <t>-44.5994314</t>
  </si>
  <si>
    <t>https://www.google.com/maps/search/?api=1&amp;query=Andr%C3%A9%20Barber%20-%20Barbeiro&amp;query_place_id=ChIJIXu4AEUnigcRPxKhPdoXS_A</t>
  </si>
  <si>
    <t>Barbearia</t>
  </si>
  <si>
    <t>Thalita make</t>
  </si>
  <si>
    <t>+55 99 98173-3857</t>
  </si>
  <si>
    <t>+5599981733857</t>
  </si>
  <si>
    <t>R. Anquises Gonçalves, N° 577, Pedreiras - MA, 65725-000, Brasil</t>
  </si>
  <si>
    <t>-4.5712885</t>
  </si>
  <si>
    <t>-44.6008699</t>
  </si>
  <si>
    <t>https://www.google.com/maps/search/?api=1&amp;query=Thalita%20make&amp;query_place_id=ChIJxSFH-1uJiQcRzvVZCIEm4Cg</t>
  </si>
  <si>
    <t>Maquiagem</t>
  </si>
  <si>
    <t>Kamille Coutinho Beauty</t>
  </si>
  <si>
    <t>+55 99 98127-7307</t>
  </si>
  <si>
    <t>+5599981277307</t>
  </si>
  <si>
    <t>R. Primeiro de Maio - Alto São José, Pedreiras - MA, 65725-000, Brasil</t>
  </si>
  <si>
    <t>-4.5738127</t>
  </si>
  <si>
    <t>-44.603174</t>
  </si>
  <si>
    <t>https://www.google.com/maps/search/?api=1&amp;query=Kamille%20Coutinho%20Beauty&amp;query_place_id=ChIJR9WRK2WJiQcRoc-DGJuPYdg</t>
  </si>
  <si>
    <t>Nath makeup</t>
  </si>
  <si>
    <t>+55 96 98421-6727</t>
  </si>
  <si>
    <t>+5596984216727</t>
  </si>
  <si>
    <t>Lino feitosa - Vila das palmeiras, Pedreiras - MA, 65725-000, Brasil</t>
  </si>
  <si>
    <t>-4.5773809</t>
  </si>
  <si>
    <t>-44.5852107</t>
  </si>
  <si>
    <t>https://www.google.com/maps/search/?api=1&amp;query=Nath%20makeup&amp;query_place_id=ChIJl64xbEaJiQcRrrW9mVE0MaE</t>
  </si>
  <si>
    <t>Alexia Santos Makeup</t>
  </si>
  <si>
    <t>+55 99 99214-8016</t>
  </si>
  <si>
    <t>+5599992148016</t>
  </si>
  <si>
    <t>Av. Zeca Branco - Engenho, Pedreiras - MA, 65725-000, Brasil</t>
  </si>
  <si>
    <t>-4.5814648</t>
  </si>
  <si>
    <t>-44.5880661</t>
  </si>
  <si>
    <t>https://www.google.com/maps/search/?api=1&amp;query=Alexia%20Santos%20Makeup&amp;query_place_id=ChIJPVV1x76JiQcRMsPOO_d9NN4</t>
  </si>
  <si>
    <t>Salão Ateliê da Beleza</t>
  </si>
  <si>
    <t>R. Messías Filho, 87, Pedreiras - MA, 65725-000, Brasil</t>
  </si>
  <si>
    <t>-4.582751</t>
  </si>
  <si>
    <t>-44.5887312</t>
  </si>
  <si>
    <t>https://www.google.com/maps/search/?api=1&amp;query=Sal%C3%A3o%20Ateli%C3%AA%20da%20Beleza&amp;query_place_id=ChIJW0C73gKJiQcR8Zf4JujJyKU</t>
  </si>
  <si>
    <t>ESPAÇO Glaucia Sampaio</t>
  </si>
  <si>
    <t>-4.5860168</t>
  </si>
  <si>
    <t>-44.6111119</t>
  </si>
  <si>
    <t>https://www.google.com/maps/search/?api=1&amp;query=ESPA%C3%87O%20Glaucia%20Sampaio&amp;query_place_id=ChIJ9QkdVOuJiQcRqmswIfsdNpc</t>
  </si>
  <si>
    <t>Junior Cabelos</t>
  </si>
  <si>
    <t>+55 98 98422-8552</t>
  </si>
  <si>
    <t>+5598984228552</t>
  </si>
  <si>
    <t>Alto de Areia Rua do olho d'água - Marianópolis, Pedreiras - MA, 65725-000, Brasil</t>
  </si>
  <si>
    <t>-4.7925814</t>
  </si>
  <si>
    <t>-44.5930656</t>
  </si>
  <si>
    <t>https://www.google.com/maps/search/?api=1&amp;query=Junior%20Cabelos&amp;query_place_id=ChIJ63iuU0KXiQcRs_TelkdrFs4</t>
  </si>
  <si>
    <t>Alves Cabeleireiro</t>
  </si>
  <si>
    <t>R. Raimundo Anselmo, Pedreiras - MA, 65725-000, Brasil</t>
  </si>
  <si>
    <t>-4.584672</t>
  </si>
  <si>
    <t>-44.5886418</t>
  </si>
  <si>
    <t>https://www.google.com/maps/search/?api=1&amp;query=Alves%20Cabeleireiro&amp;query_place_id=ChIJCWBcW8uJiQcRTxTbBAt-FvY</t>
  </si>
  <si>
    <t>Irmãs beauty studio</t>
  </si>
  <si>
    <t>Rua nova Povoado pacas - Zona rural, Pedreiras - MA, 65725-000, Brasil</t>
  </si>
  <si>
    <t>-4.8143344</t>
  </si>
  <si>
    <t>-44.6194931</t>
  </si>
  <si>
    <t>https://www.google.com/maps/search/?api=1&amp;query=Irm%C3%A3s%20beauty%20studio&amp;query_place_id=ChIJT0vQr_uRiQcR-Su3P6enTK0</t>
  </si>
  <si>
    <t>Gisele Lima Estética Feminina</t>
  </si>
  <si>
    <t>+55 99 98418-3784</t>
  </si>
  <si>
    <t>+5599984183784</t>
  </si>
  <si>
    <t>Av. Zeca Branco - mutirão, Pedreiras - MA, 65725-000, Brasil</t>
  </si>
  <si>
    <t>-4.5749145</t>
  </si>
  <si>
    <t>-44.5926051</t>
  </si>
  <si>
    <t>https://www.google.com/maps/search/?api=1&amp;query=Gisele%20Lima%20Est%C3%A9tica%20Feminina&amp;query_place_id=ChIJwZExiO2JiQcRfUdmxBZzmF0</t>
  </si>
  <si>
    <t>Espaço Da Beleza Moça Bonita Jc</t>
  </si>
  <si>
    <t>Tv. Crescêncio Raposo, Pedreiras - MA, 65725-000, Brasil</t>
  </si>
  <si>
    <t>-4.5687703</t>
  </si>
  <si>
    <t>-44.6037423</t>
  </si>
  <si>
    <t>https://www.google.com/maps/search/?api=1&amp;query=Espa%C3%A7o%20Da%20Beleza%20Mo%C3%A7a%20Bonita%20Jc&amp;query_place_id=ChIJ0RsuGGEnigcRMzKuBUXOBiQ</t>
  </si>
  <si>
    <t>Thita Cabelos</t>
  </si>
  <si>
    <t>R. da Ponte, 125, Pedreiras - MA, 65725-000, Brasil</t>
  </si>
  <si>
    <t>-4.5695631</t>
  </si>
  <si>
    <t>-44.6052869</t>
  </si>
  <si>
    <t>https://www.google.com/maps/search/?api=1&amp;query=Thita%20Cabelos&amp;query_place_id=ChIJXcaK9WAnigcRHSIhpoVwpzM</t>
  </si>
  <si>
    <t>Belíssima Hair</t>
  </si>
  <si>
    <t>-4.5755724</t>
  </si>
  <si>
    <t>-44.6054713</t>
  </si>
  <si>
    <t>https://www.google.com/maps/search/?api=1&amp;query=Bel%C3%ADssima%20Hair&amp;query_place_id=ChIJg_GI3d2JiQcRngBMtomT-2o</t>
  </si>
  <si>
    <t>Ana Pereira studio</t>
  </si>
  <si>
    <t>+55 99 98102-9377</t>
  </si>
  <si>
    <t>+5599981029377</t>
  </si>
  <si>
    <t>R. Carvalho Branco, Pedreiras - MA, 65725-000, Brasil</t>
  </si>
  <si>
    <t>-4.5817867</t>
  </si>
  <si>
    <t>-44.610966</t>
  </si>
  <si>
    <t>https://www.google.com/maps/search/?api=1&amp;query=Ana%20Pereira%20studio&amp;query_place_id=ChIJez6ASACJiQcRfqidcpQDsBE</t>
  </si>
  <si>
    <t>Andrea Gomes Studio De Beleza</t>
  </si>
  <si>
    <t>R. Um, 537, Pedreiras - MA, 65725-000, Brasil</t>
  </si>
  <si>
    <t>-4.5741217</t>
  </si>
  <si>
    <t>-44.5937896</t>
  </si>
  <si>
    <t>https://www.google.com/maps/search/?api=1&amp;query=Andrea%20Gomes%20Studio%20De%20Beleza&amp;query_place_id=ChIJp14wXtaJiQcRBbSi7Zsd67o</t>
  </si>
  <si>
    <t>Stúdio Glam Beauty</t>
  </si>
  <si>
    <t>Tv. José Eusébio, Pedreiras - MA, 65725-000, Brasil</t>
  </si>
  <si>
    <t>-4.5684764</t>
  </si>
  <si>
    <t>-44.6037143</t>
  </si>
  <si>
    <t>https://www.google.com/maps/search/?api=1&amp;query=St%C3%BAdio%20Glam%20Beauty&amp;query_place_id=ChIJW9SgPGEnigcRuyLCW9iFSUo</t>
  </si>
  <si>
    <t>Marleza Beauty</t>
  </si>
  <si>
    <t>+55 99 98502-4722</t>
  </si>
  <si>
    <t>+5599985024722</t>
  </si>
  <si>
    <t>R. Carvalho Branco, 1139 - Diogo, Pedreiras - MA, 65725-000, Brasil</t>
  </si>
  <si>
    <t>-4.582001</t>
  </si>
  <si>
    <t>-44.6103087</t>
  </si>
  <si>
    <t>https://www.google.com/maps/search/?api=1&amp;query=Marleza%20Beauty&amp;query_place_id=ChIJibR7LWWJiQcRQqYZ8FADM6o</t>
  </si>
  <si>
    <t>Dyevilla Beauty | Espaço</t>
  </si>
  <si>
    <t>+55 99 98413-7903</t>
  </si>
  <si>
    <t>+5599984137903</t>
  </si>
  <si>
    <t>R. da Corrente - Diogo, Pedreiras - MA, 65725-000, Brasil</t>
  </si>
  <si>
    <t>-4.5820286</t>
  </si>
  <si>
    <t>-44.6082521</t>
  </si>
  <si>
    <t>https://www.google.com/maps/search/?api=1&amp;query=Dyevilla%20Beauty%20%7C%20Espa%C3%A7o&amp;query_place_id=ChIJaxlysjiJiQcR20eyJCoT5H4</t>
  </si>
  <si>
    <t>VILANI BRANDÃO STUDIO DE BELEZA</t>
  </si>
  <si>
    <t>R. Miguel Atta, 180, Pedreiras - MA, 65725-000, Brasil</t>
  </si>
  <si>
    <t>-4.571016</t>
  </si>
  <si>
    <t>-44.5990328</t>
  </si>
  <si>
    <t>https://www.google.com/maps/search/?api=1&amp;query=VILANI%20BRAND%C3%83O%20STUDIO%20DE%20BELEZA&amp;query_place_id=ChIJ_f1ZjWInigcRzxQL0wK_BwY</t>
  </si>
  <si>
    <t>Alyne Suzelly ESMALTERIA</t>
  </si>
  <si>
    <t>R. Santa Amália, Pedreiras - MA, 65725-000, Brasil</t>
  </si>
  <si>
    <t>-4.5786586</t>
  </si>
  <si>
    <t>-44.5885913</t>
  </si>
  <si>
    <t>https://www.google.com/maps/search/?api=1&amp;query=Alyne%20Suzelly%20ESMALTERIA&amp;query_place_id=ChIJpabo29KJiQcRjy3Cd5n59jA</t>
  </si>
  <si>
    <t>Manicure - Esmalteria</t>
  </si>
  <si>
    <t>Studio Eline Brito</t>
  </si>
  <si>
    <t>-4.577763</t>
  </si>
  <si>
    <t>-44.5992725</t>
  </si>
  <si>
    <t>https://www.google.com/maps/search/?api=1&amp;query=Studio%20Eline%20Brito&amp;query_place_id=ChIJdf4n-dqJiQcRItXiUaD6cWo</t>
  </si>
  <si>
    <t>Studio Az Irmãs - Aline Coutinho Makeup e Sobrancelhas</t>
  </si>
  <si>
    <t>+55 99 98466-8689</t>
  </si>
  <si>
    <t>+5599984668689</t>
  </si>
  <si>
    <t>Tv. Crescêncio Raposo - Centro, Pedreiras - MA, 65725-000, Brasil</t>
  </si>
  <si>
    <t>-4.569278</t>
  </si>
  <si>
    <t>-44.6006199</t>
  </si>
  <si>
    <t>https://www.google.com/maps/search/?api=1&amp;query=Studio%20Az%20Irm%C3%A3s%20-%20Aline%20Coutinho%20Makeup%20e%20Sobrancelhas&amp;query_place_id=ChIJ2dG-0CsnigcRI_biHv_1Svs</t>
  </si>
  <si>
    <t>Studio Emilly nails</t>
  </si>
  <si>
    <t>+55 99 98543-4860</t>
  </si>
  <si>
    <t>+5599985434860</t>
  </si>
  <si>
    <t>R. Duque de Caxias, Pedreiras - MA, 65725-000, Brasil</t>
  </si>
  <si>
    <t>-4.5678485</t>
  </si>
  <si>
    <t>-44.599513</t>
  </si>
  <si>
    <t>https://www.google.com/maps/search/?api=1&amp;query=Studio%20Emilly%20nails&amp;query_place_id=ChIJkYH3EwAnigcRD0ow9DCpWzc</t>
  </si>
  <si>
    <t>Beleza Fashion</t>
  </si>
  <si>
    <t>-4.5759131</t>
  </si>
  <si>
    <t>-44.6048517</t>
  </si>
  <si>
    <t>https://www.google.com/maps/search/?api=1&amp;query=Beleza%20Fashion&amp;query_place_id=ChIJeelwz92JiQcR2geWAfPHeJ0</t>
  </si>
  <si>
    <t>Studio Michelle Muniz</t>
  </si>
  <si>
    <t>Tv. Otávio Passos, 657, Pedreiras - MA, 65725-000, Brasil</t>
  </si>
  <si>
    <t>-4.5780909</t>
  </si>
  <si>
    <t>-44.5980347</t>
  </si>
  <si>
    <t>https://www.google.com/maps/search/?api=1&amp;query=Studio%20Michelle%20Muniz&amp;query_place_id=ChIJk-5fjtqJiQcRHkaPXNuyVBY</t>
  </si>
  <si>
    <t>Anna oliiiveira sobrancelha e epilação</t>
  </si>
  <si>
    <t>R. Santa Helena, 47, Pedreiras - MA, 65725-000, Brasil</t>
  </si>
  <si>
    <t>-4.5775079</t>
  </si>
  <si>
    <t>-44.5870476</t>
  </si>
  <si>
    <t>https://www.google.com/maps/search/?api=1&amp;query=Anna%20oliiiveira%20sobrancelha%20e%20epila%C3%A7%C3%A3o&amp;query_place_id=ChIJUZ8IJwCJiQcRoCqlbETOdC0</t>
  </si>
  <si>
    <t>Arhazou Esmalteria</t>
  </si>
  <si>
    <t>+55 99 98422-1078</t>
  </si>
  <si>
    <t>+5599984221078</t>
  </si>
  <si>
    <t>Av: 1, N: 11 - Parque das palmeiras, Pedreiras - MA, 65725-000, Brasil</t>
  </si>
  <si>
    <t>-4.578721</t>
  </si>
  <si>
    <t>-44.58879</t>
  </si>
  <si>
    <t>https://www.google.com/maps/search/?api=1&amp;query=Arhazou%20Esmalteria&amp;query_place_id=ChIJdStCSiGJiQcRwRpW5vSbk0I</t>
  </si>
  <si>
    <t>BV beauty concept</t>
  </si>
  <si>
    <t>R. Tv. Palmeirinha, Pedreiras - MA, 65725-000, Brasil</t>
  </si>
  <si>
    <t>-4.5802346</t>
  </si>
  <si>
    <t>-44.592919</t>
  </si>
  <si>
    <t>https://www.google.com/maps/search/?api=1&amp;query=BV%20beauty%20concept&amp;query_place_id=ChIJlcPZdgCJiQcROJ36H9bbkf4</t>
  </si>
  <si>
    <t>Dyevilla Medeiros Beauty</t>
  </si>
  <si>
    <t>R. da Piçarra, 1497 - Diogo, Pedreiras - MA, 65725-000, Brasil</t>
  </si>
  <si>
    <t>-4.581773</t>
  </si>
  <si>
    <t>-44.6083172</t>
  </si>
  <si>
    <t>https://www.google.com/maps/search/?api=1&amp;query=Dyevilla%20Medeiros%20Beauty&amp;query_place_id=ChIJP-VzeauJiQcRYBAyKWU0wdk</t>
  </si>
  <si>
    <t>ELIVALDO CABELOS</t>
  </si>
  <si>
    <t>R. Otávio Passos, Pedreiras - MA, 65725-000, Brasil</t>
  </si>
  <si>
    <t>-4.5755615</t>
  </si>
  <si>
    <t>-44.5955452</t>
  </si>
  <si>
    <t>https://www.google.com/maps/search/?api=1&amp;query=ELIVALDO%20CABELOS&amp;query_place_id=ChIJJz8OMNeJiQcRydRQ0iV79xk</t>
  </si>
  <si>
    <t>R. João Rodrigues, 110, Pedreiras - MA, 65725-000, Brasil</t>
  </si>
  <si>
    <t>-4.581089</t>
  </si>
  <si>
    <t>-44.5924408</t>
  </si>
  <si>
    <t>https://www.google.com/maps/search/?api=1&amp;query=Thalita%20make&amp;query_place_id=ChIJgT3G382JiQcR7-FY7Sk7Pzo</t>
  </si>
  <si>
    <t>Espaço Driely Sousa</t>
  </si>
  <si>
    <t>-4.5760314</t>
  </si>
  <si>
    <t>-44.6053947</t>
  </si>
  <si>
    <t>https://www.google.com/maps/search/?api=1&amp;query=Espa%C3%A7o%20Driely%20Sousa&amp;query_place_id=ChIJkRi-wd2JiQcRM-Lzf4BL9VA</t>
  </si>
  <si>
    <t>Espaço das Unhas</t>
  </si>
  <si>
    <t>R. Um, 521, Pedreiras - MA, 65725-000, Brasil</t>
  </si>
  <si>
    <t>-4.5742513</t>
  </si>
  <si>
    <t>-44.5938109</t>
  </si>
  <si>
    <t>https://www.google.com/maps/search/?api=1&amp;query=Espa%C3%A7o%20das%20Unhas&amp;query_place_id=ChIJyxHyX9aJiQcR84Za-8jKPd4</t>
  </si>
  <si>
    <t>ESMALTERIA Cristina</t>
  </si>
  <si>
    <t>Av. Marly Boueres, 1768, Pedreiras - MA, 65725-000, Brasil</t>
  </si>
  <si>
    <t>-4.5737489</t>
  </si>
  <si>
    <t>-44.5905609</t>
  </si>
  <si>
    <t>https://www.google.com/maps/search/?api=1&amp;query=ESMALTERIA%20Cristina&amp;query_place_id=ChIJO0Xro9WJiQcRhHG20rUirWo</t>
  </si>
  <si>
    <t>Esmalteria da Nanda</t>
  </si>
  <si>
    <t>+55 99 98259-3410</t>
  </si>
  <si>
    <t>+5599982593410</t>
  </si>
  <si>
    <t>Tv. João Benígno, 138, Pedreiras - MA, 65725-000, Brasil</t>
  </si>
  <si>
    <t>-4.5739687</t>
  </si>
  <si>
    <t>-44.6047383</t>
  </si>
  <si>
    <t>https://www.google.com/maps/search/?api=1&amp;query=Esmalteria%20da%20Nanda&amp;query_place_id=ChIJ2wjEpVCJiQcRyblKfQFzD9Q</t>
  </si>
  <si>
    <t>Esmalteria Ana Paula</t>
  </si>
  <si>
    <t>R. Sete, 16, Pedreiras - MA, 65725-000, Brasil</t>
  </si>
  <si>
    <t>-4.5767921</t>
  </si>
  <si>
    <t>-44.588422</t>
  </si>
  <si>
    <t>https://www.google.com/maps/search/?api=1&amp;query=Esmalteria%20Ana%20Paula&amp;query_place_id=ChIJYfYOWtOJiQcRlpUDc1XJcec</t>
  </si>
  <si>
    <t>Cíntia Rocha</t>
  </si>
  <si>
    <t>+55 99 99902-4071</t>
  </si>
  <si>
    <t>+5599999024071</t>
  </si>
  <si>
    <t>R. Nossa Sra. do Perpétuo Socorro, Pedreiras - MA, 65725-000, Brasil</t>
  </si>
  <si>
    <t>-4.576418</t>
  </si>
  <si>
    <t>-44.5866174</t>
  </si>
  <si>
    <t>https://www.google.com/maps/search/?api=1&amp;query=C%C3%ADntia%20Rocha&amp;query_place_id=ChIJKe1eO4iJiQcR3CiAFcO_V5k</t>
  </si>
  <si>
    <t>Erica's MANICURE</t>
  </si>
  <si>
    <t>R. Tancredo Neves, 87, Pedreiras - MA, 65725-000, Brasil</t>
  </si>
  <si>
    <t>-4.5641434</t>
  </si>
  <si>
    <t>-44.5955823</t>
  </si>
  <si>
    <t>https://www.google.com/maps/search/?api=1&amp;query=Erica's%20MANICURE&amp;query_place_id=ChIJw_GhenAnigcRfwuBXH1wxQs</t>
  </si>
  <si>
    <t>Poly Designer</t>
  </si>
  <si>
    <t>R. Messías Filho, 602, Pedreiras - MA, 65725-000, Brasil</t>
  </si>
  <si>
    <t>-4.5868609</t>
  </si>
  <si>
    <t>-44.5870019</t>
  </si>
  <si>
    <t>https://www.google.com/maps/search/?api=1&amp;query=Poly%20Designer&amp;query_place_id=ChIJRbGVSgCJiQcRZQahTT8x76U</t>
  </si>
  <si>
    <t>Andreina Souzza Beleza E Cosméticos</t>
  </si>
  <si>
    <t>R. Messías Filho, 103, Pedreiras - MA, 65725-000, Brasil</t>
  </si>
  <si>
    <t>-4.5829389</t>
  </si>
  <si>
    <t>-44.5887932</t>
  </si>
  <si>
    <t>https://www.google.com/maps/search/?api=1&amp;query=Andreina%20Souzza%20Beleza%20E%20Cosm%C3%A9ticos&amp;query_place_id=ChIJq8Xqw8yJiQcRr_hK3wZFQD0</t>
  </si>
  <si>
    <t>Esmalteria Unhas Decoradas 30</t>
  </si>
  <si>
    <t>+55 99 98194-5339</t>
  </si>
  <si>
    <t>+5599981945339</t>
  </si>
  <si>
    <t>R. São Pedro, 354, Pedreiras - MA, 65725-000, Brasil</t>
  </si>
  <si>
    <t>-4.5835153</t>
  </si>
  <si>
    <t>-44.5842169</t>
  </si>
  <si>
    <t>https://www.google.com/maps/search/?api=1&amp;query=Esmalteria%20Unhas%20Decoradas%2030&amp;query_place_id=ChIJI88lTlGJiQcRpy6P_3jrB_4</t>
  </si>
  <si>
    <t>Gardy Esmalteria</t>
  </si>
  <si>
    <t>+55 99 98118-1499</t>
  </si>
  <si>
    <t>+5599981181499</t>
  </si>
  <si>
    <t>R. Moisés Feitosa Nunes, 54, Pedreiras - MA, 65725-000, Brasil</t>
  </si>
  <si>
    <t>-4.5749068</t>
  </si>
  <si>
    <t>-44.5908232</t>
  </si>
  <si>
    <t>https://www.google.com/maps/search/?api=1&amp;query=Gardy%20Esmalteria&amp;query_place_id=ChIJc54Way-JiQcRKhEd3jpFfQ4</t>
  </si>
  <si>
    <t>VITINHO Cabelos</t>
  </si>
  <si>
    <t>-4.5792245</t>
  </si>
  <si>
    <t>-44.6081939</t>
  </si>
  <si>
    <t>https://www.google.com/maps/search/?api=1&amp;query=VITINHO%20Cabelos&amp;query_place_id=ChIJ_8-YceiJiQcRv3dN2DG7B6w</t>
  </si>
  <si>
    <t>Carolyne Carvalho Sobrancelhas</t>
  </si>
  <si>
    <t>Tv. José de Freitas, n142 - Engenho, Pedreiras - MA, 65725-000, Brasil</t>
  </si>
  <si>
    <t>-4.5772253</t>
  </si>
  <si>
    <t>-44.595065</t>
  </si>
  <si>
    <t>https://www.google.com/maps/search/?api=1&amp;query=Carolyne%20Carvalho%20Sobrancelhas&amp;query_place_id=ChIJjxmmhaiJiQcRD98zTV9uLvg</t>
  </si>
  <si>
    <t>Salão Realce</t>
  </si>
  <si>
    <t>-4.5685363</t>
  </si>
  <si>
    <t>-44.5995463</t>
  </si>
  <si>
    <t>https://www.google.com/maps/search/?api=1&amp;query=Sal%C3%A3o%20Realce&amp;query_place_id=ChIJcY0ZeGMnigcRrtjiuq890Qo</t>
  </si>
  <si>
    <t>Studio Thaynara Palhares | Especialista em Sobrancelhas</t>
  </si>
  <si>
    <t>Pedra Ville - Engenho, Pedreiras - MA, 65725-000, Brasil</t>
  </si>
  <si>
    <t>-4.5807411</t>
  </si>
  <si>
    <t>-44.5949421</t>
  </si>
  <si>
    <t>https://www.google.com/maps/search/?api=1&amp;query=Studio%20Thaynara%20Palhares%20%7C%20Especialista%20em%20Sobrancelhas&amp;query_place_id=ChIJpbvGuwCJiQcRpogTUaH-sdQ</t>
  </si>
  <si>
    <t>Aline Brandão</t>
  </si>
  <si>
    <t>+55 99 98495-4330</t>
  </si>
  <si>
    <t>+5599984954330</t>
  </si>
  <si>
    <t>R. Mal. Castelo Branco, 250 - Prainha, Pedreiras - MA, 65725-000, Brasil</t>
  </si>
  <si>
    <t>-4.5712832</t>
  </si>
  <si>
    <t>-44.5971416</t>
  </si>
  <si>
    <t>https://www.google.com/maps/search/?api=1&amp;query=Aline%20Brand%C3%A3o&amp;query_place_id=ChIJuyuwtdQnigcRsF9OK_0DsC0</t>
  </si>
  <si>
    <t>Clínica Depily</t>
  </si>
  <si>
    <t>+55 99 98269-5147</t>
  </si>
  <si>
    <t>+5599982695147</t>
  </si>
  <si>
    <t>R. Jeremias Caldeiras, Nº 72, Pedreiras - MA, 65725-000, Brasil</t>
  </si>
  <si>
    <t>-4.5703944</t>
  </si>
  <si>
    <t>-44.5994439</t>
  </si>
  <si>
    <t>https://www.google.com/maps/search/?api=1&amp;query=Cl%C3%ADnica%20Depily&amp;query_place_id=ChIJWXdpvV4nigcRCveD1YhovzQ</t>
  </si>
  <si>
    <t>depilação</t>
  </si>
  <si>
    <t>Lauanda Santos Nail Designer 🏼</t>
  </si>
  <si>
    <t>+55 99 98140-8422</t>
  </si>
  <si>
    <t>+5599981408422</t>
  </si>
  <si>
    <t>R. São Francisco, Pedreiras - MA, 65725-000, Brasil</t>
  </si>
  <si>
    <t>-4.5659633</t>
  </si>
  <si>
    <t>-44.6013348</t>
  </si>
  <si>
    <t>https://www.google.com/maps/search/?api=1&amp;query=Lauanda%20Santos%20Nail%20Designer%20%F0%9F%8F%BC&amp;query_place_id=ChIJvypg_6YnigcRkjyVWqsTAwU</t>
  </si>
  <si>
    <t>Marabá Cabeleireiro</t>
  </si>
  <si>
    <t>R. da Estrela, N° 779, Pedreiras - MA, 65725-000, Brasil</t>
  </si>
  <si>
    <t>-4.5689266</t>
  </si>
  <si>
    <t>-44.6016205</t>
  </si>
  <si>
    <t>https://www.google.com/maps/search/?api=1&amp;query=Marab%C3%A1%20Cabeleireiro&amp;query_place_id=ChIJxaZ1LAAnigcR1NU7nfX0ioo</t>
  </si>
  <si>
    <t>Madre | Esmalteria &amp; Estética</t>
  </si>
  <si>
    <t>+55 99 98144-0225</t>
  </si>
  <si>
    <t>+5599981440225</t>
  </si>
  <si>
    <t>R. Abílio Monteiro, 1592 - Sl 03 - Engenho, Pedreiras - MA, 65725-000, Brasil</t>
  </si>
  <si>
    <t>-4.5780874</t>
  </si>
  <si>
    <t>-44.5939741</t>
  </si>
  <si>
    <t>https://www.google.com/maps/search/?api=1&amp;query=Madre%20%7C%20Esmalteria%20%26%20Est%C3%A9tica&amp;query_place_id=ChIJXwzWyGaJiQcRsVfhU86FBlM</t>
  </si>
  <si>
    <t>M A STUDIO</t>
  </si>
  <si>
    <t>+55 99 99113-3823</t>
  </si>
  <si>
    <t>+5599991133823</t>
  </si>
  <si>
    <t>R. Lino Feitosa, Pedreiras - MA, 65725-000, Brasil</t>
  </si>
  <si>
    <t>-4.5779281</t>
  </si>
  <si>
    <t>-44.5858858</t>
  </si>
  <si>
    <t>https://www.google.com/maps/search/?api=1&amp;query=M%20A%20STUDIO&amp;query_place_id=ChIJM1N5TFuJiQcRTMiBieV-vyo</t>
  </si>
  <si>
    <t>Josi Teodoro Saúde e Estética avançada</t>
  </si>
  <si>
    <t>+55 99 98421-3851</t>
  </si>
  <si>
    <t>+5599984213851</t>
  </si>
  <si>
    <t>R. Raimundo Araújo, 357 - Centro, Pedreiras - MA, 65725-000, Brasil</t>
  </si>
  <si>
    <t>-4.5732435</t>
  </si>
  <si>
    <t>-44.6000782</t>
  </si>
  <si>
    <t>https://www.google.com/maps/search/?api=1&amp;query=Josi%20Teodoro%20Sa%C3%BAde%20e%20Est%C3%A9tica%20avan%C3%A7ada&amp;query_place_id=ChIJYWYkm-YnigcR4sascHUXcLc</t>
  </si>
  <si>
    <t>aleikson cabeleireiro</t>
  </si>
  <si>
    <t>+55 99 98434-1246</t>
  </si>
  <si>
    <t>+5599984341246</t>
  </si>
  <si>
    <t>Av .Rio Branco 533 .sala 6 Shopping cidade Centro, Pedreiras - MA, 65725-000, Brasil</t>
  </si>
  <si>
    <t>-4.5719318</t>
  </si>
  <si>
    <t>-44.6005711</t>
  </si>
  <si>
    <t>https://www.google.com/maps/search/?api=1&amp;query=aleikson%20cabeleireiro&amp;query_place_id=ChIJH69zdZgnigcRaqQj1LljuFc</t>
  </si>
  <si>
    <t>Barbearia do Dinho em Pedreiras</t>
  </si>
  <si>
    <t>+55 99 98423-2296</t>
  </si>
  <si>
    <t>+5599984232296</t>
  </si>
  <si>
    <t>R. Raimundo Araújo, N° 401 - Centro, Pedreiras - MA, 65725-000, Brasil</t>
  </si>
  <si>
    <t>-4.572796</t>
  </si>
  <si>
    <t>-44.5997616</t>
  </si>
  <si>
    <t>https://www.google.com/maps/search/?api=1&amp;query=Barbearia%20do%20Dinho%20em%20Pedreiras&amp;query_place_id=ChIJ90ryyhGJiQcR5yQK-wba8Pk</t>
  </si>
  <si>
    <t>Barbearia ANTHONY</t>
  </si>
  <si>
    <t>R. Miguel Atta, 77 - Centro, Pedreiras - MA, 65725-000, Brasil</t>
  </si>
  <si>
    <t>-4.5717131</t>
  </si>
  <si>
    <t>-44.5995675</t>
  </si>
  <si>
    <t>https://www.google.com/maps/search/?api=1&amp;query=Barbearia%20ANTHONY&amp;query_place_id=ChIJp_eDgGInigcRURePem6x_I8</t>
  </si>
  <si>
    <t>Mr.Barbeiro</t>
  </si>
  <si>
    <t>+55 99 98179-3129</t>
  </si>
  <si>
    <t>+5599981793129</t>
  </si>
  <si>
    <t>Em frente ao Colégio Doutor Herschell Carvalho - R. Francisco Sá, 97 - Centro, Pedreiras - MA, 65725-000, Brasil</t>
  </si>
  <si>
    <t>-4.5743212</t>
  </si>
  <si>
    <t>-44.5985289</t>
  </si>
  <si>
    <t>https://www.google.com/maps/search/?api=1&amp;query=Mr.Barbeiro&amp;query_place_id=ChIJ03f9MpCJiQcRE6m0O62g0Co</t>
  </si>
  <si>
    <t>MaNiM Cabeleireiro</t>
  </si>
  <si>
    <t>R. José Sarney, 49, Pedreiras - MA, 65725-000, Brasil</t>
  </si>
  <si>
    <t>-4.5643902</t>
  </si>
  <si>
    <t>-44.5950194</t>
  </si>
  <si>
    <t>https://www.google.com/maps/search/?api=1&amp;query=MaNiM%20Cabeleireiro&amp;query_place_id=ChIJZwV7fnAnigcRUuNglrAZ15Q</t>
  </si>
  <si>
    <t>MS BARBEARIA</t>
  </si>
  <si>
    <t>+55 99 99217-0809</t>
  </si>
  <si>
    <t>+5599992170809</t>
  </si>
  <si>
    <t>Rua Manoel Trindade Boiada, Pedreiras - MA, 65725-000, Brasil</t>
  </si>
  <si>
    <t>-4.5751235</t>
  </si>
  <si>
    <t>-44.6055433</t>
  </si>
  <si>
    <t>https://www.google.com/maps/search/?api=1&amp;query=MS%20BARBEARIA&amp;query_place_id=ChIJryTP0yuJiQcRgiNWkGqTWmo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</si>
</sst>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Bel%C3%ADssima%20Hair&amp;query_place_id=ChIJg_GI3d2JiQcRngBMtomT-2o" TargetMode="External"/><Relationship Id="rId84" Type="http://schemas.openxmlformats.org/officeDocument/2006/relationships/hyperlink" Target="https://www.google.com/maps/search/?api=1&amp;query=Mr.Barbeiro&amp;query_place_id=ChIJ03f9MpCJiQcRE6m0O62g0Co" TargetMode="External"/><Relationship Id="rId83" Type="http://schemas.openxmlformats.org/officeDocument/2006/relationships/hyperlink" Target="https://www.google.com/maps/search/?api=1&amp;query=Barbearia%20ANTHONY&amp;query_place_id=ChIJp_eDgGInigcRURePem6x_I8" TargetMode="External"/><Relationship Id="rId42" Type="http://schemas.openxmlformats.org/officeDocument/2006/relationships/hyperlink" Target="https://www.google.com/maps/search/?api=1&amp;query=Andrea%20Gomes%20Studio%20De%20Beleza&amp;query_place_id=ChIJp14wXtaJiQcRBbSi7Zsd67o" TargetMode="External"/><Relationship Id="rId86" Type="http://schemas.openxmlformats.org/officeDocument/2006/relationships/hyperlink" Target="https://www.google.com/maps/search/?api=1&amp;query=MS%20BARBEARIA&amp;query_place_id=ChIJryTP0yuJiQcRgiNWkGqTWmo" TargetMode="External"/><Relationship Id="rId41" Type="http://schemas.openxmlformats.org/officeDocument/2006/relationships/hyperlink" Target="https://www.google.com/maps/search/?api=1&amp;query=Ana%20Pereira%20studio&amp;query_place_id=ChIJez6ASACJiQcRfqidcpQDsBE" TargetMode="External"/><Relationship Id="rId85" Type="http://schemas.openxmlformats.org/officeDocument/2006/relationships/hyperlink" Target="https://www.google.com/maps/search/?api=1&amp;query=MaNiM%20Cabeleireiro&amp;query_place_id=ChIJZwV7fnAnigcRUuNglrAZ15Q" TargetMode="External"/><Relationship Id="rId44" Type="http://schemas.openxmlformats.org/officeDocument/2006/relationships/hyperlink" Target="https://www.google.com/maps/search/?api=1&amp;query=Marleza%20Beauty&amp;query_place_id=ChIJibR7LWWJiQcRQqYZ8FADM6o" TargetMode="External"/><Relationship Id="rId43" Type="http://schemas.openxmlformats.org/officeDocument/2006/relationships/hyperlink" Target="https://www.google.com/maps/search/?api=1&amp;query=St%C3%BAdio%20Glam%20Beauty&amp;query_place_id=ChIJW9SgPGEnigcRuyLCW9iFSUo" TargetMode="External"/><Relationship Id="rId87" Type="http://schemas.openxmlformats.org/officeDocument/2006/relationships/drawing" Target="../drawings/drawing1.xml"/><Relationship Id="rId46" Type="http://schemas.openxmlformats.org/officeDocument/2006/relationships/hyperlink" Target="https://www.google.com/maps/search/?api=1&amp;query=VILANI%20BRAND%C3%83O%20STUDIO%20DE%20BELEZA&amp;query_place_id=ChIJ_f1ZjWInigcRzxQL0wK_BwY" TargetMode="External"/><Relationship Id="rId45" Type="http://schemas.openxmlformats.org/officeDocument/2006/relationships/hyperlink" Target="https://www.google.com/maps/search/?api=1&amp;query=Dyevilla%20Beauty%20%7C%20Espa%C3%A7o&amp;query_place_id=ChIJaxlysjiJiQcR20eyJCoT5H4" TargetMode="External"/><Relationship Id="rId80" Type="http://schemas.openxmlformats.org/officeDocument/2006/relationships/hyperlink" Target="https://www.google.com/maps/search/?api=1&amp;query=Josi%20Teodoro%20Sa%C3%BAde%20e%20Est%C3%A9tica%20avan%C3%A7ada&amp;query_place_id=ChIJYWYkm-YnigcR4sascHUXcLc" TargetMode="External"/><Relationship Id="rId82" Type="http://schemas.openxmlformats.org/officeDocument/2006/relationships/hyperlink" Target="https://www.google.com/maps/search/?api=1&amp;query=Barbearia%20do%20Dinho%20em%20Pedreiras&amp;query_place_id=ChIJ90ryyhGJiQcR5yQK-wba8Pk" TargetMode="External"/><Relationship Id="rId81" Type="http://schemas.openxmlformats.org/officeDocument/2006/relationships/hyperlink" Target="https://www.google.com/maps/search/?api=1&amp;query=aleikson%20cabeleireiro&amp;query_place_id=ChIJH69zdZgnigcRaqQj1LljuFc" TargetMode="External"/><Relationship Id="rId1" Type="http://schemas.openxmlformats.org/officeDocument/2006/relationships/hyperlink" Target="https://www.google.com/maps/search/?api=1&amp;query=Espa%C3%A7o%20Dany%20Cardoso%20D'%20Blessed&amp;query_place_id=ChIJlf6bLdyJiQcRJ9PcZDC8wHI" TargetMode="External"/><Relationship Id="rId2" Type="http://schemas.openxmlformats.org/officeDocument/2006/relationships/hyperlink" Target="https://www.google.com/maps/search/?api=1&amp;query=Morais%20Studio&amp;query_place_id=ChIJaxtqOmEnigcRaUrvp6HTgsc" TargetMode="External"/><Relationship Id="rId3" Type="http://schemas.openxmlformats.org/officeDocument/2006/relationships/hyperlink" Target="https://www.google.com/maps/search/?api=1&amp;query=Sal%C3%A3o%20Fios%20Dourados&amp;query_place_id=ChIJ0RAFdbGJiQcRsJUCd2RPovo" TargetMode="External"/><Relationship Id="rId4" Type="http://schemas.openxmlformats.org/officeDocument/2006/relationships/hyperlink" Target="https://www.google.com/maps/search/?api=1&amp;query=DIVAS%20CABELOS&amp;query_place_id=ChIJWcANmX8nigcRLw1Iicv87ro" TargetMode="External"/><Relationship Id="rId9" Type="http://schemas.openxmlformats.org/officeDocument/2006/relationships/hyperlink" Target="https://www.google.com/maps/search/?api=1&amp;query=Studio%20Patric%C3%ADa%20Lima&amp;query_place_id=ChIJl3XhimonigcRkfIVM3Zay2A" TargetMode="External"/><Relationship Id="rId48" Type="http://schemas.openxmlformats.org/officeDocument/2006/relationships/hyperlink" Target="https://www.google.com/maps/search/?api=1&amp;query=Studio%20Eline%20Brito&amp;query_place_id=ChIJdf4n-dqJiQcRItXiUaD6cWo" TargetMode="External"/><Relationship Id="rId47" Type="http://schemas.openxmlformats.org/officeDocument/2006/relationships/hyperlink" Target="https://www.google.com/maps/search/?api=1&amp;query=Alyne%20Suzelly%20ESMALTERIA&amp;query_place_id=ChIJpabo29KJiQcRjy3Cd5n59jA" TargetMode="External"/><Relationship Id="rId49" Type="http://schemas.openxmlformats.org/officeDocument/2006/relationships/hyperlink" Target="https://www.google.com/maps/search/?api=1&amp;query=Studio%20Az%20Irm%C3%A3s%20-%20Aline%20Coutinho%20Makeup%20e%20Sobrancelhas&amp;query_place_id=ChIJ2dG-0CsnigcRI_biHv_1Svs" TargetMode="External"/><Relationship Id="rId5" Type="http://schemas.openxmlformats.org/officeDocument/2006/relationships/hyperlink" Target="https://www.google.com/maps/search/?api=1&amp;query=Espa%C3%A7o%20S%C3%ADlvio%20Oliveira&amp;query_place_id=ChIJmfZHurMnigcRNEDQJCSEbjA" TargetMode="External"/><Relationship Id="rId6" Type="http://schemas.openxmlformats.org/officeDocument/2006/relationships/hyperlink" Target="https://www.google.com/maps/search/?api=1&amp;query=Nenza%20Beauty&amp;query_place_id=ChIJt1HjrmMnigcRK9kaE8-hZ8s" TargetMode="External"/><Relationship Id="rId7" Type="http://schemas.openxmlformats.org/officeDocument/2006/relationships/hyperlink" Target="https://www.google.com/maps/search/?api=1&amp;query=Sal%C3%A3o%20Nina%20Fashion&amp;query_place_id=ChIJT827tGInigcRJ2JIuCizCDg" TargetMode="External"/><Relationship Id="rId8" Type="http://schemas.openxmlformats.org/officeDocument/2006/relationships/hyperlink" Target="https://www.google.com/maps/search/?api=1&amp;query=Studio%20Carine%20Designer%20de%20Sobrancelhas%20e%20Depila%C3%A7ao&amp;query_place_id=ChIJn_FwHN-JiQcR3DG3-NWimyc" TargetMode="External"/><Relationship Id="rId73" Type="http://schemas.openxmlformats.org/officeDocument/2006/relationships/hyperlink" Target="https://www.google.com/maps/search/?api=1&amp;query=Studio%20Thaynara%20Palhares%20%7C%20Especialista%20em%20Sobrancelhas&amp;query_place_id=ChIJpbvGuwCJiQcRpogTUaH-sdQ" TargetMode="External"/><Relationship Id="rId72" Type="http://schemas.openxmlformats.org/officeDocument/2006/relationships/hyperlink" Target="https://www.google.com/maps/search/?api=1&amp;query=Sal%C3%A3o%20Realce&amp;query_place_id=ChIJcY0ZeGMnigcRrtjiuq890Qo" TargetMode="External"/><Relationship Id="rId31" Type="http://schemas.openxmlformats.org/officeDocument/2006/relationships/hyperlink" Target="https://www.google.com/maps/search/?api=1&amp;query=Alexia%20Santos%20Makeup&amp;query_place_id=ChIJPVV1x76JiQcRMsPOO_d9NN4" TargetMode="External"/><Relationship Id="rId75" Type="http://schemas.openxmlformats.org/officeDocument/2006/relationships/hyperlink" Target="https://www.google.com/maps/search/?api=1&amp;query=Cl%C3%ADnica%20Depily&amp;query_place_id=ChIJWXdpvV4nigcRCveD1YhovzQ" TargetMode="External"/><Relationship Id="rId30" Type="http://schemas.openxmlformats.org/officeDocument/2006/relationships/hyperlink" Target="https://www.google.com/maps/search/?api=1&amp;query=Nath%20makeup&amp;query_place_id=ChIJl64xbEaJiQcRrrW9mVE0MaE" TargetMode="External"/><Relationship Id="rId74" Type="http://schemas.openxmlformats.org/officeDocument/2006/relationships/hyperlink" Target="https://www.google.com/maps/search/?api=1&amp;query=Aline%20Brand%C3%A3o&amp;query_place_id=ChIJuyuwtdQnigcRsF9OK_0DsC0" TargetMode="External"/><Relationship Id="rId33" Type="http://schemas.openxmlformats.org/officeDocument/2006/relationships/hyperlink" Target="https://www.google.com/maps/search/?api=1&amp;query=ESPA%C3%87O%20Glaucia%20Sampaio&amp;query_place_id=ChIJ9QkdVOuJiQcRqmswIfsdNpc" TargetMode="External"/><Relationship Id="rId77" Type="http://schemas.openxmlformats.org/officeDocument/2006/relationships/hyperlink" Target="https://www.google.com/maps/search/?api=1&amp;query=Marab%C3%A1%20Cabeleireiro&amp;query_place_id=ChIJxaZ1LAAnigcR1NU7nfX0ioo" TargetMode="External"/><Relationship Id="rId32" Type="http://schemas.openxmlformats.org/officeDocument/2006/relationships/hyperlink" Target="https://www.google.com/maps/search/?api=1&amp;query=Sal%C3%A3o%20Ateli%C3%AA%20da%20Beleza&amp;query_place_id=ChIJW0C73gKJiQcR8Zf4JujJyKU" TargetMode="External"/><Relationship Id="rId76" Type="http://schemas.openxmlformats.org/officeDocument/2006/relationships/hyperlink" Target="https://www.google.com/maps/search/?api=1&amp;query=Lauanda%20Santos%20Nail%20Designer%20%F0%9F%8F%BC&amp;query_place_id=ChIJvypg_6YnigcRkjyVWqsTAwU" TargetMode="External"/><Relationship Id="rId35" Type="http://schemas.openxmlformats.org/officeDocument/2006/relationships/hyperlink" Target="https://www.google.com/maps/search/?api=1&amp;query=Alves%20Cabeleireiro&amp;query_place_id=ChIJCWBcW8uJiQcRTxTbBAt-FvY" TargetMode="External"/><Relationship Id="rId79" Type="http://schemas.openxmlformats.org/officeDocument/2006/relationships/hyperlink" Target="https://www.google.com/maps/search/?api=1&amp;query=M%20A%20STUDIO&amp;query_place_id=ChIJM1N5TFuJiQcRTMiBieV-vyo" TargetMode="External"/><Relationship Id="rId34" Type="http://schemas.openxmlformats.org/officeDocument/2006/relationships/hyperlink" Target="https://www.google.com/maps/search/?api=1&amp;query=Junior%20Cabelos&amp;query_place_id=ChIJ63iuU0KXiQcRs_TelkdrFs4" TargetMode="External"/><Relationship Id="rId78" Type="http://schemas.openxmlformats.org/officeDocument/2006/relationships/hyperlink" Target="https://www.google.com/maps/search/?api=1&amp;query=Madre%20%7C%20Esmalteria%20%26%20Est%C3%A9tica&amp;query_place_id=ChIJXwzWyGaJiQcRsVfhU86FBlM" TargetMode="External"/><Relationship Id="rId71" Type="http://schemas.openxmlformats.org/officeDocument/2006/relationships/hyperlink" Target="https://www.google.com/maps/search/?api=1&amp;query=Carolyne%20Carvalho%20Sobrancelhas&amp;query_place_id=ChIJjxmmhaiJiQcRD98zTV9uLvg" TargetMode="External"/><Relationship Id="rId70" Type="http://schemas.openxmlformats.org/officeDocument/2006/relationships/hyperlink" Target="https://www.google.com/maps/search/?api=1&amp;query=VITINHO%20Cabelos&amp;query_place_id=ChIJ_8-YceiJiQcRv3dN2DG7B6w" TargetMode="External"/><Relationship Id="rId37" Type="http://schemas.openxmlformats.org/officeDocument/2006/relationships/hyperlink" Target="https://www.google.com/maps/search/?api=1&amp;query=Gisele%20Lima%20Est%C3%A9tica%20Feminina&amp;query_place_id=ChIJwZExiO2JiQcRfUdmxBZzmF0" TargetMode="External"/><Relationship Id="rId36" Type="http://schemas.openxmlformats.org/officeDocument/2006/relationships/hyperlink" Target="https://www.google.com/maps/search/?api=1&amp;query=Irm%C3%A3s%20beauty%20studio&amp;query_place_id=ChIJT0vQr_uRiQcR-Su3P6enTK0" TargetMode="External"/><Relationship Id="rId39" Type="http://schemas.openxmlformats.org/officeDocument/2006/relationships/hyperlink" Target="https://www.google.com/maps/search/?api=1&amp;query=Thita%20Cabelos&amp;query_place_id=ChIJXcaK9WAnigcRHSIhpoVwpzM" TargetMode="External"/><Relationship Id="rId38" Type="http://schemas.openxmlformats.org/officeDocument/2006/relationships/hyperlink" Target="https://www.google.com/maps/search/?api=1&amp;query=Espa%C3%A7o%20Da%20Beleza%20Mo%C3%A7a%20Bonita%20Jc&amp;query_place_id=ChIJ0RsuGGEnigcRMzKuBUXOBiQ" TargetMode="External"/><Relationship Id="rId62" Type="http://schemas.openxmlformats.org/officeDocument/2006/relationships/hyperlink" Target="https://www.google.com/maps/search/?api=1&amp;query=Esmalteria%20da%20Nanda&amp;query_place_id=ChIJ2wjEpVCJiQcRyblKfQFzD9Q" TargetMode="External"/><Relationship Id="rId61" Type="http://schemas.openxmlformats.org/officeDocument/2006/relationships/hyperlink" Target="https://www.google.com/maps/search/?api=1&amp;query=ESMALTERIA%20Cristina&amp;query_place_id=ChIJO0Xro9WJiQcRhHG20rUirWo" TargetMode="External"/><Relationship Id="rId20" Type="http://schemas.openxmlformats.org/officeDocument/2006/relationships/hyperlink" Target="https://www.google.com/maps/search/?api=1&amp;query=Studio%20Natallya%20Oliveira-%20Sobrancelhas%20e%20epila%C3%A7%C3%A3o&amp;query_place_id=ChIJ6bqYrq2JiQcRwBKct7a3X_k" TargetMode="External"/><Relationship Id="rId64" Type="http://schemas.openxmlformats.org/officeDocument/2006/relationships/hyperlink" Target="https://www.google.com/maps/search/?api=1&amp;query=C%C3%ADntia%20Rocha&amp;query_place_id=ChIJKe1eO4iJiQcR3CiAFcO_V5k" TargetMode="External"/><Relationship Id="rId63" Type="http://schemas.openxmlformats.org/officeDocument/2006/relationships/hyperlink" Target="https://www.google.com/maps/search/?api=1&amp;query=Esmalteria%20Ana%20Paula&amp;query_place_id=ChIJYfYOWtOJiQcRlpUDc1XJcec" TargetMode="External"/><Relationship Id="rId22" Type="http://schemas.openxmlformats.org/officeDocument/2006/relationships/hyperlink" Target="https://www.google.com/maps/search/?api=1&amp;query=Eliane%20cabelos&amp;query_place_id=ChIJy8pa6xAnigcRzX0J5M54yDU" TargetMode="External"/><Relationship Id="rId66" Type="http://schemas.openxmlformats.org/officeDocument/2006/relationships/hyperlink" Target="https://www.google.com/maps/search/?api=1&amp;query=Poly%20Designer&amp;query_place_id=ChIJRbGVSgCJiQcRZQahTT8x76U" TargetMode="External"/><Relationship Id="rId21" Type="http://schemas.openxmlformats.org/officeDocument/2006/relationships/hyperlink" Target="https://www.google.com/maps/search/?api=1&amp;query=%E2%98%86Entrelace%20_Key_Amorim%E2%98%86&amp;query_place_id=ChIJ8wKtCmInigcROJtuw8YIS4c" TargetMode="External"/><Relationship Id="rId65" Type="http://schemas.openxmlformats.org/officeDocument/2006/relationships/hyperlink" Target="https://www.google.com/maps/search/?api=1&amp;query=Erica's%20MANICURE&amp;query_place_id=ChIJw_GhenAnigcRfwuBXH1wxQs" TargetMode="External"/><Relationship Id="rId24" Type="http://schemas.openxmlformats.org/officeDocument/2006/relationships/hyperlink" Target="https://www.google.com/maps/search/?api=1&amp;query=Fernando%20CABELOS&amp;query_place_id=ChIJac0pbuiJiQcRL1GcExW7kwg" TargetMode="External"/><Relationship Id="rId68" Type="http://schemas.openxmlformats.org/officeDocument/2006/relationships/hyperlink" Target="https://www.google.com/maps/search/?api=1&amp;query=Esmalteria%20Unhas%20Decoradas%2030&amp;query_place_id=ChIJI88lTlGJiQcRpy6P_3jrB_4" TargetMode="External"/><Relationship Id="rId23" Type="http://schemas.openxmlformats.org/officeDocument/2006/relationships/hyperlink" Target="https://www.google.com/maps/search/?api=1&amp;query=Espa%C3%A7o%20de%20beleza%20Gleyce%20Alves&amp;query_place_id=ChIJix1u3F8nigcRV4z4Kyg4f9k" TargetMode="External"/><Relationship Id="rId67" Type="http://schemas.openxmlformats.org/officeDocument/2006/relationships/hyperlink" Target="https://www.google.com/maps/search/?api=1&amp;query=Andreina%20Souzza%20Beleza%20E%20Cosm%C3%A9ticos&amp;query_place_id=ChIJq8Xqw8yJiQcRr_hK3wZFQD0" TargetMode="External"/><Relationship Id="rId60" Type="http://schemas.openxmlformats.org/officeDocument/2006/relationships/hyperlink" Target="https://www.google.com/maps/search/?api=1&amp;query=Espa%C3%A7o%20das%20Unhas&amp;query_place_id=ChIJyxHyX9aJiQcR84Za-8jKPd4" TargetMode="External"/><Relationship Id="rId26" Type="http://schemas.openxmlformats.org/officeDocument/2006/relationships/hyperlink" Target="https://www.google.com/maps/search/?api=1&amp;query=Torres%20Cabeleleiro%20Unisex&amp;query_place_id=ChIJe4ATCtyJiQcRMYzkjiax2BA" TargetMode="External"/><Relationship Id="rId25" Type="http://schemas.openxmlformats.org/officeDocument/2006/relationships/hyperlink" Target="https://www.google.com/maps/search/?api=1&amp;query=Nazim%20Cabelos%20e%20Afia%C3%A7%C3%B5es&amp;query_place_id=ChIJnVZv-9OJiQcRaP1-0Tv6GAA" TargetMode="External"/><Relationship Id="rId69" Type="http://schemas.openxmlformats.org/officeDocument/2006/relationships/hyperlink" Target="https://www.google.com/maps/search/?api=1&amp;query=Gardy%20Esmalteria&amp;query_place_id=ChIJc54Way-JiQcRKhEd3jpFfQ4" TargetMode="External"/><Relationship Id="rId28" Type="http://schemas.openxmlformats.org/officeDocument/2006/relationships/hyperlink" Target="https://www.google.com/maps/search/?api=1&amp;query=Thalita%20make&amp;query_place_id=ChIJxSFH-1uJiQcRzvVZCIEm4Cg" TargetMode="External"/><Relationship Id="rId27" Type="http://schemas.openxmlformats.org/officeDocument/2006/relationships/hyperlink" Target="https://www.google.com/maps/search/?api=1&amp;query=Andr%C3%A9%20Barber%20-%20Barbeiro&amp;query_place_id=ChIJIXu4AEUnigcRPxKhPdoXS_A" TargetMode="External"/><Relationship Id="rId29" Type="http://schemas.openxmlformats.org/officeDocument/2006/relationships/hyperlink" Target="https://www.google.com/maps/search/?api=1&amp;query=Kamille%20Coutinho%20Beauty&amp;query_place_id=ChIJR9WRK2WJiQcRoc-DGJuPYdg" TargetMode="External"/><Relationship Id="rId51" Type="http://schemas.openxmlformats.org/officeDocument/2006/relationships/hyperlink" Target="https://www.google.com/maps/search/?api=1&amp;query=Beleza%20Fashion&amp;query_place_id=ChIJeelwz92JiQcR2geWAfPHeJ0" TargetMode="External"/><Relationship Id="rId50" Type="http://schemas.openxmlformats.org/officeDocument/2006/relationships/hyperlink" Target="https://www.google.com/maps/search/?api=1&amp;query=Studio%20Emilly%20nails&amp;query_place_id=ChIJkYH3EwAnigcRD0ow9DCpWzc" TargetMode="External"/><Relationship Id="rId53" Type="http://schemas.openxmlformats.org/officeDocument/2006/relationships/hyperlink" Target="https://www.google.com/maps/search/?api=1&amp;query=Anna%20oliiiveira%20sobrancelha%20e%20epila%C3%A7%C3%A3o&amp;query_place_id=ChIJUZ8IJwCJiQcRoCqlbETOdC0" TargetMode="External"/><Relationship Id="rId52" Type="http://schemas.openxmlformats.org/officeDocument/2006/relationships/hyperlink" Target="https://www.google.com/maps/search/?api=1&amp;query=Studio%20Michelle%20Muniz&amp;query_place_id=ChIJk-5fjtqJiQcRHkaPXNuyVBY" TargetMode="External"/><Relationship Id="rId11" Type="http://schemas.openxmlformats.org/officeDocument/2006/relationships/hyperlink" Target="https://www.google.com/maps/search/?api=1&amp;query=Cl%C3%A9o%20Pereira%20Studio%20De%20Beleza%20Unissex&amp;query_place_id=ChIJ21bg1NaJiQcRQXE5whYWINA" TargetMode="External"/><Relationship Id="rId55" Type="http://schemas.openxmlformats.org/officeDocument/2006/relationships/hyperlink" Target="https://www.google.com/maps/search/?api=1&amp;query=BV%20beauty%20concept&amp;query_place_id=ChIJlcPZdgCJiQcROJ36H9bbkf4" TargetMode="External"/><Relationship Id="rId10" Type="http://schemas.openxmlformats.org/officeDocument/2006/relationships/hyperlink" Target="https://www.google.com/maps/search/?api=1&amp;query=Studio%20Maria%20Linda&amp;query_place_id=ChIJN80p32cnigcR4LsmernZnUs" TargetMode="External"/><Relationship Id="rId54" Type="http://schemas.openxmlformats.org/officeDocument/2006/relationships/hyperlink" Target="https://www.google.com/maps/search/?api=1&amp;query=Arhazou%20Esmalteria&amp;query_place_id=ChIJdStCSiGJiQcRwRpW5vSbk0I" TargetMode="External"/><Relationship Id="rId13" Type="http://schemas.openxmlformats.org/officeDocument/2006/relationships/hyperlink" Target="https://www.google.com/maps/search/?api=1&amp;query=Studio%20Glamour&amp;query_place_id=ChIJmVIwltmJiQcRq0d6B-hs9Rk" TargetMode="External"/><Relationship Id="rId57" Type="http://schemas.openxmlformats.org/officeDocument/2006/relationships/hyperlink" Target="https://www.google.com/maps/search/?api=1&amp;query=ELIVALDO%20CABELOS&amp;query_place_id=ChIJJz8OMNeJiQcRydRQ0iV79xk" TargetMode="External"/><Relationship Id="rId12" Type="http://schemas.openxmlformats.org/officeDocument/2006/relationships/hyperlink" Target="https://www.google.com/maps/search/?api=1&amp;query=Studio%20Lizandra%20Oliveira&amp;query_place_id=ChIJ5XuJQ_4nigcRwi6py4_8FDw" TargetMode="External"/><Relationship Id="rId56" Type="http://schemas.openxmlformats.org/officeDocument/2006/relationships/hyperlink" Target="https://www.google.com/maps/search/?api=1&amp;query=Dyevilla%20Medeiros%20Beauty&amp;query_place_id=ChIJP-VzeauJiQcRYBAyKWU0wdk" TargetMode="External"/><Relationship Id="rId15" Type="http://schemas.openxmlformats.org/officeDocument/2006/relationships/hyperlink" Target="https://www.google.com/maps/search/?api=1&amp;query=Gardenia%20Cabelos&amp;query_place_id=ChIJz_2wEk6JiQcR-sHI5PQ8DkY" TargetMode="External"/><Relationship Id="rId59" Type="http://schemas.openxmlformats.org/officeDocument/2006/relationships/hyperlink" Target="https://www.google.com/maps/search/?api=1&amp;query=Espa%C3%A7o%20Driely%20Sousa&amp;query_place_id=ChIJkRi-wd2JiQcRM-Lzf4BL9VA" TargetMode="External"/><Relationship Id="rId14" Type="http://schemas.openxmlformats.org/officeDocument/2006/relationships/hyperlink" Target="https://www.google.com/maps/search/?api=1&amp;query=St%C3%BAdio%20Belo%20Espa%C3%A7o%20Patricia%20Macedo&amp;query_place_id=ChIJP-luTmInigcRigkddvr9ZYA" TargetMode="External"/><Relationship Id="rId58" Type="http://schemas.openxmlformats.org/officeDocument/2006/relationships/hyperlink" Target="https://www.google.com/maps/search/?api=1&amp;query=Thalita%20make&amp;query_place_id=ChIJgT3G382JiQcR7-FY7Sk7Pzo" TargetMode="External"/><Relationship Id="rId17" Type="http://schemas.openxmlformats.org/officeDocument/2006/relationships/hyperlink" Target="https://www.google.com/maps/search/?api=1&amp;query=Sal%C3%A3o%20D'clea%20e%20Deyse%20Maciel%20Est%C3%A9tica%20e%20Micropigmenta%C3%A7%C3%A3o&amp;query_place_id=ChIJc4ixoeAnigcRK4DFlkPpX4E" TargetMode="External"/><Relationship Id="rId16" Type="http://schemas.openxmlformats.org/officeDocument/2006/relationships/hyperlink" Target="https://www.google.com/maps/search/?api=1&amp;query=Claudia%20Esmalteria%20e%20Sal%C3%A3o&amp;query_place_id=ChIJXfNrJ9EnigcR6Ui5G5HhijQ" TargetMode="External"/><Relationship Id="rId19" Type="http://schemas.openxmlformats.org/officeDocument/2006/relationships/hyperlink" Target="https://www.google.com/maps/search/?api=1&amp;query=Sal%C3%A3o%20mulheres%20VIP&amp;query_place_id=ChIJ_Zi9ApUnigcR4F2VAzR_WdQ" TargetMode="External"/><Relationship Id="rId18" Type="http://schemas.openxmlformats.org/officeDocument/2006/relationships/hyperlink" Target="https://www.google.com/maps/search/?api=1&amp;query=Majestic%20Studio%20%7C%20Maquiagem%20%7C%20Unhas&amp;query_place_id=ChIJa3JfxlInigcR25wzW-c2H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 t="s">
        <v>16</v>
      </c>
      <c r="I2" s="3" t="str">
        <f>IFERROR(__xludf.DUMMYFUNCTION("IF(A3="""", """", IFS(REGEXMATCH(LOWER(A3), ""barbearia|barber""), ""Barbearia"", REGEXMATCH(LOWER(A3), ""sobrancelh|c[ií]lio|lash|micropigment|showbrancelhas""), ""Sobrancelhas e Cílios"", REGEXMATCH(LOWER(A3), ""maquia|make""), ""Maquiagem"", REGEXMATCH"&amp;"(LOWER(A3), ""depil|epil""), ""Depilação"", REGEXMATCH(LOWER(A3), ""esmalteria|unha|nail|manicur|spa dos p[eé]s|kauu_nhas""), ""Manicure - Esmalteria"", REGEXMATCH(LOWER(A3), ""est[eé]tic|bronze|massot|terap|pilates|revitalize|dra""), ""Clínica de Estétic"&amp;"a"", TRUE, ""Salão de Beleza""))"),"Salão de Beleza")</f>
        <v>Salão de Beleza</v>
      </c>
    </row>
    <row r="3">
      <c r="A3" s="1" t="s">
        <v>17</v>
      </c>
      <c r="D3" s="1" t="s">
        <v>18</v>
      </c>
      <c r="E3" s="1" t="s">
        <v>19</v>
      </c>
      <c r="F3" s="1" t="s">
        <v>20</v>
      </c>
      <c r="G3" s="1" t="s">
        <v>15</v>
      </c>
      <c r="H3" s="2" t="s">
        <v>21</v>
      </c>
      <c r="I3" s="3" t="str">
        <f>IFERROR(__xludf.DUMMYFUNCTION("IF(A4="""", """", IFS(REGEXMATCH(LOWER(A4), ""barbearia|barber""), ""Barbearia"", REGEXMATCH(LOWER(A4), ""sobrancelh|c[ií]lio|lash|micropigment|showbrancelhas""), ""Sobrancelhas e Cílios"", REGEXMATCH(LOWER(A4), ""maquia|make""), ""Maquiagem"", REGEXMATCH"&amp;"(LOWER(A4), ""depil|epil""), ""Depilação"", REGEXMATCH(LOWER(A4), ""esmalteria|unha|nail|manicur|spa dos p[eé]s|kauu_nhas""), ""Manicure - Esmalteria"", REGEXMATCH(LOWER(A4), ""est[eé]tic|bronze|massot|terap|pilates|revitalize|dra""), ""Clínica de Estétic"&amp;"a"", TRUE, ""Salão de Beleza""))"),"Salão de Beleza")</f>
        <v>Salão de Beleza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15</v>
      </c>
      <c r="H4" s="2" t="s">
        <v>28</v>
      </c>
      <c r="I4" s="3" t="str">
        <f>IFERROR(__xludf.DUMMYFUNCTION("IF(A5="""", """", IFS(REGEXMATCH(LOWER(A5), ""barbearia|barber""), ""Barbearia"", REGEXMATCH(LOWER(A5), ""sobrancelh|c[ií]lio|lash|micropigment|showbrancelhas""), ""Sobrancelhas e Cílios"", REGEXMATCH(LOWER(A5), ""maquia|make""), ""Maquiagem"", REGEXMATCH"&amp;"(LOWER(A5), ""depil|epil""), ""Depilação"", REGEXMATCH(LOWER(A5), ""esmalteria|unha|nail|manicur|spa dos p[eé]s|kauu_nhas""), ""Manicure - Esmalteria"", REGEXMATCH(LOWER(A5), ""est[eé]tic|bronze|massot|terap|pilates|revitalize|dra""), ""Clínica de Estétic"&amp;"a"", TRUE, ""Salão de Beleza""))"),"Salão de Beleza")</f>
        <v>Salão de Beleza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15</v>
      </c>
      <c r="H5" s="2" t="s">
        <v>35</v>
      </c>
      <c r="I5" s="3" t="str">
        <f>IFERROR(__xludf.DUMMYFUNCTION("IF(A6="""", """", IFS(REGEXMATCH(LOWER(A6), ""barbearia|barber""), ""Barbearia"", REGEXMATCH(LOWER(A6), ""sobrancelh|c[ií]lio|lash|micropigment|showbrancelhas""), ""Sobrancelhas e Cílios"", REGEXMATCH(LOWER(A6), ""maquia|make""), ""Maquiagem"", REGEXMATCH"&amp;"(LOWER(A6), ""depil|epil""), ""Depilação"", REGEXMATCH(LOWER(A6), ""esmalteria|unha|nail|manicur|spa dos p[eé]s|kauu_nhas""), ""Manicure - Esmalteria"", REGEXMATCH(LOWER(A6), ""est[eé]tic|bronze|massot|terap|pilates|revitalize|dra""), ""Clínica de Estétic"&amp;"a"", TRUE, ""Salão de Beleza""))"),"Salão de Beleza")</f>
        <v>Salão de Beleza</v>
      </c>
    </row>
    <row r="6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15</v>
      </c>
      <c r="H6" s="2" t="s">
        <v>42</v>
      </c>
      <c r="I6" s="3" t="str">
        <f>IFERROR(__xludf.DUMMYFUNCTION("IF(A7="""", """", IFS(REGEXMATCH(LOWER(A7), ""barbearia|barber""), ""Barbearia"", REGEXMATCH(LOWER(A7), ""sobrancelh|c[ií]lio|lash|micropigment|showbrancelhas""), ""Sobrancelhas e Cílios"", REGEXMATCH(LOWER(A7), ""maquia|make""), ""Maquiagem"", REGEXMATCH"&amp;"(LOWER(A7), ""depil|epil""), ""Depilação"", REGEXMATCH(LOWER(A7), ""esmalteria|unha|nail|manicur|spa dos p[eé]s|kauu_nhas""), ""Manicure - Esmalteria"", REGEXMATCH(LOWER(A7), ""est[eé]tic|bronze|massot|terap|pilates|revitalize|dra""), ""Clínica de Estétic"&amp;"a"", TRUE, ""Salão de Beleza""))"),"Salão de Beleza")</f>
        <v>Salão de Beleza</v>
      </c>
    </row>
    <row r="7">
      <c r="A7" s="1" t="s">
        <v>43</v>
      </c>
      <c r="D7" s="1" t="s">
        <v>44</v>
      </c>
      <c r="E7" s="1" t="s">
        <v>45</v>
      </c>
      <c r="F7" s="1" t="s">
        <v>46</v>
      </c>
      <c r="G7" s="1" t="s">
        <v>15</v>
      </c>
      <c r="H7" s="2" t="s">
        <v>47</v>
      </c>
      <c r="I7" s="3" t="str">
        <f>IFERROR(__xludf.DUMMYFUNCTION("IF(A8="""", """", IFS(REGEXMATCH(LOWER(A8), ""barbearia|barber""), ""Barbearia"", REGEXMATCH(LOWER(A8), ""sobrancelh|c[ií]lio|lash|micropigment|showbrancelhas""), ""Sobrancelhas e Cílios"", REGEXMATCH(LOWER(A8), ""maquia|make""), ""Maquiagem"", REGEXMATCH"&amp;"(LOWER(A8), ""depil|epil""), ""Depilação"", REGEXMATCH(LOWER(A8), ""esmalteria|unha|nail|manicur|spa dos p[eé]s|kauu_nhas""), ""Manicure - Esmalteria"", REGEXMATCH(LOWER(A8), ""est[eé]tic|bronze|massot|terap|pilates|revitalize|dra""), ""Clínica de Estétic"&amp;"a"", TRUE, ""Salão de Beleza""))"),"Salão de Beleza")</f>
        <v>Salão de Beleza</v>
      </c>
    </row>
    <row r="8">
      <c r="A8" s="1" t="s">
        <v>48</v>
      </c>
      <c r="D8" s="1" t="s">
        <v>49</v>
      </c>
      <c r="E8" s="1" t="s">
        <v>50</v>
      </c>
      <c r="F8" s="1" t="s">
        <v>51</v>
      </c>
      <c r="G8" s="1" t="s">
        <v>15</v>
      </c>
      <c r="H8" s="2" t="s">
        <v>52</v>
      </c>
      <c r="I8" s="1" t="s">
        <v>53</v>
      </c>
    </row>
    <row r="9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15</v>
      </c>
      <c r="H9" s="2" t="s">
        <v>60</v>
      </c>
      <c r="I9" s="1" t="s">
        <v>61</v>
      </c>
    </row>
    <row r="10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1" t="s">
        <v>15</v>
      </c>
      <c r="H10" s="2" t="s">
        <v>68</v>
      </c>
      <c r="I10" s="3" t="str">
        <f>IFERROR(__xludf.DUMMYFUNCTION("IF(A11="""", """", IFS(REGEXMATCH(LOWER(A11), ""barbearia|barber""), ""Barbearia"", REGEXMATCH(LOWER(A11), ""sobrancelh|c[ií]lio|lash|micropigment|showbrancelhas""), ""Sobrancelhas e Cílios"", REGEXMATCH(LOWER(A11), ""maquia|make""), ""Maquiagem"", REGEXM"&amp;"ATCH(LOWER(A11), ""depil|epil""), ""Depilação"", REGEXMATCH(LOWER(A11), ""esmalteria|unha|nail|manicur|spa dos p[eé]s|kauu_nhas""), ""Manicure - Esmalteria"", REGEXMATCH(LOWER(A11), ""est[eé]tic|bronze|massot|terap|pilates|revitalize|dra""), ""Clínica de "&amp;"Estética"", TRUE, ""Salão de Beleza""))"),"Salão de Beleza")</f>
        <v>Salão de Beleza</v>
      </c>
    </row>
    <row r="11">
      <c r="A11" s="1" t="s">
        <v>69</v>
      </c>
      <c r="B11" s="1" t="s">
        <v>70</v>
      </c>
      <c r="C11" s="1" t="s">
        <v>71</v>
      </c>
      <c r="D11" s="1" t="s">
        <v>65</v>
      </c>
      <c r="E11" s="1" t="s">
        <v>72</v>
      </c>
      <c r="F11" s="1" t="s">
        <v>73</v>
      </c>
      <c r="G11" s="1" t="s">
        <v>15</v>
      </c>
      <c r="H11" s="2" t="s">
        <v>74</v>
      </c>
      <c r="I11" s="3" t="str">
        <f>IFERROR(__xludf.DUMMYFUNCTION("IF(A12="""", """", IFS(REGEXMATCH(LOWER(A12), ""barbearia|barber""), ""Barbearia"", REGEXMATCH(LOWER(A12), ""sobrancelh|c[ií]lio|lash|micropigment|showbrancelhas""), ""Sobrancelhas e Cílios"", REGEXMATCH(LOWER(A12), ""maquia|make""), ""Maquiagem"", REGEXM"&amp;"ATCH(LOWER(A12), ""depil|epil""), ""Depilação"", REGEXMATCH(LOWER(A12), ""esmalteria|unha|nail|manicur|spa dos p[eé]s|kauu_nhas""), ""Manicure - Esmalteria"", REGEXMATCH(LOWER(A12), ""est[eé]tic|bronze|massot|terap|pilates|revitalize|dra""), ""Clínica de "&amp;"Estética"", TRUE, ""Salão de Beleza""))"),"Salão de Beleza")</f>
        <v>Salão de Beleza</v>
      </c>
    </row>
    <row r="12">
      <c r="A12" s="1" t="s">
        <v>75</v>
      </c>
      <c r="D12" s="1" t="s">
        <v>76</v>
      </c>
      <c r="E12" s="1" t="s">
        <v>77</v>
      </c>
      <c r="F12" s="1" t="s">
        <v>78</v>
      </c>
      <c r="G12" s="1" t="s">
        <v>15</v>
      </c>
      <c r="H12" s="2" t="s">
        <v>79</v>
      </c>
      <c r="I12" s="1" t="s">
        <v>53</v>
      </c>
    </row>
    <row r="13">
      <c r="A13" s="1" t="s">
        <v>80</v>
      </c>
      <c r="B13" s="1" t="s">
        <v>81</v>
      </c>
      <c r="C13" s="1" t="s">
        <v>82</v>
      </c>
      <c r="D13" s="1" t="s">
        <v>83</v>
      </c>
      <c r="E13" s="1" t="s">
        <v>84</v>
      </c>
      <c r="F13" s="1" t="s">
        <v>85</v>
      </c>
      <c r="G13" s="1" t="s">
        <v>15</v>
      </c>
      <c r="H13" s="2" t="s">
        <v>86</v>
      </c>
      <c r="I13" s="3" t="str">
        <f>IFERROR(__xludf.DUMMYFUNCTION("IF(A14="""", """", IFS(REGEXMATCH(LOWER(A14), ""barbearia|barber""), ""Barbearia"", REGEXMATCH(LOWER(A14), ""sobrancelh|c[ií]lio|lash|micropigment|showbrancelhas""), ""Sobrancelhas e Cílios"", REGEXMATCH(LOWER(A14), ""maquia|make""), ""Maquiagem"", REGEXM"&amp;"ATCH(LOWER(A14), ""depil|epil""), ""Depilação"", REGEXMATCH(LOWER(A14), ""esmalteria|unha|nail|manicur|spa dos p[eé]s|kauu_nhas""), ""Manicure - Esmalteria"", REGEXMATCH(LOWER(A14), ""est[eé]tic|bronze|massot|terap|pilates|revitalize|dra""), ""Clínica de "&amp;"Estética"", TRUE, ""Salão de Beleza""))"),"Salão de Beleza")</f>
        <v>Salão de Beleza</v>
      </c>
    </row>
    <row r="14">
      <c r="A14" s="1" t="s">
        <v>87</v>
      </c>
      <c r="B14" s="1" t="s">
        <v>88</v>
      </c>
      <c r="C14" s="1" t="s">
        <v>89</v>
      </c>
      <c r="D14" s="1" t="s">
        <v>90</v>
      </c>
      <c r="E14" s="1" t="s">
        <v>91</v>
      </c>
      <c r="F14" s="1" t="s">
        <v>92</v>
      </c>
      <c r="G14" s="1" t="s">
        <v>15</v>
      </c>
      <c r="H14" s="2" t="s">
        <v>93</v>
      </c>
      <c r="I14" s="3" t="str">
        <f>IFERROR(__xludf.DUMMYFUNCTION("IF(A15="""", """", IFS(REGEXMATCH(LOWER(A15), ""barbearia|barber""), ""Barbearia"", REGEXMATCH(LOWER(A15), ""sobrancelh|c[ií]lio|lash|micropigment|showbrancelhas""), ""Sobrancelhas e Cílios"", REGEXMATCH(LOWER(A15), ""maquia|make""), ""Maquiagem"", REGEXM"&amp;"ATCH(LOWER(A15), ""depil|epil""), ""Depilação"", REGEXMATCH(LOWER(A15), ""esmalteria|unha|nail|manicur|spa dos p[eé]s|kauu_nhas""), ""Manicure - Esmalteria"", REGEXMATCH(LOWER(A15), ""est[eé]tic|bronze|massot|terap|pilates|revitalize|dra""), ""Clínica de "&amp;"Estética"", TRUE, ""Salão de Beleza""))"),"Salão de Beleza")</f>
        <v>Salão de Beleza</v>
      </c>
    </row>
    <row r="15">
      <c r="A15" s="1" t="s">
        <v>94</v>
      </c>
      <c r="D15" s="1" t="s">
        <v>76</v>
      </c>
      <c r="E15" s="1" t="s">
        <v>95</v>
      </c>
      <c r="F15" s="1" t="s">
        <v>96</v>
      </c>
      <c r="G15" s="1" t="s">
        <v>15</v>
      </c>
      <c r="H15" s="2" t="s">
        <v>97</v>
      </c>
      <c r="I15" s="3" t="str">
        <f>IFERROR(__xludf.DUMMYFUNCTION("IF(A16="""", """", IFS(REGEXMATCH(LOWER(A16), ""barbearia|barber""), ""Barbearia"", REGEXMATCH(LOWER(A16), ""sobrancelh|c[ií]lio|lash|micropigment|showbrancelhas""), ""Sobrancelhas e Cílios"", REGEXMATCH(LOWER(A16), ""maquia|make""), ""Maquiagem"", REGEXM"&amp;"ATCH(LOWER(A16), ""depil|epil""), ""Depilação"", REGEXMATCH(LOWER(A16), ""esmalteria|unha|nail|manicur|spa dos p[eé]s|kauu_nhas""), ""Manicure - Esmalteria"", REGEXMATCH(LOWER(A16), ""est[eé]tic|bronze|massot|terap|pilates|revitalize|dra""), ""Clínica de "&amp;"Estética"", TRUE, ""Salão de Beleza""))"),"Salão de Beleza")</f>
        <v>Salão de Beleza</v>
      </c>
    </row>
    <row r="16">
      <c r="A16" s="1" t="s">
        <v>98</v>
      </c>
      <c r="B16" s="1" t="s">
        <v>99</v>
      </c>
      <c r="C16" s="1" t="s">
        <v>100</v>
      </c>
      <c r="D16" s="1" t="s">
        <v>101</v>
      </c>
      <c r="E16" s="1" t="s">
        <v>102</v>
      </c>
      <c r="F16" s="1" t="s">
        <v>103</v>
      </c>
      <c r="G16" s="1" t="s">
        <v>15</v>
      </c>
      <c r="H16" s="2" t="s">
        <v>104</v>
      </c>
      <c r="I16" s="1" t="s">
        <v>53</v>
      </c>
    </row>
    <row r="17">
      <c r="A17" s="1" t="s">
        <v>105</v>
      </c>
      <c r="B17" s="1" t="s">
        <v>106</v>
      </c>
      <c r="C17" s="1" t="s">
        <v>107</v>
      </c>
      <c r="D17" s="1" t="s">
        <v>108</v>
      </c>
      <c r="E17" s="1" t="s">
        <v>109</v>
      </c>
      <c r="F17" s="1" t="s">
        <v>110</v>
      </c>
      <c r="G17" s="1" t="s">
        <v>15</v>
      </c>
      <c r="H17" s="2" t="s">
        <v>111</v>
      </c>
      <c r="I17" s="1" t="s">
        <v>112</v>
      </c>
    </row>
    <row r="18">
      <c r="A18" s="1" t="s">
        <v>113</v>
      </c>
      <c r="B18" s="1" t="s">
        <v>114</v>
      </c>
      <c r="C18" s="1" t="s">
        <v>115</v>
      </c>
      <c r="D18" s="1" t="s">
        <v>116</v>
      </c>
      <c r="E18" s="1" t="s">
        <v>117</v>
      </c>
      <c r="F18" s="1" t="s">
        <v>118</v>
      </c>
      <c r="G18" s="1" t="s">
        <v>15</v>
      </c>
      <c r="H18" s="2" t="s">
        <v>119</v>
      </c>
      <c r="I18" s="1" t="s">
        <v>61</v>
      </c>
    </row>
    <row r="19">
      <c r="A19" s="1" t="s">
        <v>120</v>
      </c>
      <c r="B19" s="1" t="s">
        <v>121</v>
      </c>
      <c r="C19" s="1" t="s">
        <v>122</v>
      </c>
      <c r="D19" s="1" t="s">
        <v>123</v>
      </c>
      <c r="E19" s="1" t="s">
        <v>124</v>
      </c>
      <c r="F19" s="1" t="s">
        <v>125</v>
      </c>
      <c r="G19" s="1" t="s">
        <v>15</v>
      </c>
      <c r="H19" s="2" t="s">
        <v>126</v>
      </c>
      <c r="I19" s="1" t="s">
        <v>127</v>
      </c>
    </row>
    <row r="20">
      <c r="A20" s="1" t="s">
        <v>128</v>
      </c>
      <c r="B20" s="1" t="s">
        <v>129</v>
      </c>
      <c r="C20" s="1" t="s">
        <v>130</v>
      </c>
      <c r="D20" s="1" t="s">
        <v>131</v>
      </c>
      <c r="E20" s="1" t="s">
        <v>132</v>
      </c>
      <c r="F20" s="1" t="s">
        <v>133</v>
      </c>
      <c r="G20" s="1" t="s">
        <v>15</v>
      </c>
      <c r="H20" s="2" t="s">
        <v>134</v>
      </c>
      <c r="I20" s="1" t="s">
        <v>53</v>
      </c>
    </row>
    <row r="21">
      <c r="A21" s="1" t="s">
        <v>135</v>
      </c>
      <c r="B21" s="1" t="s">
        <v>136</v>
      </c>
      <c r="C21" s="1" t="s">
        <v>137</v>
      </c>
      <c r="D21" s="1" t="s">
        <v>138</v>
      </c>
      <c r="E21" s="1" t="s">
        <v>139</v>
      </c>
      <c r="F21" s="1" t="s">
        <v>140</v>
      </c>
      <c r="G21" s="1" t="s">
        <v>15</v>
      </c>
      <c r="H21" s="2" t="s">
        <v>141</v>
      </c>
      <c r="I21" s="1" t="s">
        <v>61</v>
      </c>
    </row>
    <row r="22">
      <c r="A22" s="1" t="s">
        <v>142</v>
      </c>
      <c r="D22" s="1" t="s">
        <v>143</v>
      </c>
      <c r="E22" s="1" t="s">
        <v>144</v>
      </c>
      <c r="F22" s="1" t="s">
        <v>145</v>
      </c>
      <c r="G22" s="1" t="s">
        <v>15</v>
      </c>
      <c r="H22" s="2" t="s">
        <v>146</v>
      </c>
      <c r="I22" s="3" t="str">
        <f>IFERROR(__xludf.DUMMYFUNCTION("IF(A23="""", """", IFS(REGEXMATCH(LOWER(A23), ""barbearia|barber""), ""Barbearia"", REGEXMATCH(LOWER(A23), ""sobrancelh|c[ií]lio|lash|micropigment|showbrancelhas""), ""Sobrancelhas e Cílios"", REGEXMATCH(LOWER(A23), ""maquia|make""), ""Maquiagem"", REGEXM"&amp;"ATCH(LOWER(A23), ""depil|epil""), ""Depilação"", REGEXMATCH(LOWER(A23), ""esmalteria|unha|nail|manicur|spa dos p[eé]s|kauu_nhas""), ""Manicure - Esmalteria"", REGEXMATCH(LOWER(A23), ""est[eé]tic|bronze|massot|terap|pilates|revitalize|dra""), ""Clínica de "&amp;"Estética"", TRUE, ""Salão de Beleza""))"),"Salão de Beleza")</f>
        <v>Salão de Beleza</v>
      </c>
    </row>
    <row r="23">
      <c r="A23" s="1" t="s">
        <v>147</v>
      </c>
      <c r="B23" s="1" t="s">
        <v>148</v>
      </c>
      <c r="C23" s="1" t="s">
        <v>149</v>
      </c>
      <c r="D23" s="1" t="s">
        <v>150</v>
      </c>
      <c r="E23" s="1" t="s">
        <v>151</v>
      </c>
      <c r="F23" s="1" t="s">
        <v>152</v>
      </c>
      <c r="G23" s="1" t="s">
        <v>15</v>
      </c>
      <c r="H23" s="2" t="s">
        <v>153</v>
      </c>
      <c r="I23" s="3" t="str">
        <f>IFERROR(__xludf.DUMMYFUNCTION("IF(A24="""", """", IFS(REGEXMATCH(LOWER(A24), ""barbearia|barber""), ""Barbearia"", REGEXMATCH(LOWER(A24), ""sobrancelh|c[ií]lio|lash|micropigment|showbrancelhas""), ""Sobrancelhas e Cílios"", REGEXMATCH(LOWER(A24), ""maquia|make""), ""Maquiagem"", REGEXM"&amp;"ATCH(LOWER(A24), ""depil|epil""), ""Depilação"", REGEXMATCH(LOWER(A24), ""esmalteria|unha|nail|manicur|spa dos p[eé]s|kauu_nhas""), ""Manicure - Esmalteria"", REGEXMATCH(LOWER(A24), ""est[eé]tic|bronze|massot|terap|pilates|revitalize|dra""), ""Clínica de "&amp;"Estética"", TRUE, ""Salão de Beleza""))"),"Salão de Beleza")</f>
        <v>Salão de Beleza</v>
      </c>
    </row>
    <row r="24">
      <c r="A24" s="1" t="s">
        <v>154</v>
      </c>
      <c r="B24" s="1" t="s">
        <v>155</v>
      </c>
      <c r="C24" s="1" t="s">
        <v>156</v>
      </c>
      <c r="D24" s="1" t="s">
        <v>157</v>
      </c>
      <c r="E24" s="1" t="s">
        <v>158</v>
      </c>
      <c r="F24" s="1" t="s">
        <v>159</v>
      </c>
      <c r="G24" s="1" t="s">
        <v>15</v>
      </c>
      <c r="H24" s="2" t="s">
        <v>160</v>
      </c>
      <c r="I24" s="3" t="str">
        <f>IFERROR(__xludf.DUMMYFUNCTION("IF(A25="""", """", IFS(REGEXMATCH(LOWER(A25), ""barbearia|barber""), ""Barbearia"", REGEXMATCH(LOWER(A25), ""sobrancelh|c[ií]lio|lash|micropigment|showbrancelhas""), ""Sobrancelhas e Cílios"", REGEXMATCH(LOWER(A25), ""maquia|make""), ""Maquiagem"", REGEXM"&amp;"ATCH(LOWER(A25), ""depil|epil""), ""Depilação"", REGEXMATCH(LOWER(A25), ""esmalteria|unha|nail|manicur|spa dos p[eé]s|kauu_nhas""), ""Manicure - Esmalteria"", REGEXMATCH(LOWER(A25), ""est[eé]tic|bronze|massot|terap|pilates|revitalize|dra""), ""Clínica de "&amp;"Estética"", TRUE, ""Salão de Beleza""))"),"Salão de Beleza")</f>
        <v>Salão de Beleza</v>
      </c>
    </row>
    <row r="25">
      <c r="A25" s="1" t="s">
        <v>161</v>
      </c>
      <c r="D25" s="1" t="s">
        <v>76</v>
      </c>
      <c r="E25" s="1" t="s">
        <v>162</v>
      </c>
      <c r="F25" s="1" t="s">
        <v>163</v>
      </c>
      <c r="G25" s="1" t="s">
        <v>15</v>
      </c>
      <c r="H25" s="2" t="s">
        <v>164</v>
      </c>
      <c r="I25" s="3" t="str">
        <f>IFERROR(__xludf.DUMMYFUNCTION("IF(A26="""", """", IFS(REGEXMATCH(LOWER(A26), ""barbearia|barber""), ""Barbearia"", REGEXMATCH(LOWER(A26), ""sobrancelh|c[ií]lio|lash|micropigment|showbrancelhas""), ""Sobrancelhas e Cílios"", REGEXMATCH(LOWER(A26), ""maquia|make""), ""Maquiagem"", REGEXM"&amp;"ATCH(LOWER(A26), ""depil|epil""), ""Depilação"", REGEXMATCH(LOWER(A26), ""esmalteria|unha|nail|manicur|spa dos p[eé]s|kauu_nhas""), ""Manicure - Esmalteria"", REGEXMATCH(LOWER(A26), ""est[eé]tic|bronze|massot|terap|pilates|revitalize|dra""), ""Clínica de "&amp;"Estética"", TRUE, ""Salão de Beleza""))"),"Salão de Beleza")</f>
        <v>Salão de Beleza</v>
      </c>
    </row>
    <row r="26">
      <c r="A26" s="1" t="s">
        <v>165</v>
      </c>
      <c r="B26" s="1" t="s">
        <v>166</v>
      </c>
      <c r="C26" s="1" t="s">
        <v>167</v>
      </c>
      <c r="D26" s="1" t="s">
        <v>168</v>
      </c>
      <c r="E26" s="1" t="s">
        <v>169</v>
      </c>
      <c r="F26" s="1" t="s">
        <v>170</v>
      </c>
      <c r="G26" s="1" t="s">
        <v>15</v>
      </c>
      <c r="H26" s="2" t="s">
        <v>171</v>
      </c>
      <c r="I26" s="3" t="str">
        <f>IFERROR(__xludf.DUMMYFUNCTION("IF(A27="""", """", IFS(REGEXMATCH(LOWER(A27), ""barbearia|barber""), ""Barbearia"", REGEXMATCH(LOWER(A27), ""sobrancelh|c[ií]lio|lash|micropigment|showbrancelhas""), ""Sobrancelhas e Cílios"", REGEXMATCH(LOWER(A27), ""maquia|make""), ""Maquiagem"", REGEXM"&amp;"ATCH(LOWER(A27), ""depil|epil""), ""Depilação"", REGEXMATCH(LOWER(A27), ""esmalteria|unha|nail|manicur|spa dos p[eé]s|kauu_nhas""), ""Manicure - Esmalteria"", REGEXMATCH(LOWER(A27), ""est[eé]tic|bronze|massot|terap|pilates|revitalize|dra""), ""Clínica de "&amp;"Estética"", TRUE, ""Salão de Beleza""))"),"Salão de Beleza")</f>
        <v>Salão de Beleza</v>
      </c>
    </row>
    <row r="27">
      <c r="A27" s="1" t="s">
        <v>172</v>
      </c>
      <c r="B27" s="1" t="s">
        <v>173</v>
      </c>
      <c r="C27" s="1" t="s">
        <v>174</v>
      </c>
      <c r="D27" s="1" t="s">
        <v>175</v>
      </c>
      <c r="E27" s="1" t="s">
        <v>176</v>
      </c>
      <c r="F27" s="1" t="s">
        <v>177</v>
      </c>
      <c r="G27" s="1" t="s">
        <v>15</v>
      </c>
      <c r="H27" s="2" t="s">
        <v>178</v>
      </c>
      <c r="I27" s="3" t="str">
        <f>IFERROR(__xludf.DUMMYFUNCTION("IF(A28="""", """", IFS(REGEXMATCH(LOWER(A28), ""barbearia|barber""), ""Barbearia"", REGEXMATCH(LOWER(A28), ""sobrancelh|c[ií]lio|lash|micropigment|showbrancelhas""), ""Sobrancelhas e Cílios"", REGEXMATCH(LOWER(A28), ""maquia|make""), ""Maquiagem"", REGEXM"&amp;"ATCH(LOWER(A28), ""depil|epil""), ""Depilação"", REGEXMATCH(LOWER(A28), ""esmalteria|unha|nail|manicur|spa dos p[eé]s|kauu_nhas""), ""Manicure - Esmalteria"", REGEXMATCH(LOWER(A28), ""est[eé]tic|bronze|massot|terap|pilates|revitalize|dra""), ""Clínica de "&amp;"Estética"", TRUE, ""Salão de Beleza""))"),"Barbearia")</f>
        <v>Barbearia</v>
      </c>
    </row>
    <row r="28">
      <c r="A28" s="1" t="s">
        <v>179</v>
      </c>
      <c r="B28" s="1" t="s">
        <v>180</v>
      </c>
      <c r="C28" s="1" t="s">
        <v>181</v>
      </c>
      <c r="D28" s="1" t="s">
        <v>182</v>
      </c>
      <c r="E28" s="1" t="s">
        <v>183</v>
      </c>
      <c r="F28" s="1" t="s">
        <v>184</v>
      </c>
      <c r="G28" s="1" t="s">
        <v>15</v>
      </c>
      <c r="H28" s="2" t="s">
        <v>185</v>
      </c>
      <c r="I28" s="1" t="s">
        <v>186</v>
      </c>
    </row>
    <row r="29">
      <c r="A29" s="1" t="s">
        <v>187</v>
      </c>
      <c r="B29" s="1" t="s">
        <v>188</v>
      </c>
      <c r="C29" s="1" t="s">
        <v>189</v>
      </c>
      <c r="D29" s="1" t="s">
        <v>190</v>
      </c>
      <c r="E29" s="1" t="s">
        <v>191</v>
      </c>
      <c r="F29" s="1" t="s">
        <v>192</v>
      </c>
      <c r="G29" s="1" t="s">
        <v>15</v>
      </c>
      <c r="H29" s="2" t="s">
        <v>193</v>
      </c>
      <c r="I29" s="1" t="s">
        <v>194</v>
      </c>
    </row>
    <row r="30">
      <c r="A30" s="1" t="s">
        <v>195</v>
      </c>
      <c r="B30" s="1" t="s">
        <v>196</v>
      </c>
      <c r="C30" s="1" t="s">
        <v>197</v>
      </c>
      <c r="D30" s="1" t="s">
        <v>198</v>
      </c>
      <c r="E30" s="1" t="s">
        <v>199</v>
      </c>
      <c r="F30" s="1" t="s">
        <v>200</v>
      </c>
      <c r="G30" s="1" t="s">
        <v>15</v>
      </c>
      <c r="H30" s="2" t="s">
        <v>201</v>
      </c>
      <c r="I30" s="3" t="str">
        <f>IFERROR(__xludf.DUMMYFUNCTION("IF(A31="""", """", IFS(REGEXMATCH(LOWER(A31), ""barbearia|barber""), ""Barbearia"", REGEXMATCH(LOWER(A31), ""sobrancelh|c[ií]lio|lash|micropigment|showbrancelhas""), ""Sobrancelhas e Cílios"", REGEXMATCH(LOWER(A31), ""maquia|make""), ""Maquiagem"", REGEXM"&amp;"ATCH(LOWER(A31), ""depil|epil""), ""Depilação"", REGEXMATCH(LOWER(A31), ""esmalteria|unha|nail|manicur|spa dos p[eé]s|kauu_nhas""), ""Manicure - Esmalteria"", REGEXMATCH(LOWER(A31), ""est[eé]tic|bronze|massot|terap|pilates|revitalize|dra""), ""Clínica de "&amp;"Estética"", TRUE, ""Salão de Beleza""))"),"Maquiagem")</f>
        <v>Maquiagem</v>
      </c>
    </row>
    <row r="31">
      <c r="A31" s="1" t="s">
        <v>202</v>
      </c>
      <c r="B31" s="1" t="s">
        <v>203</v>
      </c>
      <c r="C31" s="1" t="s">
        <v>204</v>
      </c>
      <c r="D31" s="1" t="s">
        <v>205</v>
      </c>
      <c r="E31" s="1" t="s">
        <v>206</v>
      </c>
      <c r="F31" s="1" t="s">
        <v>207</v>
      </c>
      <c r="G31" s="1" t="s">
        <v>15</v>
      </c>
      <c r="H31" s="2" t="s">
        <v>208</v>
      </c>
      <c r="I31" s="3" t="str">
        <f>IFERROR(__xludf.DUMMYFUNCTION("IF(A32="""", """", IFS(REGEXMATCH(LOWER(A32), ""barbearia|barber""), ""Barbearia"", REGEXMATCH(LOWER(A32), ""sobrancelh|c[ií]lio|lash|micropigment|showbrancelhas""), ""Sobrancelhas e Cílios"", REGEXMATCH(LOWER(A32), ""maquia|make""), ""Maquiagem"", REGEXM"&amp;"ATCH(LOWER(A32), ""depil|epil""), ""Depilação"", REGEXMATCH(LOWER(A32), ""esmalteria|unha|nail|manicur|spa dos p[eé]s|kauu_nhas""), ""Manicure - Esmalteria"", REGEXMATCH(LOWER(A32), ""est[eé]tic|bronze|massot|terap|pilates|revitalize|dra""), ""Clínica de "&amp;"Estética"", TRUE, ""Salão de Beleza""))"),"Maquiagem")</f>
        <v>Maquiagem</v>
      </c>
    </row>
    <row r="32">
      <c r="A32" s="1" t="s">
        <v>209</v>
      </c>
      <c r="B32" s="1" t="s">
        <v>210</v>
      </c>
      <c r="C32" s="1" t="s">
        <v>211</v>
      </c>
      <c r="D32" s="1" t="s">
        <v>212</v>
      </c>
      <c r="E32" s="1" t="s">
        <v>213</v>
      </c>
      <c r="F32" s="1" t="s">
        <v>214</v>
      </c>
      <c r="G32" s="1" t="s">
        <v>15</v>
      </c>
      <c r="H32" s="2" t="s">
        <v>215</v>
      </c>
      <c r="I32" s="3" t="str">
        <f>IFERROR(__xludf.DUMMYFUNCTION("IF(A33="""", """", IFS(REGEXMATCH(LOWER(A33), ""barbearia|barber""), ""Barbearia"", REGEXMATCH(LOWER(A33), ""sobrancelh|c[ií]lio|lash|micropigment|showbrancelhas""), ""Sobrancelhas e Cílios"", REGEXMATCH(LOWER(A33), ""maquia|make""), ""Maquiagem"", REGEXM"&amp;"ATCH(LOWER(A33), ""depil|epil""), ""Depilação"", REGEXMATCH(LOWER(A33), ""esmalteria|unha|nail|manicur|spa dos p[eé]s|kauu_nhas""), ""Manicure - Esmalteria"", REGEXMATCH(LOWER(A33), ""est[eé]tic|bronze|massot|terap|pilates|revitalize|dra""), ""Clínica de "&amp;"Estética"", TRUE, ""Salão de Beleza""))"),"Salão de Beleza")</f>
        <v>Salão de Beleza</v>
      </c>
    </row>
    <row r="33">
      <c r="A33" s="1" t="s">
        <v>216</v>
      </c>
      <c r="D33" s="1" t="s">
        <v>217</v>
      </c>
      <c r="E33" s="1" t="s">
        <v>218</v>
      </c>
      <c r="F33" s="1" t="s">
        <v>219</v>
      </c>
      <c r="G33" s="1" t="s">
        <v>15</v>
      </c>
      <c r="H33" s="2" t="s">
        <v>220</v>
      </c>
      <c r="I33" s="3" t="str">
        <f>IFERROR(__xludf.DUMMYFUNCTION("IF(A34="""", """", IFS(REGEXMATCH(LOWER(A34), ""barbearia|barber""), ""Barbearia"", REGEXMATCH(LOWER(A34), ""sobrancelh|c[ií]lio|lash|micropigment|showbrancelhas""), ""Sobrancelhas e Cílios"", REGEXMATCH(LOWER(A34), ""maquia|make""), ""Maquiagem"", REGEXM"&amp;"ATCH(LOWER(A34), ""depil|epil""), ""Depilação"", REGEXMATCH(LOWER(A34), ""esmalteria|unha|nail|manicur|spa dos p[eé]s|kauu_nhas""), ""Manicure - Esmalteria"", REGEXMATCH(LOWER(A34), ""est[eé]tic|bronze|massot|terap|pilates|revitalize|dra""), ""Clínica de "&amp;"Estética"", TRUE, ""Salão de Beleza""))"),"Salão de Beleza")</f>
        <v>Salão de Beleza</v>
      </c>
    </row>
    <row r="34">
      <c r="A34" s="1" t="s">
        <v>221</v>
      </c>
      <c r="D34" s="1" t="s">
        <v>76</v>
      </c>
      <c r="E34" s="1" t="s">
        <v>222</v>
      </c>
      <c r="F34" s="1" t="s">
        <v>223</v>
      </c>
      <c r="G34" s="1" t="s">
        <v>15</v>
      </c>
      <c r="H34" s="2" t="s">
        <v>224</v>
      </c>
      <c r="I34" s="3" t="str">
        <f>IFERROR(__xludf.DUMMYFUNCTION("IF(A35="""", """", IFS(REGEXMATCH(LOWER(A35), ""barbearia|barber""), ""Barbearia"", REGEXMATCH(LOWER(A35), ""sobrancelh|c[ií]lio|lash|micropigment|showbrancelhas""), ""Sobrancelhas e Cílios"", REGEXMATCH(LOWER(A35), ""maquia|make""), ""Maquiagem"", REGEXM"&amp;"ATCH(LOWER(A35), ""depil|epil""), ""Depilação"", REGEXMATCH(LOWER(A35), ""esmalteria|unha|nail|manicur|spa dos p[eé]s|kauu_nhas""), ""Manicure - Esmalteria"", REGEXMATCH(LOWER(A35), ""est[eé]tic|bronze|massot|terap|pilates|revitalize|dra""), ""Clínica de "&amp;"Estética"", TRUE, ""Salão de Beleza""))"),"Salão de Beleza")</f>
        <v>Salão de Beleza</v>
      </c>
    </row>
    <row r="35">
      <c r="A35" s="1" t="s">
        <v>225</v>
      </c>
      <c r="B35" s="1" t="s">
        <v>226</v>
      </c>
      <c r="C35" s="1" t="s">
        <v>227</v>
      </c>
      <c r="D35" s="1" t="s">
        <v>228</v>
      </c>
      <c r="E35" s="1" t="s">
        <v>229</v>
      </c>
      <c r="F35" s="1" t="s">
        <v>230</v>
      </c>
      <c r="G35" s="1" t="s">
        <v>15</v>
      </c>
      <c r="H35" s="2" t="s">
        <v>231</v>
      </c>
      <c r="I35" s="3" t="str">
        <f>IFERROR(__xludf.DUMMYFUNCTION("IF(A36="""", """", IFS(REGEXMATCH(LOWER(A36), ""barbearia|barber""), ""Barbearia"", REGEXMATCH(LOWER(A36), ""sobrancelh|c[ií]lio|lash|micropigment|showbrancelhas""), ""Sobrancelhas e Cílios"", REGEXMATCH(LOWER(A36), ""maquia|make""), ""Maquiagem"", REGEXM"&amp;"ATCH(LOWER(A36), ""depil|epil""), ""Depilação"", REGEXMATCH(LOWER(A36), ""esmalteria|unha|nail|manicur|spa dos p[eé]s|kauu_nhas""), ""Manicure - Esmalteria"", REGEXMATCH(LOWER(A36), ""est[eé]tic|bronze|massot|terap|pilates|revitalize|dra""), ""Clínica de "&amp;"Estética"", TRUE, ""Salão de Beleza""))"),"Salão de Beleza")</f>
        <v>Salão de Beleza</v>
      </c>
    </row>
    <row r="36">
      <c r="A36" s="1" t="s">
        <v>232</v>
      </c>
      <c r="D36" s="1" t="s">
        <v>233</v>
      </c>
      <c r="E36" s="1" t="s">
        <v>234</v>
      </c>
      <c r="F36" s="1" t="s">
        <v>235</v>
      </c>
      <c r="G36" s="1" t="s">
        <v>15</v>
      </c>
      <c r="H36" s="2" t="s">
        <v>236</v>
      </c>
      <c r="I36" s="3" t="str">
        <f>IFERROR(__xludf.DUMMYFUNCTION("IF(A37="""", """", IFS(REGEXMATCH(LOWER(A37), ""barbearia|barber""), ""Barbearia"", REGEXMATCH(LOWER(A37), ""sobrancelh|c[ií]lio|lash|micropigment|showbrancelhas""), ""Sobrancelhas e Cílios"", REGEXMATCH(LOWER(A37), ""maquia|make""), ""Maquiagem"", REGEXM"&amp;"ATCH(LOWER(A37), ""depil|epil""), ""Depilação"", REGEXMATCH(LOWER(A37), ""esmalteria|unha|nail|manicur|spa dos p[eé]s|kauu_nhas""), ""Manicure - Esmalteria"", REGEXMATCH(LOWER(A37), ""est[eé]tic|bronze|massot|terap|pilates|revitalize|dra""), ""Clínica de "&amp;"Estética"", TRUE, ""Salão de Beleza""))"),"Salão de Beleza")</f>
        <v>Salão de Beleza</v>
      </c>
    </row>
    <row r="37">
      <c r="A37" s="1" t="s">
        <v>237</v>
      </c>
      <c r="D37" s="1" t="s">
        <v>238</v>
      </c>
      <c r="E37" s="1" t="s">
        <v>239</v>
      </c>
      <c r="F37" s="1" t="s">
        <v>240</v>
      </c>
      <c r="G37" s="1" t="s">
        <v>15</v>
      </c>
      <c r="H37" s="2" t="s">
        <v>241</v>
      </c>
      <c r="I37" s="1" t="s">
        <v>53</v>
      </c>
    </row>
    <row r="38">
      <c r="A38" s="1" t="s">
        <v>242</v>
      </c>
      <c r="B38" s="1" t="s">
        <v>243</v>
      </c>
      <c r="C38" s="1" t="s">
        <v>244</v>
      </c>
      <c r="D38" s="1" t="s">
        <v>245</v>
      </c>
      <c r="E38" s="1" t="s">
        <v>246</v>
      </c>
      <c r="F38" s="1" t="s">
        <v>247</v>
      </c>
      <c r="G38" s="1" t="s">
        <v>15</v>
      </c>
      <c r="H38" s="2" t="s">
        <v>248</v>
      </c>
      <c r="I38" s="3" t="str">
        <f>IFERROR(__xludf.DUMMYFUNCTION("IF(A39="""", """", IFS(REGEXMATCH(LOWER(A39), ""barbearia|barber""), ""Barbearia"", REGEXMATCH(LOWER(A39), ""sobrancelh|c[ií]lio|lash|micropigment|showbrancelhas""), ""Sobrancelhas e Cílios"", REGEXMATCH(LOWER(A39), ""maquia|make""), ""Maquiagem"", REGEXM"&amp;"ATCH(LOWER(A39), ""depil|epil""), ""Depilação"", REGEXMATCH(LOWER(A39), ""esmalteria|unha|nail|manicur|spa dos p[eé]s|kauu_nhas""), ""Manicure - Esmalteria"", REGEXMATCH(LOWER(A39), ""est[eé]tic|bronze|massot|terap|pilates|revitalize|dra""), ""Clínica de "&amp;"Estética"", TRUE, ""Salão de Beleza""))"),"Salão de Beleza")</f>
        <v>Salão de Beleza</v>
      </c>
    </row>
    <row r="39">
      <c r="A39" s="1" t="s">
        <v>249</v>
      </c>
      <c r="D39" s="1" t="s">
        <v>250</v>
      </c>
      <c r="E39" s="1" t="s">
        <v>251</v>
      </c>
      <c r="F39" s="1" t="s">
        <v>252</v>
      </c>
      <c r="G39" s="1" t="s">
        <v>15</v>
      </c>
      <c r="H39" s="2" t="s">
        <v>253</v>
      </c>
      <c r="I39" s="3" t="str">
        <f>IFERROR(__xludf.DUMMYFUNCTION("IF(A40="""", """", IFS(REGEXMATCH(LOWER(A40), ""barbearia|barber""), ""Barbearia"", REGEXMATCH(LOWER(A40), ""sobrancelh|c[ií]lio|lash|micropigment|showbrancelhas""), ""Sobrancelhas e Cílios"", REGEXMATCH(LOWER(A40), ""maquia|make""), ""Maquiagem"", REGEXM"&amp;"ATCH(LOWER(A40), ""depil|epil""), ""Depilação"", REGEXMATCH(LOWER(A40), ""esmalteria|unha|nail|manicur|spa dos p[eé]s|kauu_nhas""), ""Manicure - Esmalteria"", REGEXMATCH(LOWER(A40), ""est[eé]tic|bronze|massot|terap|pilates|revitalize|dra""), ""Clínica de "&amp;"Estética"", TRUE, ""Salão de Beleza""))"),"Salão de Beleza")</f>
        <v>Salão de Beleza</v>
      </c>
    </row>
    <row r="40">
      <c r="A40" s="1" t="s">
        <v>254</v>
      </c>
      <c r="D40" s="1" t="s">
        <v>255</v>
      </c>
      <c r="E40" s="1" t="s">
        <v>256</v>
      </c>
      <c r="F40" s="1" t="s">
        <v>257</v>
      </c>
      <c r="G40" s="1" t="s">
        <v>15</v>
      </c>
      <c r="H40" s="2" t="s">
        <v>258</v>
      </c>
      <c r="I40" s="3" t="str">
        <f>IFERROR(__xludf.DUMMYFUNCTION("IF(A41="""", """", IFS(REGEXMATCH(LOWER(A41), ""barbearia|barber""), ""Barbearia"", REGEXMATCH(LOWER(A41), ""sobrancelh|c[ií]lio|lash|micropigment|showbrancelhas""), ""Sobrancelhas e Cílios"", REGEXMATCH(LOWER(A41), ""maquia|make""), ""Maquiagem"", REGEXM"&amp;"ATCH(LOWER(A41), ""depil|epil""), ""Depilação"", REGEXMATCH(LOWER(A41), ""esmalteria|unha|nail|manicur|spa dos p[eé]s|kauu_nhas""), ""Manicure - Esmalteria"", REGEXMATCH(LOWER(A41), ""est[eé]tic|bronze|massot|terap|pilates|revitalize|dra""), ""Clínica de "&amp;"Estética"", TRUE, ""Salão de Beleza""))"),"Salão de Beleza")</f>
        <v>Salão de Beleza</v>
      </c>
    </row>
    <row r="41">
      <c r="A41" s="1" t="s">
        <v>259</v>
      </c>
      <c r="D41" s="1" t="s">
        <v>76</v>
      </c>
      <c r="E41" s="1" t="s">
        <v>260</v>
      </c>
      <c r="F41" s="1" t="s">
        <v>261</v>
      </c>
      <c r="G41" s="1" t="s">
        <v>15</v>
      </c>
      <c r="H41" s="2" t="s">
        <v>262</v>
      </c>
      <c r="I41" s="3" t="str">
        <f>IFERROR(__xludf.DUMMYFUNCTION("IF(A42="""", """", IFS(REGEXMATCH(LOWER(A42), ""barbearia|barber""), ""Barbearia"", REGEXMATCH(LOWER(A42), ""sobrancelh|c[ií]lio|lash|micropigment|showbrancelhas""), ""Sobrancelhas e Cílios"", REGEXMATCH(LOWER(A42), ""maquia|make""), ""Maquiagem"", REGEXM"&amp;"ATCH(LOWER(A42), ""depil|epil""), ""Depilação"", REGEXMATCH(LOWER(A42), ""esmalteria|unha|nail|manicur|spa dos p[eé]s|kauu_nhas""), ""Manicure - Esmalteria"", REGEXMATCH(LOWER(A42), ""est[eé]tic|bronze|massot|terap|pilates|revitalize|dra""), ""Clínica de "&amp;"Estética"", TRUE, ""Salão de Beleza""))"),"Salão de Beleza")</f>
        <v>Salão de Beleza</v>
      </c>
    </row>
    <row r="42">
      <c r="A42" s="1" t="s">
        <v>263</v>
      </c>
      <c r="B42" s="1" t="s">
        <v>264</v>
      </c>
      <c r="C42" s="1" t="s">
        <v>265</v>
      </c>
      <c r="D42" s="1" t="s">
        <v>266</v>
      </c>
      <c r="E42" s="1" t="s">
        <v>267</v>
      </c>
      <c r="F42" s="1" t="s">
        <v>268</v>
      </c>
      <c r="G42" s="1" t="s">
        <v>15</v>
      </c>
      <c r="H42" s="2" t="s">
        <v>269</v>
      </c>
      <c r="I42" s="3" t="str">
        <f>IFERROR(__xludf.DUMMYFUNCTION("IF(A43="""", """", IFS(REGEXMATCH(LOWER(A43), ""barbearia|barber""), ""Barbearia"", REGEXMATCH(LOWER(A43), ""sobrancelh|c[ií]lio|lash|micropigment|showbrancelhas""), ""Sobrancelhas e Cílios"", REGEXMATCH(LOWER(A43), ""maquia|make""), ""Maquiagem"", REGEXM"&amp;"ATCH(LOWER(A43), ""depil|epil""), ""Depilação"", REGEXMATCH(LOWER(A43), ""esmalteria|unha|nail|manicur|spa dos p[eé]s|kauu_nhas""), ""Manicure - Esmalteria"", REGEXMATCH(LOWER(A43), ""est[eé]tic|bronze|massot|terap|pilates|revitalize|dra""), ""Clínica de "&amp;"Estética"", TRUE, ""Salão de Beleza""))"),"Salão de Beleza")</f>
        <v>Salão de Beleza</v>
      </c>
    </row>
    <row r="43">
      <c r="A43" s="1" t="s">
        <v>270</v>
      </c>
      <c r="D43" s="1" t="s">
        <v>271</v>
      </c>
      <c r="E43" s="1" t="s">
        <v>272</v>
      </c>
      <c r="F43" s="1" t="s">
        <v>273</v>
      </c>
      <c r="G43" s="1" t="s">
        <v>15</v>
      </c>
      <c r="H43" s="2" t="s">
        <v>274</v>
      </c>
      <c r="I43" s="3" t="str">
        <f>IFERROR(__xludf.DUMMYFUNCTION("IF(A44="""", """", IFS(REGEXMATCH(LOWER(A44), ""barbearia|barber""), ""Barbearia"", REGEXMATCH(LOWER(A44), ""sobrancelh|c[ií]lio|lash|micropigment|showbrancelhas""), ""Sobrancelhas e Cílios"", REGEXMATCH(LOWER(A44), ""maquia|make""), ""Maquiagem"", REGEXM"&amp;"ATCH(LOWER(A44), ""depil|epil""), ""Depilação"", REGEXMATCH(LOWER(A44), ""esmalteria|unha|nail|manicur|spa dos p[eé]s|kauu_nhas""), ""Manicure - Esmalteria"", REGEXMATCH(LOWER(A44), ""est[eé]tic|bronze|massot|terap|pilates|revitalize|dra""), ""Clínica de "&amp;"Estética"", TRUE, ""Salão de Beleza""))"),"Salão de Beleza")</f>
        <v>Salão de Beleza</v>
      </c>
    </row>
    <row r="44">
      <c r="A44" s="1" t="s">
        <v>275</v>
      </c>
      <c r="D44" s="1" t="s">
        <v>276</v>
      </c>
      <c r="E44" s="1" t="s">
        <v>277</v>
      </c>
      <c r="F44" s="1" t="s">
        <v>278</v>
      </c>
      <c r="G44" s="1" t="s">
        <v>15</v>
      </c>
      <c r="H44" s="2" t="s">
        <v>279</v>
      </c>
      <c r="I44" s="3" t="str">
        <f>IFERROR(__xludf.DUMMYFUNCTION("IF(A45="""", """", IFS(REGEXMATCH(LOWER(A45), ""barbearia|barber""), ""Barbearia"", REGEXMATCH(LOWER(A45), ""sobrancelh|c[ií]lio|lash|micropigment|showbrancelhas""), ""Sobrancelhas e Cílios"", REGEXMATCH(LOWER(A45), ""maquia|make""), ""Maquiagem"", REGEXM"&amp;"ATCH(LOWER(A45), ""depil|epil""), ""Depilação"", REGEXMATCH(LOWER(A45), ""esmalteria|unha|nail|manicur|spa dos p[eé]s|kauu_nhas""), ""Manicure - Esmalteria"", REGEXMATCH(LOWER(A45), ""est[eé]tic|bronze|massot|terap|pilates|revitalize|dra""), ""Clínica de "&amp;"Estética"", TRUE, ""Salão de Beleza""))"),"Salão de Beleza")</f>
        <v>Salão de Beleza</v>
      </c>
    </row>
    <row r="45">
      <c r="A45" s="1" t="s">
        <v>280</v>
      </c>
      <c r="B45" s="1" t="s">
        <v>281</v>
      </c>
      <c r="C45" s="1" t="s">
        <v>282</v>
      </c>
      <c r="D45" s="1" t="s">
        <v>283</v>
      </c>
      <c r="E45" s="1" t="s">
        <v>284</v>
      </c>
      <c r="F45" s="1" t="s">
        <v>285</v>
      </c>
      <c r="G45" s="1" t="s">
        <v>15</v>
      </c>
      <c r="H45" s="2" t="s">
        <v>286</v>
      </c>
      <c r="I45" s="3" t="str">
        <f>IFERROR(__xludf.DUMMYFUNCTION("IF(A46="""", """", IFS(REGEXMATCH(LOWER(A46), ""barbearia|barber""), ""Barbearia"", REGEXMATCH(LOWER(A46), ""sobrancelh|c[ií]lio|lash|micropigment|showbrancelhas""), ""Sobrancelhas e Cílios"", REGEXMATCH(LOWER(A46), ""maquia|make""), ""Maquiagem"", REGEXM"&amp;"ATCH(LOWER(A46), ""depil|epil""), ""Depilação"", REGEXMATCH(LOWER(A46), ""esmalteria|unha|nail|manicur|spa dos p[eé]s|kauu_nhas""), ""Manicure - Esmalteria"", REGEXMATCH(LOWER(A46), ""est[eé]tic|bronze|massot|terap|pilates|revitalize|dra""), ""Clínica de "&amp;"Estética"", TRUE, ""Salão de Beleza""))"),"Salão de Beleza")</f>
        <v>Salão de Beleza</v>
      </c>
    </row>
    <row r="46">
      <c r="A46" s="1" t="s">
        <v>287</v>
      </c>
      <c r="B46" s="1" t="s">
        <v>288</v>
      </c>
      <c r="C46" s="1" t="s">
        <v>289</v>
      </c>
      <c r="D46" s="1" t="s">
        <v>290</v>
      </c>
      <c r="E46" s="1" t="s">
        <v>291</v>
      </c>
      <c r="F46" s="1" t="s">
        <v>292</v>
      </c>
      <c r="G46" s="1" t="s">
        <v>15</v>
      </c>
      <c r="H46" s="2" t="s">
        <v>293</v>
      </c>
      <c r="I46" s="3" t="str">
        <f>IFERROR(__xludf.DUMMYFUNCTION("IF(A47="""", """", IFS(REGEXMATCH(LOWER(A47), ""barbearia|barber""), ""Barbearia"", REGEXMATCH(LOWER(A47), ""sobrancelh|c[ií]lio|lash|micropigment|showbrancelhas""), ""Sobrancelhas e Cílios"", REGEXMATCH(LOWER(A47), ""maquia|make""), ""Maquiagem"", REGEXM"&amp;"ATCH(LOWER(A47), ""depil|epil""), ""Depilação"", REGEXMATCH(LOWER(A47), ""esmalteria|unha|nail|manicur|spa dos p[eé]s|kauu_nhas""), ""Manicure - Esmalteria"", REGEXMATCH(LOWER(A47), ""est[eé]tic|bronze|massot|terap|pilates|revitalize|dra""), ""Clínica de "&amp;"Estética"", TRUE, ""Salão de Beleza""))"),"Salão de Beleza")</f>
        <v>Salão de Beleza</v>
      </c>
    </row>
    <row r="47">
      <c r="A47" s="1" t="s">
        <v>294</v>
      </c>
      <c r="D47" s="1" t="s">
        <v>295</v>
      </c>
      <c r="E47" s="1" t="s">
        <v>296</v>
      </c>
      <c r="F47" s="1" t="s">
        <v>297</v>
      </c>
      <c r="G47" s="1" t="s">
        <v>15</v>
      </c>
      <c r="H47" s="2" t="s">
        <v>298</v>
      </c>
      <c r="I47" s="1" t="s">
        <v>53</v>
      </c>
    </row>
    <row r="48">
      <c r="A48" s="1" t="s">
        <v>299</v>
      </c>
      <c r="D48" s="1" t="s">
        <v>300</v>
      </c>
      <c r="E48" s="1" t="s">
        <v>301</v>
      </c>
      <c r="F48" s="1" t="s">
        <v>302</v>
      </c>
      <c r="G48" s="1" t="s">
        <v>15</v>
      </c>
      <c r="H48" s="2" t="s">
        <v>303</v>
      </c>
      <c r="I48" s="1" t="s">
        <v>304</v>
      </c>
    </row>
    <row r="49">
      <c r="A49" s="1" t="s">
        <v>305</v>
      </c>
      <c r="D49" s="1" t="s">
        <v>76</v>
      </c>
      <c r="E49" s="1" t="s">
        <v>306</v>
      </c>
      <c r="F49" s="1" t="s">
        <v>307</v>
      </c>
      <c r="G49" s="1" t="s">
        <v>15</v>
      </c>
      <c r="H49" s="2" t="s">
        <v>308</v>
      </c>
      <c r="I49" s="1" t="s">
        <v>53</v>
      </c>
    </row>
    <row r="50">
      <c r="A50" s="1" t="s">
        <v>309</v>
      </c>
      <c r="B50" s="1" t="s">
        <v>310</v>
      </c>
      <c r="C50" s="1" t="s">
        <v>311</v>
      </c>
      <c r="D50" s="1" t="s">
        <v>312</v>
      </c>
      <c r="E50" s="1" t="s">
        <v>313</v>
      </c>
      <c r="F50" s="1" t="s">
        <v>314</v>
      </c>
      <c r="G50" s="1" t="s">
        <v>15</v>
      </c>
      <c r="H50" s="2" t="s">
        <v>315</v>
      </c>
      <c r="I50" s="1" t="s">
        <v>53</v>
      </c>
    </row>
    <row r="51">
      <c r="A51" s="1" t="s">
        <v>316</v>
      </c>
      <c r="B51" s="1" t="s">
        <v>317</v>
      </c>
      <c r="C51" s="1" t="s">
        <v>318</v>
      </c>
      <c r="D51" s="1" t="s">
        <v>319</v>
      </c>
      <c r="E51" s="1" t="s">
        <v>320</v>
      </c>
      <c r="F51" s="1" t="s">
        <v>321</v>
      </c>
      <c r="G51" s="1" t="s">
        <v>15</v>
      </c>
      <c r="H51" s="2" t="s">
        <v>322</v>
      </c>
      <c r="I51" s="1" t="s">
        <v>61</v>
      </c>
    </row>
    <row r="52">
      <c r="A52" s="1" t="s">
        <v>323</v>
      </c>
      <c r="D52" s="1" t="s">
        <v>12</v>
      </c>
      <c r="E52" s="1" t="s">
        <v>324</v>
      </c>
      <c r="F52" s="1" t="s">
        <v>325</v>
      </c>
      <c r="G52" s="1" t="s">
        <v>15</v>
      </c>
      <c r="H52" s="2" t="s">
        <v>326</v>
      </c>
      <c r="I52" s="3" t="str">
        <f>IFERROR(__xludf.DUMMYFUNCTION("IF(A53="""", """", IFS(REGEXMATCH(LOWER(A53), ""barbearia|barber""), ""Barbearia"", REGEXMATCH(LOWER(A53), ""sobrancelh|c[ií]lio|lash|micropigment|showbrancelhas""), ""Sobrancelhas e Cílios"", REGEXMATCH(LOWER(A53), ""maquia|make""), ""Maquiagem"", REGEXM"&amp;"ATCH(LOWER(A53), ""depil|epil""), ""Depilação"", REGEXMATCH(LOWER(A53), ""esmalteria|unha|nail|manicur|spa dos p[eé]s|kauu_nhas""), ""Manicure - Esmalteria"", REGEXMATCH(LOWER(A53), ""est[eé]tic|bronze|massot|terap|pilates|revitalize|dra""), ""Clínica de "&amp;"Estética"", TRUE, ""Salão de Beleza""))"),"Salão de Beleza")</f>
        <v>Salão de Beleza</v>
      </c>
    </row>
    <row r="53">
      <c r="A53" s="1" t="s">
        <v>327</v>
      </c>
      <c r="D53" s="1" t="s">
        <v>328</v>
      </c>
      <c r="E53" s="1" t="s">
        <v>329</v>
      </c>
      <c r="F53" s="1" t="s">
        <v>330</v>
      </c>
      <c r="G53" s="1" t="s">
        <v>15</v>
      </c>
      <c r="H53" s="2" t="s">
        <v>331</v>
      </c>
      <c r="I53" s="1" t="s">
        <v>53</v>
      </c>
    </row>
    <row r="54">
      <c r="A54" s="1" t="s">
        <v>332</v>
      </c>
      <c r="D54" s="1" t="s">
        <v>333</v>
      </c>
      <c r="E54" s="1" t="s">
        <v>334</v>
      </c>
      <c r="F54" s="1" t="s">
        <v>335</v>
      </c>
      <c r="G54" s="1" t="s">
        <v>15</v>
      </c>
      <c r="H54" s="2" t="s">
        <v>336</v>
      </c>
      <c r="I54" s="1" t="s">
        <v>61</v>
      </c>
    </row>
    <row r="55">
      <c r="A55" s="1" t="s">
        <v>337</v>
      </c>
      <c r="B55" s="1" t="s">
        <v>338</v>
      </c>
      <c r="C55" s="1" t="s">
        <v>339</v>
      </c>
      <c r="D55" s="1" t="s">
        <v>340</v>
      </c>
      <c r="E55" s="1" t="s">
        <v>341</v>
      </c>
      <c r="F55" s="1" t="s">
        <v>342</v>
      </c>
      <c r="G55" s="1" t="s">
        <v>15</v>
      </c>
      <c r="H55" s="2" t="s">
        <v>343</v>
      </c>
      <c r="I55" s="1" t="s">
        <v>304</v>
      </c>
    </row>
    <row r="56">
      <c r="A56" s="1" t="s">
        <v>344</v>
      </c>
      <c r="D56" s="1" t="s">
        <v>345</v>
      </c>
      <c r="E56" s="1" t="s">
        <v>346</v>
      </c>
      <c r="F56" s="1" t="s">
        <v>347</v>
      </c>
      <c r="G56" s="1" t="s">
        <v>15</v>
      </c>
      <c r="H56" s="2" t="s">
        <v>348</v>
      </c>
      <c r="I56" s="3" t="str">
        <f>IFERROR(__xludf.DUMMYFUNCTION("IF(A57="""", """", IFS(REGEXMATCH(LOWER(A57), ""barbearia|barber""), ""Barbearia"", REGEXMATCH(LOWER(A57), ""sobrancelh|c[ií]lio|lash|micropigment|showbrancelhas""), ""Sobrancelhas e Cílios"", REGEXMATCH(LOWER(A57), ""maquia|make""), ""Maquiagem"", REGEXM"&amp;"ATCH(LOWER(A57), ""depil|epil""), ""Depilação"", REGEXMATCH(LOWER(A57), ""esmalteria|unha|nail|manicur|spa dos p[eé]s|kauu_nhas""), ""Manicure - Esmalteria"", REGEXMATCH(LOWER(A57), ""est[eé]tic|bronze|massot|terap|pilates|revitalize|dra""), ""Clínica de "&amp;"Estética"", TRUE, ""Salão de Beleza""))"),"Salão de Beleza")</f>
        <v>Salão de Beleza</v>
      </c>
    </row>
    <row r="57">
      <c r="A57" s="1" t="s">
        <v>349</v>
      </c>
      <c r="B57" s="1" t="s">
        <v>288</v>
      </c>
      <c r="C57" s="1" t="s">
        <v>289</v>
      </c>
      <c r="D57" s="1" t="s">
        <v>350</v>
      </c>
      <c r="E57" s="1" t="s">
        <v>351</v>
      </c>
      <c r="F57" s="1" t="s">
        <v>352</v>
      </c>
      <c r="G57" s="1" t="s">
        <v>15</v>
      </c>
      <c r="H57" s="2" t="s">
        <v>353</v>
      </c>
      <c r="I57" s="3" t="str">
        <f>IFERROR(__xludf.DUMMYFUNCTION("IF(A58="""", """", IFS(REGEXMATCH(LOWER(A58), ""barbearia|barber""), ""Barbearia"", REGEXMATCH(LOWER(A58), ""sobrancelh|c[ií]lio|lash|micropigment|showbrancelhas""), ""Sobrancelhas e Cílios"", REGEXMATCH(LOWER(A58), ""maquia|make""), ""Maquiagem"", REGEXM"&amp;"ATCH(LOWER(A58), ""depil|epil""), ""Depilação"", REGEXMATCH(LOWER(A58), ""esmalteria|unha|nail|manicur|spa dos p[eé]s|kauu_nhas""), ""Manicure - Esmalteria"", REGEXMATCH(LOWER(A58), ""est[eé]tic|bronze|massot|terap|pilates|revitalize|dra""), ""Clínica de "&amp;"Estética"", TRUE, ""Salão de Beleza""))"),"Salão de Beleza")</f>
        <v>Salão de Beleza</v>
      </c>
    </row>
    <row r="58">
      <c r="A58" s="1" t="s">
        <v>354</v>
      </c>
      <c r="D58" s="1" t="s">
        <v>355</v>
      </c>
      <c r="E58" s="1" t="s">
        <v>356</v>
      </c>
      <c r="F58" s="1" t="s">
        <v>357</v>
      </c>
      <c r="G58" s="1" t="s">
        <v>15</v>
      </c>
      <c r="H58" s="2" t="s">
        <v>358</v>
      </c>
      <c r="I58" s="1" t="s">
        <v>53</v>
      </c>
    </row>
    <row r="59">
      <c r="A59" s="1" t="s">
        <v>187</v>
      </c>
      <c r="D59" s="1" t="s">
        <v>359</v>
      </c>
      <c r="E59" s="1" t="s">
        <v>360</v>
      </c>
      <c r="F59" s="1" t="s">
        <v>361</v>
      </c>
      <c r="G59" s="1" t="s">
        <v>15</v>
      </c>
      <c r="H59" s="2" t="s">
        <v>362</v>
      </c>
      <c r="I59" s="1" t="s">
        <v>194</v>
      </c>
    </row>
    <row r="60">
      <c r="A60" s="1" t="s">
        <v>363</v>
      </c>
      <c r="D60" s="1" t="s">
        <v>76</v>
      </c>
      <c r="E60" s="1" t="s">
        <v>364</v>
      </c>
      <c r="F60" s="1" t="s">
        <v>365</v>
      </c>
      <c r="G60" s="1" t="s">
        <v>15</v>
      </c>
      <c r="H60" s="2" t="s">
        <v>366</v>
      </c>
      <c r="I60" s="1" t="s">
        <v>53</v>
      </c>
    </row>
    <row r="61">
      <c r="A61" s="1" t="s">
        <v>367</v>
      </c>
      <c r="D61" s="1" t="s">
        <v>368</v>
      </c>
      <c r="E61" s="1" t="s">
        <v>369</v>
      </c>
      <c r="F61" s="1" t="s">
        <v>370</v>
      </c>
      <c r="G61" s="1" t="s">
        <v>15</v>
      </c>
      <c r="H61" s="2" t="s">
        <v>371</v>
      </c>
      <c r="I61" s="3" t="str">
        <f>IFERROR(__xludf.DUMMYFUNCTION("IF(A62="""", """", IFS(REGEXMATCH(LOWER(A62), ""barbearia|barber""), ""Barbearia"", REGEXMATCH(LOWER(A62), ""sobrancelh|c[ií]lio|lash|micropigment|showbrancelhas""), ""Sobrancelhas e Cílios"", REGEXMATCH(LOWER(A62), ""maquia|make""), ""Maquiagem"", REGEXM"&amp;"ATCH(LOWER(A62), ""depil|epil""), ""Depilação"", REGEXMATCH(LOWER(A62), ""esmalteria|unha|nail|manicur|spa dos p[eé]s|kauu_nhas""), ""Manicure - Esmalteria"", REGEXMATCH(LOWER(A62), ""est[eé]tic|bronze|massot|terap|pilates|revitalize|dra""), ""Clínica de "&amp;"Estética"", TRUE, ""Salão de Beleza""))"),"Manicure - Esmalteria")</f>
        <v>Manicure - Esmalteria</v>
      </c>
    </row>
    <row r="62">
      <c r="A62" s="1" t="s">
        <v>372</v>
      </c>
      <c r="D62" s="1" t="s">
        <v>373</v>
      </c>
      <c r="E62" s="1" t="s">
        <v>374</v>
      </c>
      <c r="F62" s="1" t="s">
        <v>375</v>
      </c>
      <c r="G62" s="1" t="s">
        <v>15</v>
      </c>
      <c r="H62" s="2" t="s">
        <v>376</v>
      </c>
      <c r="I62" s="3" t="str">
        <f>IFERROR(__xludf.DUMMYFUNCTION("IF(A63="""", """", IFS(REGEXMATCH(LOWER(A63), ""barbearia|barber""), ""Barbearia"", REGEXMATCH(LOWER(A63), ""sobrancelh|c[ií]lio|lash|micropigment|showbrancelhas""), ""Sobrancelhas e Cílios"", REGEXMATCH(LOWER(A63), ""maquia|make""), ""Maquiagem"", REGEXM"&amp;"ATCH(LOWER(A63), ""depil|epil""), ""Depilação"", REGEXMATCH(LOWER(A63), ""esmalteria|unha|nail|manicur|spa dos p[eé]s|kauu_nhas""), ""Manicure - Esmalteria"", REGEXMATCH(LOWER(A63), ""est[eé]tic|bronze|massot|terap|pilates|revitalize|dra""), ""Clínica de "&amp;"Estética"", TRUE, ""Salão de Beleza""))"),"Manicure - Esmalteria")</f>
        <v>Manicure - Esmalteria</v>
      </c>
    </row>
    <row r="63">
      <c r="A63" s="1" t="s">
        <v>377</v>
      </c>
      <c r="B63" s="1" t="s">
        <v>378</v>
      </c>
      <c r="C63" s="1" t="s">
        <v>379</v>
      </c>
      <c r="D63" s="1" t="s">
        <v>380</v>
      </c>
      <c r="E63" s="1" t="s">
        <v>381</v>
      </c>
      <c r="F63" s="1" t="s">
        <v>382</v>
      </c>
      <c r="G63" s="1" t="s">
        <v>15</v>
      </c>
      <c r="H63" s="2" t="s">
        <v>383</v>
      </c>
      <c r="I63" s="3" t="str">
        <f>IFERROR(__xludf.DUMMYFUNCTION("IF(A64="""", """", IFS(REGEXMATCH(LOWER(A64), ""barbearia|barber""), ""Barbearia"", REGEXMATCH(LOWER(A64), ""sobrancelh|c[ií]lio|lash|micropigment|showbrancelhas""), ""Sobrancelhas e Cílios"", REGEXMATCH(LOWER(A64), ""maquia|make""), ""Maquiagem"", REGEXM"&amp;"ATCH(LOWER(A64), ""depil|epil""), ""Depilação"", REGEXMATCH(LOWER(A64), ""esmalteria|unha|nail|manicur|spa dos p[eé]s|kauu_nhas""), ""Manicure - Esmalteria"", REGEXMATCH(LOWER(A64), ""est[eé]tic|bronze|massot|terap|pilates|revitalize|dra""), ""Clínica de "&amp;"Estética"", TRUE, ""Salão de Beleza""))"),"Manicure - Esmalteria")</f>
        <v>Manicure - Esmalteria</v>
      </c>
    </row>
    <row r="64">
      <c r="A64" s="1" t="s">
        <v>384</v>
      </c>
      <c r="D64" s="1" t="s">
        <v>385</v>
      </c>
      <c r="E64" s="1" t="s">
        <v>386</v>
      </c>
      <c r="F64" s="1" t="s">
        <v>387</v>
      </c>
      <c r="G64" s="1" t="s">
        <v>15</v>
      </c>
      <c r="H64" s="2" t="s">
        <v>388</v>
      </c>
      <c r="I64" s="1" t="s">
        <v>304</v>
      </c>
    </row>
    <row r="65">
      <c r="A65" s="1" t="s">
        <v>389</v>
      </c>
      <c r="B65" s="1" t="s">
        <v>390</v>
      </c>
      <c r="C65" s="1" t="s">
        <v>391</v>
      </c>
      <c r="D65" s="1" t="s">
        <v>392</v>
      </c>
      <c r="E65" s="1" t="s">
        <v>393</v>
      </c>
      <c r="F65" s="1" t="s">
        <v>394</v>
      </c>
      <c r="G65" s="1" t="s">
        <v>15</v>
      </c>
      <c r="H65" s="2" t="s">
        <v>395</v>
      </c>
      <c r="I65" s="3" t="str">
        <f>IFERROR(__xludf.DUMMYFUNCTION("IF(A66="""", """", IFS(REGEXMATCH(LOWER(A66), ""barbearia|barber""), ""Barbearia"", REGEXMATCH(LOWER(A66), ""sobrancelh|c[ií]lio|lash|micropigment|showbrancelhas""), ""Sobrancelhas e Cílios"", REGEXMATCH(LOWER(A66), ""maquia|make""), ""Maquiagem"", REGEXM"&amp;"ATCH(LOWER(A66), ""depil|epil""), ""Depilação"", REGEXMATCH(LOWER(A66), ""esmalteria|unha|nail|manicur|spa dos p[eé]s|kauu_nhas""), ""Manicure - Esmalteria"", REGEXMATCH(LOWER(A66), ""est[eé]tic|bronze|massot|terap|pilates|revitalize|dra""), ""Clínica de "&amp;"Estética"", TRUE, ""Salão de Beleza""))"),"Manicure - Esmalteria")</f>
        <v>Manicure - Esmalteria</v>
      </c>
    </row>
    <row r="66">
      <c r="A66" s="1" t="s">
        <v>396</v>
      </c>
      <c r="D66" s="1" t="s">
        <v>397</v>
      </c>
      <c r="E66" s="1" t="s">
        <v>398</v>
      </c>
      <c r="F66" s="1" t="s">
        <v>399</v>
      </c>
      <c r="G66" s="1" t="s">
        <v>15</v>
      </c>
      <c r="H66" s="2" t="s">
        <v>400</v>
      </c>
      <c r="I66" s="1" t="s">
        <v>304</v>
      </c>
    </row>
    <row r="67">
      <c r="A67" s="1" t="s">
        <v>401</v>
      </c>
      <c r="D67" s="1" t="s">
        <v>402</v>
      </c>
      <c r="E67" s="1" t="s">
        <v>403</v>
      </c>
      <c r="F67" s="1" t="s">
        <v>404</v>
      </c>
      <c r="G67" s="1" t="s">
        <v>15</v>
      </c>
      <c r="H67" s="2" t="s">
        <v>405</v>
      </c>
      <c r="I67" s="1" t="s">
        <v>61</v>
      </c>
    </row>
    <row r="68">
      <c r="A68" s="1" t="s">
        <v>406</v>
      </c>
      <c r="D68" s="1" t="s">
        <v>407</v>
      </c>
      <c r="E68" s="1" t="s">
        <v>408</v>
      </c>
      <c r="F68" s="1" t="s">
        <v>409</v>
      </c>
      <c r="G68" s="1" t="s">
        <v>15</v>
      </c>
      <c r="H68" s="2" t="s">
        <v>410</v>
      </c>
      <c r="I68" s="1" t="s">
        <v>53</v>
      </c>
    </row>
    <row r="69">
      <c r="A69" s="1" t="s">
        <v>411</v>
      </c>
      <c r="B69" s="1" t="s">
        <v>412</v>
      </c>
      <c r="C69" s="1" t="s">
        <v>413</v>
      </c>
      <c r="D69" s="1" t="s">
        <v>414</v>
      </c>
      <c r="E69" s="1" t="s">
        <v>415</v>
      </c>
      <c r="F69" s="1" t="s">
        <v>416</v>
      </c>
      <c r="G69" s="1" t="s">
        <v>15</v>
      </c>
      <c r="H69" s="2" t="s">
        <v>417</v>
      </c>
      <c r="I69" s="3" t="str">
        <f>IFERROR(__xludf.DUMMYFUNCTION("IF(A70="""", """", IFS(REGEXMATCH(LOWER(A70), ""barbearia|barber""), ""Barbearia"", REGEXMATCH(LOWER(A70), ""sobrancelh|c[ií]lio|lash|micropigment|showbrancelhas""), ""Sobrancelhas e Cílios"", REGEXMATCH(LOWER(A70), ""maquia|make""), ""Maquiagem"", REGEXM"&amp;"ATCH(LOWER(A70), ""depil|epil""), ""Depilação"", REGEXMATCH(LOWER(A70), ""esmalteria|unha|nail|manicur|spa dos p[eé]s|kauu_nhas""), ""Manicure - Esmalteria"", REGEXMATCH(LOWER(A70), ""est[eé]tic|bronze|massot|terap|pilates|revitalize|dra""), ""Clínica de "&amp;"Estética"", TRUE, ""Salão de Beleza""))"),"Manicure - Esmalteria")</f>
        <v>Manicure - Esmalteria</v>
      </c>
    </row>
    <row r="70">
      <c r="A70" s="1" t="s">
        <v>418</v>
      </c>
      <c r="B70" s="1" t="s">
        <v>419</v>
      </c>
      <c r="C70" s="1" t="s">
        <v>420</v>
      </c>
      <c r="D70" s="1" t="s">
        <v>421</v>
      </c>
      <c r="E70" s="1" t="s">
        <v>422</v>
      </c>
      <c r="F70" s="1" t="s">
        <v>423</v>
      </c>
      <c r="G70" s="1" t="s">
        <v>15</v>
      </c>
      <c r="H70" s="2" t="s">
        <v>424</v>
      </c>
      <c r="I70" s="1" t="s">
        <v>304</v>
      </c>
    </row>
    <row r="71">
      <c r="A71" s="1" t="s">
        <v>425</v>
      </c>
      <c r="D71" s="1" t="s">
        <v>76</v>
      </c>
      <c r="E71" s="1" t="s">
        <v>426</v>
      </c>
      <c r="F71" s="1" t="s">
        <v>427</v>
      </c>
      <c r="G71" s="1" t="s">
        <v>15</v>
      </c>
      <c r="H71" s="2" t="s">
        <v>428</v>
      </c>
      <c r="I71" s="1" t="s">
        <v>53</v>
      </c>
    </row>
    <row r="72">
      <c r="A72" s="1" t="s">
        <v>429</v>
      </c>
      <c r="D72" s="1" t="s">
        <v>430</v>
      </c>
      <c r="E72" s="1" t="s">
        <v>431</v>
      </c>
      <c r="F72" s="1" t="s">
        <v>432</v>
      </c>
      <c r="G72" s="1" t="s">
        <v>15</v>
      </c>
      <c r="H72" s="2" t="s">
        <v>433</v>
      </c>
      <c r="I72" s="1" t="s">
        <v>61</v>
      </c>
    </row>
    <row r="73">
      <c r="A73" s="1" t="s">
        <v>434</v>
      </c>
      <c r="D73" s="1" t="s">
        <v>76</v>
      </c>
      <c r="E73" s="1" t="s">
        <v>435</v>
      </c>
      <c r="F73" s="1" t="s">
        <v>436</v>
      </c>
      <c r="G73" s="1" t="s">
        <v>15</v>
      </c>
      <c r="H73" s="2" t="s">
        <v>437</v>
      </c>
      <c r="I73" s="1" t="s">
        <v>53</v>
      </c>
    </row>
    <row r="74">
      <c r="A74" s="1" t="s">
        <v>438</v>
      </c>
      <c r="D74" s="1" t="s">
        <v>439</v>
      </c>
      <c r="E74" s="1" t="s">
        <v>440</v>
      </c>
      <c r="F74" s="1" t="s">
        <v>441</v>
      </c>
      <c r="G74" s="1" t="s">
        <v>15</v>
      </c>
      <c r="H74" s="2" t="s">
        <v>442</v>
      </c>
      <c r="I74" s="1" t="s">
        <v>61</v>
      </c>
    </row>
    <row r="75">
      <c r="A75" s="1" t="s">
        <v>443</v>
      </c>
      <c r="B75" s="1" t="s">
        <v>444</v>
      </c>
      <c r="C75" s="1" t="s">
        <v>445</v>
      </c>
      <c r="D75" s="1" t="s">
        <v>446</v>
      </c>
      <c r="E75" s="1" t="s">
        <v>447</v>
      </c>
      <c r="F75" s="1" t="s">
        <v>448</v>
      </c>
      <c r="G75" s="1" t="s">
        <v>15</v>
      </c>
      <c r="H75" s="2" t="s">
        <v>449</v>
      </c>
      <c r="I75" s="3" t="str">
        <f>IFERROR(__xludf.DUMMYFUNCTION("IF(A76="""", """", IFS(REGEXMATCH(LOWER(A76), ""barbearia|barber""), ""Barbearia"", REGEXMATCH(LOWER(A76), ""sobrancelh|c[ií]lio|lash|micropigment|showbrancelhas""), ""Sobrancelhas e Cílios"", REGEXMATCH(LOWER(A76), ""maquia|make""), ""Maquiagem"", REGEXM"&amp;"ATCH(LOWER(A76), ""depil|epil""), ""Depilação"", REGEXMATCH(LOWER(A76), ""esmalteria|unha|nail|manicur|spa dos p[eé]s|kauu_nhas""), ""Manicure - Esmalteria"", REGEXMATCH(LOWER(A76), ""est[eé]tic|bronze|massot|terap|pilates|revitalize|dra""), ""Clínica de "&amp;"Estética"", TRUE, ""Salão de Beleza""))"),"Depilação")</f>
        <v>Depilação</v>
      </c>
    </row>
    <row r="76">
      <c r="A76" s="1" t="s">
        <v>450</v>
      </c>
      <c r="B76" s="1" t="s">
        <v>451</v>
      </c>
      <c r="C76" s="1" t="s">
        <v>452</v>
      </c>
      <c r="D76" s="1" t="s">
        <v>453</v>
      </c>
      <c r="E76" s="1" t="s">
        <v>454</v>
      </c>
      <c r="F76" s="1" t="s">
        <v>455</v>
      </c>
      <c r="G76" s="1" t="s">
        <v>15</v>
      </c>
      <c r="H76" s="2" t="s">
        <v>456</v>
      </c>
      <c r="I76" s="1" t="s">
        <v>457</v>
      </c>
    </row>
    <row r="77">
      <c r="A77" s="1" t="s">
        <v>458</v>
      </c>
      <c r="B77" s="1" t="s">
        <v>459</v>
      </c>
      <c r="C77" s="1" t="s">
        <v>460</v>
      </c>
      <c r="D77" s="1" t="s">
        <v>461</v>
      </c>
      <c r="E77" s="1" t="s">
        <v>462</v>
      </c>
      <c r="F77" s="1" t="s">
        <v>463</v>
      </c>
      <c r="G77" s="1" t="s">
        <v>15</v>
      </c>
      <c r="H77" s="2" t="s">
        <v>464</v>
      </c>
      <c r="I77" s="1" t="s">
        <v>304</v>
      </c>
    </row>
    <row r="78">
      <c r="A78" s="1" t="s">
        <v>465</v>
      </c>
      <c r="D78" s="1" t="s">
        <v>466</v>
      </c>
      <c r="E78" s="1" t="s">
        <v>467</v>
      </c>
      <c r="F78" s="1" t="s">
        <v>468</v>
      </c>
      <c r="G78" s="1" t="s">
        <v>15</v>
      </c>
      <c r="H78" s="2" t="s">
        <v>469</v>
      </c>
      <c r="I78" s="1" t="s">
        <v>53</v>
      </c>
    </row>
    <row r="79">
      <c r="A79" s="1" t="s">
        <v>470</v>
      </c>
      <c r="B79" s="1" t="s">
        <v>471</v>
      </c>
      <c r="C79" s="1" t="s">
        <v>472</v>
      </c>
      <c r="D79" s="1" t="s">
        <v>473</v>
      </c>
      <c r="E79" s="1" t="s">
        <v>474</v>
      </c>
      <c r="F79" s="1" t="s">
        <v>475</v>
      </c>
      <c r="G79" s="1" t="s">
        <v>15</v>
      </c>
      <c r="H79" s="2" t="s">
        <v>476</v>
      </c>
      <c r="I79" s="1" t="s">
        <v>304</v>
      </c>
    </row>
    <row r="80">
      <c r="A80" s="1" t="s">
        <v>477</v>
      </c>
      <c r="B80" s="1" t="s">
        <v>478</v>
      </c>
      <c r="C80" s="1" t="s">
        <v>479</v>
      </c>
      <c r="D80" s="1" t="s">
        <v>480</v>
      </c>
      <c r="E80" s="1" t="s">
        <v>481</v>
      </c>
      <c r="F80" s="1" t="s">
        <v>482</v>
      </c>
      <c r="G80" s="1" t="s">
        <v>15</v>
      </c>
      <c r="H80" s="2" t="s">
        <v>483</v>
      </c>
      <c r="I80" s="3" t="str">
        <f>IFERROR(__xludf.DUMMYFUNCTION("IF(A81="""", """", IFS(REGEXMATCH(LOWER(A81), ""barbearia|barber""), ""Barbearia"", REGEXMATCH(LOWER(A81), ""sobrancelh|c[ií]lio|lash|micropigment|showbrancelhas""), ""Sobrancelhas e Cílios"", REGEXMATCH(LOWER(A81), ""maquia|make""), ""Maquiagem"", REGEXM"&amp;"ATCH(LOWER(A81), ""depil|epil""), ""Depilação"", REGEXMATCH(LOWER(A81), ""esmalteria|unha|nail|manicur|spa dos p[eé]s|kauu_nhas""), ""Manicure - Esmalteria"", REGEXMATCH(LOWER(A81), ""est[eé]tic|bronze|massot|terap|pilates|revitalize|dra""), ""Clínica de "&amp;"Estética"", TRUE, ""Salão de Beleza""))"),"Clínica de Estética")</f>
        <v>Clínica de Estética</v>
      </c>
    </row>
    <row r="81">
      <c r="A81" s="1" t="s">
        <v>484</v>
      </c>
      <c r="B81" s="1" t="s">
        <v>485</v>
      </c>
      <c r="C81" s="1" t="s">
        <v>486</v>
      </c>
      <c r="D81" s="1" t="s">
        <v>487</v>
      </c>
      <c r="E81" s="1" t="s">
        <v>488</v>
      </c>
      <c r="F81" s="1" t="s">
        <v>489</v>
      </c>
      <c r="G81" s="1" t="s">
        <v>15</v>
      </c>
      <c r="H81" s="2" t="s">
        <v>490</v>
      </c>
      <c r="I81" s="3" t="str">
        <f>IFERROR(__xludf.DUMMYFUNCTION("IF(A82="""", """", IFS(REGEXMATCH(LOWER(A82), ""barbearia|barber""), ""Barbearia"", REGEXMATCH(LOWER(A82), ""sobrancelh|c[ií]lio|lash|micropigment|showbrancelhas""), ""Sobrancelhas e Cílios"", REGEXMATCH(LOWER(A82), ""maquia|make""), ""Maquiagem"", REGEXM"&amp;"ATCH(LOWER(A82), ""depil|epil""), ""Depilação"", REGEXMATCH(LOWER(A82), ""esmalteria|unha|nail|manicur|spa dos p[eé]s|kauu_nhas""), ""Manicure - Esmalteria"", REGEXMATCH(LOWER(A82), ""est[eé]tic|bronze|massot|terap|pilates|revitalize|dra""), ""Clínica de "&amp;"Estética"", TRUE, ""Salão de Beleza""))"),"Salão de Beleza")</f>
        <v>Salão de Beleza</v>
      </c>
    </row>
    <row r="82">
      <c r="A82" s="1" t="s">
        <v>491</v>
      </c>
      <c r="B82" s="1" t="s">
        <v>492</v>
      </c>
      <c r="C82" s="1" t="s">
        <v>493</v>
      </c>
      <c r="D82" s="1" t="s">
        <v>494</v>
      </c>
      <c r="E82" s="1" t="s">
        <v>495</v>
      </c>
      <c r="F82" s="1" t="s">
        <v>496</v>
      </c>
      <c r="G82" s="1" t="s">
        <v>15</v>
      </c>
      <c r="H82" s="2" t="s">
        <v>497</v>
      </c>
      <c r="I82" s="3" t="str">
        <f>IFERROR(__xludf.DUMMYFUNCTION("IF(A83="""", """", IFS(REGEXMATCH(LOWER(A83), ""barbearia|barber""), ""Barbearia"", REGEXMATCH(LOWER(A83), ""sobrancelh|c[ií]lio|lash|micropigment|showbrancelhas""), ""Sobrancelhas e Cílios"", REGEXMATCH(LOWER(A83), ""maquia|make""), ""Maquiagem"", REGEXM"&amp;"ATCH(LOWER(A83), ""depil|epil""), ""Depilação"", REGEXMATCH(LOWER(A83), ""esmalteria|unha|nail|manicur|spa dos p[eé]s|kauu_nhas""), ""Manicure - Esmalteria"", REGEXMATCH(LOWER(A83), ""est[eé]tic|bronze|massot|terap|pilates|revitalize|dra""), ""Clínica de "&amp;"Estética"", TRUE, ""Salão de Beleza""))"),"Barbearia")</f>
        <v>Barbearia</v>
      </c>
    </row>
    <row r="83">
      <c r="A83" s="1" t="s">
        <v>498</v>
      </c>
      <c r="B83" s="1" t="s">
        <v>499</v>
      </c>
      <c r="C83" s="1" t="s">
        <v>500</v>
      </c>
      <c r="D83" s="1" t="s">
        <v>501</v>
      </c>
      <c r="E83" s="1" t="s">
        <v>502</v>
      </c>
      <c r="F83" s="1" t="s">
        <v>503</v>
      </c>
      <c r="G83" s="1" t="s">
        <v>15</v>
      </c>
      <c r="H83" s="2" t="s">
        <v>504</v>
      </c>
      <c r="I83" s="3" t="str">
        <f>IFERROR(__xludf.DUMMYFUNCTION("IF(A84="""", """", IFS(REGEXMATCH(LOWER(A84), ""barbearia|barber""), ""Barbearia"", REGEXMATCH(LOWER(A84), ""sobrancelh|c[ií]lio|lash|micropigment|showbrancelhas""), ""Sobrancelhas e Cílios"", REGEXMATCH(LOWER(A84), ""maquia|make""), ""Maquiagem"", REGEXM"&amp;"ATCH(LOWER(A84), ""depil|epil""), ""Depilação"", REGEXMATCH(LOWER(A84), ""esmalteria|unha|nail|manicur|spa dos p[eé]s|kauu_nhas""), ""Manicure - Esmalteria"", REGEXMATCH(LOWER(A84), ""est[eé]tic|bronze|massot|terap|pilates|revitalize|dra""), ""Clínica de "&amp;"Estética"", TRUE, ""Salão de Beleza""))"),"Barbearia")</f>
        <v>Barbearia</v>
      </c>
    </row>
    <row r="84">
      <c r="A84" s="1" t="s">
        <v>505</v>
      </c>
      <c r="D84" s="1" t="s">
        <v>506</v>
      </c>
      <c r="E84" s="1" t="s">
        <v>507</v>
      </c>
      <c r="F84" s="1" t="s">
        <v>508</v>
      </c>
      <c r="G84" s="1" t="s">
        <v>15</v>
      </c>
      <c r="H84" s="2" t="s">
        <v>509</v>
      </c>
      <c r="I84" s="1" t="s">
        <v>186</v>
      </c>
    </row>
    <row r="85">
      <c r="A85" s="1" t="s">
        <v>510</v>
      </c>
      <c r="B85" s="1" t="s">
        <v>511</v>
      </c>
      <c r="C85" s="1" t="s">
        <v>512</v>
      </c>
      <c r="D85" s="1" t="s">
        <v>513</v>
      </c>
      <c r="E85" s="1" t="s">
        <v>514</v>
      </c>
      <c r="F85" s="1" t="s">
        <v>515</v>
      </c>
      <c r="G85" s="1" t="s">
        <v>15</v>
      </c>
      <c r="H85" s="2" t="s">
        <v>516</v>
      </c>
      <c r="I85" s="1" t="s">
        <v>186</v>
      </c>
    </row>
    <row r="86">
      <c r="A86" s="1" t="s">
        <v>517</v>
      </c>
      <c r="D86" s="1" t="s">
        <v>518</v>
      </c>
      <c r="E86" s="1" t="s">
        <v>519</v>
      </c>
      <c r="F86" s="1" t="s">
        <v>520</v>
      </c>
      <c r="G86" s="1" t="s">
        <v>15</v>
      </c>
      <c r="H86" s="2" t="s">
        <v>521</v>
      </c>
      <c r="I86" s="3" t="str">
        <f>IFERROR(__xludf.DUMMYFUNCTION("IF(A87="""", """", IFS(REGEXMATCH(LOWER(A87), ""barbearia|barber""), ""Barbearia"", REGEXMATCH(LOWER(A87), ""sobrancelh|c[ií]lio|lash|micropigment|showbrancelhas""), ""Sobrancelhas e Cílios"", REGEXMATCH(LOWER(A87), ""maquia|make""), ""Maquiagem"", REGEXM"&amp;"ATCH(LOWER(A87), ""depil|epil""), ""Depilação"", REGEXMATCH(LOWER(A87), ""esmalteria|unha|nail|manicur|spa dos p[eé]s|kauu_nhas""), ""Manicure - Esmalteria"", REGEXMATCH(LOWER(A87), ""est[eé]tic|bronze|massot|terap|pilates|revitalize|dra""), ""Clínica de "&amp;"Estética"", TRUE, ""Salão de Beleza""))"),"Barbearia")</f>
        <v>Barbearia</v>
      </c>
    </row>
    <row r="87">
      <c r="A87" s="1" t="s">
        <v>522</v>
      </c>
      <c r="B87" s="1" t="s">
        <v>523</v>
      </c>
      <c r="C87" s="1" t="s">
        <v>524</v>
      </c>
      <c r="D87" s="1" t="s">
        <v>525</v>
      </c>
      <c r="E87" s="1" t="s">
        <v>526</v>
      </c>
      <c r="F87" s="1" t="s">
        <v>527</v>
      </c>
      <c r="G87" s="1" t="s">
        <v>15</v>
      </c>
      <c r="H87" s="2" t="s">
        <v>528</v>
      </c>
      <c r="I87" s="1" t="s">
        <v>186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</hyperlinks>
  <drawing r:id="rId87"/>
</worksheet>
</file>