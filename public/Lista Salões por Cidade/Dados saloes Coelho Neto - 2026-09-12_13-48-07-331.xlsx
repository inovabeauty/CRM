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aloes Coelho Neto - 2026" sheetId="1" r:id="rId5"/>
  </sheets>
  <definedNames/>
  <calcPr/>
</workbook>
</file>

<file path=xl/sharedStrings.xml><?xml version="1.0" encoding="utf-8"?>
<sst xmlns="http://schemas.openxmlformats.org/spreadsheetml/2006/main" count="191" uniqueCount="189">
  <si>
    <t>Nome</t>
  </si>
  <si>
    <t>phone</t>
  </si>
  <si>
    <t>WhatsApp</t>
  </si>
  <si>
    <t>Endereço</t>
  </si>
  <si>
    <t>Latitude</t>
  </si>
  <si>
    <t>Longitude</t>
  </si>
  <si>
    <t>Cidade</t>
  </si>
  <si>
    <t>url</t>
  </si>
  <si>
    <t>Categoria</t>
  </si>
  <si>
    <t>Célia cabelos</t>
  </si>
  <si>
    <t>+55 98 7011-5154</t>
  </si>
  <si>
    <t>+559870115154</t>
  </si>
  <si>
    <t>Av. Dr. Afonso Bacelar, 183-257, Coelho Neto - MA, 65620-000, Brasil</t>
  </si>
  <si>
    <t>-4.2578661</t>
  </si>
  <si>
    <t>-43.0159308</t>
  </si>
  <si>
    <t>Coelho Neto - MA</t>
  </si>
  <si>
    <t>https://www.google.com/maps/search/?api=1&amp;query=C%C3%A9lia%20cabelos&amp;query_place_id=ChIJFSi0NP6ljQcRJYTlPQjHGRI</t>
  </si>
  <si>
    <t>Império Da Beleza</t>
  </si>
  <si>
    <t>R. Valentim Antonio de Souza, 230, Coelho Neto - MA, 65620-000, Brasil</t>
  </si>
  <si>
    <t>-4.254512</t>
  </si>
  <si>
    <t>-43.0145248</t>
  </si>
  <si>
    <t>https://www.google.com/maps/search/?api=1&amp;query=Imp%C3%A9rio%20Da%20Beleza&amp;query_place_id=ChIJuU-SrAamjQcRq0IoqaZfAgY</t>
  </si>
  <si>
    <t>Salão de beleza cris cabelo</t>
  </si>
  <si>
    <t>+55 98 98185-8121</t>
  </si>
  <si>
    <t>+5598981858121</t>
  </si>
  <si>
    <t>Av. Santana, Coelho Neto - MA, 65620-000, Brasil</t>
  </si>
  <si>
    <t>-4.2559656</t>
  </si>
  <si>
    <t>-43.008308</t>
  </si>
  <si>
    <t>https://www.google.com/maps/search/?api=1&amp;query=Sal%C3%A3o%20de%20beleza%20cris%20cabelo&amp;query_place_id=ChIJCcWylfqnjQcRmRd14ywt-u4</t>
  </si>
  <si>
    <t>Salão Paty</t>
  </si>
  <si>
    <t>+55 98 98875-9222</t>
  </si>
  <si>
    <t>+5598988759222</t>
  </si>
  <si>
    <t>Av. Santana, 351 - Centro, Coelho Neto - MA, 65620-000, Brasil</t>
  </si>
  <si>
    <t>-4.2538279</t>
  </si>
  <si>
    <t>-43.0086857</t>
  </si>
  <si>
    <t>https://www.google.com/maps/search/?api=1&amp;query=Sal%C3%A3o%20Paty&amp;query_place_id=ChIJHfJdvwWmjQcRbyEo4XvqW7A</t>
  </si>
  <si>
    <t>Espaço Hair &amp; Nails</t>
  </si>
  <si>
    <t>+55 98 98144-3414</t>
  </si>
  <si>
    <t>+5598981443414</t>
  </si>
  <si>
    <t>Av. Coelho Neto, 170-246, Coelho Neto - MA, 65620-000, Brasil</t>
  </si>
  <si>
    <t>-4.2454728</t>
  </si>
  <si>
    <t>-43.0152602</t>
  </si>
  <si>
    <t>https://www.google.com/maps/search/?api=1&amp;query=Espa%C3%A7o%20Hair%20%26%20Nails&amp;query_place_id=ChIJd0EABzCnjQcRPz21sLD8o64</t>
  </si>
  <si>
    <t>Salao Divas hair</t>
  </si>
  <si>
    <t>+55 98 98219-5551</t>
  </si>
  <si>
    <t>+5598982195551</t>
  </si>
  <si>
    <t>-4.2454507</t>
  </si>
  <si>
    <t>-43.013558</t>
  </si>
  <si>
    <t>https://www.google.com/maps/search/?api=1&amp;query=Salao%20Divas%20hair&amp;query_place_id=ChIJu3jFKqGnjQcRbovqQtbwPQo</t>
  </si>
  <si>
    <t>Instituto De Beleza Capricho</t>
  </si>
  <si>
    <t>+55 98 98154-3987</t>
  </si>
  <si>
    <t>+5598981543987</t>
  </si>
  <si>
    <t>Av. Mal. Cordeiro de Farias, Coelho Neto - MA, 65620-000, Brasil</t>
  </si>
  <si>
    <t>-4.2565986</t>
  </si>
  <si>
    <t>-43.0093341</t>
  </si>
  <si>
    <t>https://www.google.com/maps/search/?api=1&amp;query=Instituto%20De%20Beleza%20Capricho&amp;query_place_id=ChIJawZjfAimjQcRXS9gpW6mqL0</t>
  </si>
  <si>
    <t>CENTRO DE ESTÉTICA E BELEZA Nathalia Serejo</t>
  </si>
  <si>
    <t>Av. Mal. Cordeiro de Farias, 764, Coelho Neto - MA, 65620-000, Brasil</t>
  </si>
  <si>
    <t>-4.2567566</t>
  </si>
  <si>
    <t>-43.0100539</t>
  </si>
  <si>
    <t>https://www.google.com/maps/search/?api=1&amp;query=CENTRO%20DE%20EST%C3%89TICA%20E%20BELEZA%20Nathalia%20Serejo&amp;query_place_id=ChIJC-3O1gemjQcRtS7vgejcK-U</t>
  </si>
  <si>
    <t>ESPAÇO DE ESTÉTICA LARISSE AGUIAR</t>
  </si>
  <si>
    <t>+55 86 99917-5355</t>
  </si>
  <si>
    <t>+5586999175355</t>
  </si>
  <si>
    <t>R. Juscelino Kubitscheck, 173, Coelho Neto - MA, 65620-000, Brasil</t>
  </si>
  <si>
    <t>-4.2551442</t>
  </si>
  <si>
    <t>-43.0156944</t>
  </si>
  <si>
    <t>https://www.google.com/maps/search/?api=1&amp;query=ESPA%C3%87O%20DE%20EST%C3%89TICA%20LARISSE%20AGUIAR&amp;query_place_id=ChIJi2p7oY6njQcRS25A7KWnNw4</t>
  </si>
  <si>
    <t>Beatriz pink</t>
  </si>
  <si>
    <t>R. Nilo Peçanha, Coelho Neto - MA, 65620-000, Brasil</t>
  </si>
  <si>
    <t>-4.2427646</t>
  </si>
  <si>
    <t>-43.0170544</t>
  </si>
  <si>
    <t>https://www.google.com/maps/search/?api=1&amp;query=Beatriz%20pink&amp;query_place_id=ChIJ4_maMgCnjQcRkm3mB9P8C58</t>
  </si>
  <si>
    <t>Daiara epilação</t>
  </si>
  <si>
    <t>+55 98 98330-2752</t>
  </si>
  <si>
    <t>+5598983302752</t>
  </si>
  <si>
    <t>torres - Luiz torquarto, R. do Anil, 2, Coelho Neto - MA, 65620-000, Brasil</t>
  </si>
  <si>
    <t>-4.2599195</t>
  </si>
  <si>
    <t>-43.0176591</t>
  </si>
  <si>
    <t>https://www.google.com/maps/search/?api=1&amp;query=Daiara%20epila%C3%A7%C3%A3o&amp;query_place_id=ChIJ50J6tsOljQcRDWncVwfHB8w</t>
  </si>
  <si>
    <t>Studio Eryca Machado</t>
  </si>
  <si>
    <t>+55 98 98544-0472</t>
  </si>
  <si>
    <t>+5598985440472</t>
  </si>
  <si>
    <t>Av. Coelho Neto, Coelho Neto - MA, 65620-000, Brasil</t>
  </si>
  <si>
    <t>-4.2454836</t>
  </si>
  <si>
    <t>-43.0152475</t>
  </si>
  <si>
    <t>https://www.google.com/maps/search/?api=1&amp;query=Studio%20Eryca%20Machado&amp;query_place_id=ChIJm-44q5OnjQcR07SiksbMuVU</t>
  </si>
  <si>
    <t>Studio Welline Vaz</t>
  </si>
  <si>
    <t>+55 98 98123-1288</t>
  </si>
  <si>
    <t>+5598981231288</t>
  </si>
  <si>
    <t>-4.2446151</t>
  </si>
  <si>
    <t>-43.0147858</t>
  </si>
  <si>
    <t>https://www.google.com/maps/search/?api=1&amp;query=Studio%20Welline%20Vaz&amp;query_place_id=ChIJr8fux1KnjQcRQEgzGSEb9c0</t>
  </si>
  <si>
    <t>Salão Vanessa cabelo</t>
  </si>
  <si>
    <t>+55 98 98207-2626</t>
  </si>
  <si>
    <t>+5598982072626</t>
  </si>
  <si>
    <t>R. Pres. Epitácio Pessoa, 475, Coelho Neto - MA, 65620-000, Brasil</t>
  </si>
  <si>
    <t>-4.248663</t>
  </si>
  <si>
    <t>-43.0212007</t>
  </si>
  <si>
    <t>https://www.google.com/maps/search/?api=1&amp;query=Sal%C3%A3o%20Vanessa%20cabelo&amp;query_place_id=ChIJ12WJHOKpjQcRgl8xj-arYPM</t>
  </si>
  <si>
    <t>Excelência Depilação</t>
  </si>
  <si>
    <t>+55 98 98524-0963</t>
  </si>
  <si>
    <t>+5598985240963</t>
  </si>
  <si>
    <t>R. Juscelino Kubitscheck, 438 - Centro, Coelho Neto - MA, 65620-000, Brasil</t>
  </si>
  <si>
    <t>-4.2525512</t>
  </si>
  <si>
    <t>-43.0155946</t>
  </si>
  <si>
    <t>https://www.google.com/maps/search/?api=1&amp;query=Excel%C3%AAncia%20Depila%C3%A7%C3%A3o&amp;query_place_id=ChIJK-1cL0ynjQcRZgyFD6tdPbc</t>
  </si>
  <si>
    <t>Bella Rosa - Estúdio de beleza</t>
  </si>
  <si>
    <t>R. Joaquim Pereira Dutra, Coelho Neto - MA, 65620-000, Brasil</t>
  </si>
  <si>
    <t>-4.2600004</t>
  </si>
  <si>
    <t>-43.0253627</t>
  </si>
  <si>
    <t>https://www.google.com/maps/search/?api=1&amp;query=Bella%20Rosa%20-%20Est%C3%BAdio%20de%20beleza&amp;query_place_id=ChIJtamkkQ-vjQcRnalWZup_HBY</t>
  </si>
  <si>
    <t>Letícia Barros Studio de Beleza</t>
  </si>
  <si>
    <t>+55 98 98500-2934</t>
  </si>
  <si>
    <t>+5598985002934</t>
  </si>
  <si>
    <t>R. da Ecologia, Coelho Neto - MA, 65620-000, Brasil</t>
  </si>
  <si>
    <t>-4.2639536</t>
  </si>
  <si>
    <t>-43.0234884</t>
  </si>
  <si>
    <t>https://www.google.com/maps/search/?api=1&amp;query=Let%C3%ADcia%20Barros%20Studio%20de%20Beleza&amp;query_place_id=ChIJrVP7xdmvjQcRNWOtm_g2fh4</t>
  </si>
  <si>
    <t>ANA KATYA BEAUTY</t>
  </si>
  <si>
    <t>R. Raimundo Sérvulo de Lima, 848, Coelho Neto - MA, 65620-000, Brasil</t>
  </si>
  <si>
    <t>-4.2562037</t>
  </si>
  <si>
    <t>-43.0192441</t>
  </si>
  <si>
    <t>https://www.google.com/maps/search/?api=1&amp;query=ANA%20KATYA%20BEAUTY&amp;query_place_id=ChIJ-8veKACmjQcRBST7S5z-CNc</t>
  </si>
  <si>
    <t>SALÃO DE BELEZA Valeria</t>
  </si>
  <si>
    <t>R. Píres Médici, Coelho Neto - MA, 65620-000, Brasil</t>
  </si>
  <si>
    <t>-4.2597297</t>
  </si>
  <si>
    <t>-43.0190665</t>
  </si>
  <si>
    <t>https://www.google.com/maps/search/?api=1&amp;query=SAL%C3%83O%20DE%20BELEZA%20Valeria&amp;query_place_id=ChIJx0qCeP-ljQcRoTS_yFVjnVU</t>
  </si>
  <si>
    <t>Salão o Pedrinho</t>
  </si>
  <si>
    <t>R. Zé de Souza, 457, Coelho Neto - MA, 65620-000, Brasil</t>
  </si>
  <si>
    <t>-4.2520661</t>
  </si>
  <si>
    <t>-43.0146242</t>
  </si>
  <si>
    <t>https://www.google.com/maps/search/?api=1&amp;query=Sal%C3%A3o%20o%20Pedrinho&amp;query_place_id=ChIJ44Sk1pKnjQcRyw4BSMS0eCo</t>
  </si>
  <si>
    <t>Studio Kassy Chaves</t>
  </si>
  <si>
    <t>Av. Carlos Freire - Quiabos, Coelho Neto - MA, 65620-000, Brasil</t>
  </si>
  <si>
    <t>-4.2623555</t>
  </si>
  <si>
    <t>-43.0229095</t>
  </si>
  <si>
    <t>https://www.google.com/maps/search/?api=1&amp;query=Studio%20Kassy%20Chaves&amp;query_place_id=ChIJSw1imoOvjQcRS36lpBJNxO4</t>
  </si>
  <si>
    <t>Salão Belo Corte</t>
  </si>
  <si>
    <t>R. Nicolau Batista, 2-56, Coelho Neto - MA, 65620-000, Brasil</t>
  </si>
  <si>
    <t>-4.2469935</t>
  </si>
  <si>
    <t>-43.0161604</t>
  </si>
  <si>
    <t>https://www.google.com/maps/search/?api=1&amp;query=Sal%C3%A3o%20Belo%20Corte&amp;query_place_id=ChIJSz9GVMinjQcRUqScN_dVypQ</t>
  </si>
  <si>
    <t>Studio Arleth Silva</t>
  </si>
  <si>
    <t>R. Maranhão - Mutirão, Coelho Neto - MA, 65620-000, Brasil</t>
  </si>
  <si>
    <t>-4.2620575</t>
  </si>
  <si>
    <t>-43.0252585</t>
  </si>
  <si>
    <t>https://www.google.com/maps/search/?api=1&amp;query=Studio%20Arleth%20Silva&amp;query_place_id=ChIJiUa8YwCvjQcRwgxpT25-IR4</t>
  </si>
  <si>
    <t>Studio Laís Silva</t>
  </si>
  <si>
    <t>+55 98 98438-8869</t>
  </si>
  <si>
    <t>+5598984388869</t>
  </si>
  <si>
    <t>Av. Mal. Cordeiro de Farias, 424, Coelho Neto - MA, 65620-000, Brasil</t>
  </si>
  <si>
    <t>-4.2565054</t>
  </si>
  <si>
    <t>-43.0068484</t>
  </si>
  <si>
    <t>https://www.google.com/maps/search/?api=1&amp;query=Studio%20La%C3%ADs%20Silva&amp;query_place_id=ChIJRXgCP5uljQcRLcUDMkiU3x0</t>
  </si>
  <si>
    <t>Lúcia Manicure</t>
  </si>
  <si>
    <t>Av. Santana, 336, Coelho Neto - MA, 65620-000, Brasil</t>
  </si>
  <si>
    <t>-4.2493362</t>
  </si>
  <si>
    <t>-43.0094945</t>
  </si>
  <si>
    <t>https://www.google.com/maps/search/?api=1&amp;query=L%C3%BAcia%20Manicure&amp;query_place_id=ChIJjXGDNwCnjQcRd_THIct6ODc</t>
  </si>
  <si>
    <t>Sandra Oliveira da luz</t>
  </si>
  <si>
    <t>R. Dep. Raimundo Bacelar, 100 - CEP:, Coelho Neto - MA, 65620-000, Brasil</t>
  </si>
  <si>
    <t>-4.2568381</t>
  </si>
  <si>
    <t>-43.0136316</t>
  </si>
  <si>
    <t>https://www.google.com/maps/search/?api=1&amp;query=Sandra%20Oliveira%20da%20luz&amp;query_place_id=ChIJ4dlmXQCnjQcRQUe386IVOtc</t>
  </si>
  <si>
    <t>A Casa de Patrick Estrela</t>
  </si>
  <si>
    <t>+55 66 66666-6666</t>
  </si>
  <si>
    <t>R. Heroiton Rodrigues, 395-305, Coelho Neto - MA, 65620-000, Brasil</t>
  </si>
  <si>
    <t>-4.2550992</t>
  </si>
  <si>
    <t>-43.018955</t>
  </si>
  <si>
    <t>https://www.google.com/maps/search/?api=1&amp;query=A%20Casa%20de%20Patrick%20Estrela&amp;query_place_id=ChIJp7Q-DQCnjQcR5QjT4UejS5c</t>
  </si>
  <si>
    <t>Sara Bronze</t>
  </si>
  <si>
    <t>+55 98 98210-0624</t>
  </si>
  <si>
    <t>+5598982100624</t>
  </si>
  <si>
    <t>R. Quinze de Novembro - Santana, Coelho Neto - MA, 65620-000, Brasil</t>
  </si>
  <si>
    <t>-4.252214</t>
  </si>
  <si>
    <t>-43.0077687</t>
  </si>
  <si>
    <t>https://www.google.com/maps/search/?api=1&amp;query=Sara%20Bronze&amp;query_place_id=ChIJUeGUKoWnjQcR5iCPjTQBFGs</t>
  </si>
  <si>
    <t>Karla unhas</t>
  </si>
  <si>
    <t>R. São Pedro, Coelho Neto - MA, 65620-000, Brasil</t>
  </si>
  <si>
    <t>-4.2551504</t>
  </si>
  <si>
    <t>-43.0130625</t>
  </si>
  <si>
    <t>https://www.google.com/maps/search/?api=1&amp;query=Karla%20unhas&amp;query_place_id=ChIJg-fOEACnjQcRRSTHDAaIPIU</t>
  </si>
  <si>
    <t>Sara Cabelos</t>
  </si>
  <si>
    <t>R. Pres. Gáspar Dutra Ou G., Coelho Neto - MA, 65620-000, Brasil</t>
  </si>
  <si>
    <t>-4.249577</t>
  </si>
  <si>
    <t>-43.0213355</t>
  </si>
  <si>
    <t>https://www.google.com/maps/search/?api=1&amp;query=Sara%20Cabelos&amp;query_place_id=ChIJ6d4I2qeojQcRasxowNDAj1Q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</si>
</sst>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search/?api=1&amp;query=Sal%C3%A3o%20o%20Pedrinho&amp;query_place_id=ChIJ44Sk1pKnjQcRyw4BSMS0eCo" TargetMode="External"/><Relationship Id="rId22" Type="http://schemas.openxmlformats.org/officeDocument/2006/relationships/hyperlink" Target="https://www.google.com/maps/search/?api=1&amp;query=Sal%C3%A3o%20Belo%20Corte&amp;query_place_id=ChIJSz9GVMinjQcRUqScN_dVypQ" TargetMode="External"/><Relationship Id="rId21" Type="http://schemas.openxmlformats.org/officeDocument/2006/relationships/hyperlink" Target="https://www.google.com/maps/search/?api=1&amp;query=Studio%20Kassy%20Chaves&amp;query_place_id=ChIJSw1imoOvjQcRS36lpBJNxO4" TargetMode="External"/><Relationship Id="rId24" Type="http://schemas.openxmlformats.org/officeDocument/2006/relationships/hyperlink" Target="https://www.google.com/maps/search/?api=1&amp;query=Studio%20La%C3%ADs%20Silva&amp;query_place_id=ChIJRXgCP5uljQcRLcUDMkiU3x0" TargetMode="External"/><Relationship Id="rId23" Type="http://schemas.openxmlformats.org/officeDocument/2006/relationships/hyperlink" Target="https://www.google.com/maps/search/?api=1&amp;query=Studio%20Arleth%20Silva&amp;query_place_id=ChIJiUa8YwCvjQcRwgxpT25-IR4" TargetMode="External"/><Relationship Id="rId1" Type="http://schemas.openxmlformats.org/officeDocument/2006/relationships/hyperlink" Target="https://www.google.com/maps/search/?api=1&amp;query=C%C3%A9lia%20cabelos&amp;query_place_id=ChIJFSi0NP6ljQcRJYTlPQjHGRI" TargetMode="External"/><Relationship Id="rId2" Type="http://schemas.openxmlformats.org/officeDocument/2006/relationships/hyperlink" Target="https://www.google.com/maps/search/?api=1&amp;query=Imp%C3%A9rio%20Da%20Beleza&amp;query_place_id=ChIJuU-SrAamjQcRq0IoqaZfAgY" TargetMode="External"/><Relationship Id="rId3" Type="http://schemas.openxmlformats.org/officeDocument/2006/relationships/hyperlink" Target="https://www.google.com/maps/search/?api=1&amp;query=Sal%C3%A3o%20de%20beleza%20cris%20cabelo&amp;query_place_id=ChIJCcWylfqnjQcRmRd14ywt-u4" TargetMode="External"/><Relationship Id="rId4" Type="http://schemas.openxmlformats.org/officeDocument/2006/relationships/hyperlink" Target="https://www.google.com/maps/search/?api=1&amp;query=Sal%C3%A3o%20Paty&amp;query_place_id=ChIJHfJdvwWmjQcRbyEo4XvqW7A" TargetMode="External"/><Relationship Id="rId9" Type="http://schemas.openxmlformats.org/officeDocument/2006/relationships/hyperlink" Target="https://www.google.com/maps/search/?api=1&amp;query=ESPA%C3%87O%20DE%20EST%C3%89TICA%20LARISSE%20AGUIAR&amp;query_place_id=ChIJi2p7oY6njQcRS25A7KWnNw4" TargetMode="External"/><Relationship Id="rId26" Type="http://schemas.openxmlformats.org/officeDocument/2006/relationships/hyperlink" Target="https://www.google.com/maps/search/?api=1&amp;query=Sandra%20Oliveira%20da%20luz&amp;query_place_id=ChIJ4dlmXQCnjQcRQUe386IVOtc" TargetMode="External"/><Relationship Id="rId25" Type="http://schemas.openxmlformats.org/officeDocument/2006/relationships/hyperlink" Target="https://www.google.com/maps/search/?api=1&amp;query=L%C3%BAcia%20Manicure&amp;query_place_id=ChIJjXGDNwCnjQcRd_THIct6ODc" TargetMode="External"/><Relationship Id="rId28" Type="http://schemas.openxmlformats.org/officeDocument/2006/relationships/hyperlink" Target="https://www.google.com/maps/search/?api=1&amp;query=Sara%20Bronze&amp;query_place_id=ChIJUeGUKoWnjQcR5iCPjTQBFGs" TargetMode="External"/><Relationship Id="rId27" Type="http://schemas.openxmlformats.org/officeDocument/2006/relationships/hyperlink" Target="https://www.google.com/maps/search/?api=1&amp;query=A%20Casa%20de%20Patrick%20Estrela&amp;query_place_id=ChIJp7Q-DQCnjQcR5QjT4UejS5c" TargetMode="External"/><Relationship Id="rId5" Type="http://schemas.openxmlformats.org/officeDocument/2006/relationships/hyperlink" Target="https://www.google.com/maps/search/?api=1&amp;query=Espa%C3%A7o%20Hair%20%26%20Nails&amp;query_place_id=ChIJd0EABzCnjQcRPz21sLD8o64" TargetMode="External"/><Relationship Id="rId6" Type="http://schemas.openxmlformats.org/officeDocument/2006/relationships/hyperlink" Target="https://www.google.com/maps/search/?api=1&amp;query=Salao%20Divas%20hair&amp;query_place_id=ChIJu3jFKqGnjQcRbovqQtbwPQo" TargetMode="External"/><Relationship Id="rId29" Type="http://schemas.openxmlformats.org/officeDocument/2006/relationships/hyperlink" Target="https://www.google.com/maps/search/?api=1&amp;query=Karla%20unhas&amp;query_place_id=ChIJg-fOEACnjQcRRSTHDAaIPIU" TargetMode="External"/><Relationship Id="rId7" Type="http://schemas.openxmlformats.org/officeDocument/2006/relationships/hyperlink" Target="https://www.google.com/maps/search/?api=1&amp;query=Instituto%20De%20Beleza%20Capricho&amp;query_place_id=ChIJawZjfAimjQcRXS9gpW6mqL0" TargetMode="External"/><Relationship Id="rId8" Type="http://schemas.openxmlformats.org/officeDocument/2006/relationships/hyperlink" Target="https://www.google.com/maps/search/?api=1&amp;query=CENTRO%20DE%20EST%C3%89TICA%20E%20BELEZA%20Nathalia%20Serejo&amp;query_place_id=ChIJC-3O1gemjQcRtS7vgejcK-U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google.com/maps/search/?api=1&amp;query=Sara%20Cabelos&amp;query_place_id=ChIJ6d4I2qeojQcRasxowNDAj1Q" TargetMode="External"/><Relationship Id="rId11" Type="http://schemas.openxmlformats.org/officeDocument/2006/relationships/hyperlink" Target="https://www.google.com/maps/search/?api=1&amp;query=Daiara%20epila%C3%A7%C3%A3o&amp;query_place_id=ChIJ50J6tsOljQcRDWncVwfHB8w" TargetMode="External"/><Relationship Id="rId10" Type="http://schemas.openxmlformats.org/officeDocument/2006/relationships/hyperlink" Target="https://www.google.com/maps/search/?api=1&amp;query=Beatriz%20pink&amp;query_place_id=ChIJ4_maMgCnjQcRkm3mB9P8C58" TargetMode="External"/><Relationship Id="rId13" Type="http://schemas.openxmlformats.org/officeDocument/2006/relationships/hyperlink" Target="https://www.google.com/maps/search/?api=1&amp;query=Studio%20Welline%20Vaz&amp;query_place_id=ChIJr8fux1KnjQcRQEgzGSEb9c0" TargetMode="External"/><Relationship Id="rId12" Type="http://schemas.openxmlformats.org/officeDocument/2006/relationships/hyperlink" Target="https://www.google.com/maps/search/?api=1&amp;query=Studio%20Eryca%20Machado&amp;query_place_id=ChIJm-44q5OnjQcR07SiksbMuVU" TargetMode="External"/><Relationship Id="rId15" Type="http://schemas.openxmlformats.org/officeDocument/2006/relationships/hyperlink" Target="https://www.google.com/maps/search/?api=1&amp;query=Excel%C3%AAncia%20Depila%C3%A7%C3%A3o&amp;query_place_id=ChIJK-1cL0ynjQcRZgyFD6tdPbc" TargetMode="External"/><Relationship Id="rId14" Type="http://schemas.openxmlformats.org/officeDocument/2006/relationships/hyperlink" Target="https://www.google.com/maps/search/?api=1&amp;query=Sal%C3%A3o%20Vanessa%20cabelo&amp;query_place_id=ChIJ12WJHOKpjQcRgl8xj-arYPM" TargetMode="External"/><Relationship Id="rId17" Type="http://schemas.openxmlformats.org/officeDocument/2006/relationships/hyperlink" Target="https://www.google.com/maps/search/?api=1&amp;query=Let%C3%ADcia%20Barros%20Studio%20de%20Beleza&amp;query_place_id=ChIJrVP7xdmvjQcRNWOtm_g2fh4" TargetMode="External"/><Relationship Id="rId16" Type="http://schemas.openxmlformats.org/officeDocument/2006/relationships/hyperlink" Target="https://www.google.com/maps/search/?api=1&amp;query=Bella%20Rosa%20-%20Est%C3%BAdio%20de%20beleza&amp;query_place_id=ChIJtamkkQ-vjQcRnalWZup_HBY" TargetMode="External"/><Relationship Id="rId19" Type="http://schemas.openxmlformats.org/officeDocument/2006/relationships/hyperlink" Target="https://www.google.com/maps/search/?api=1&amp;query=SAL%C3%83O%20DE%20BELEZA%20Valeria&amp;query_place_id=ChIJx0qCeP-ljQcRoTS_yFVjnVU" TargetMode="External"/><Relationship Id="rId18" Type="http://schemas.openxmlformats.org/officeDocument/2006/relationships/hyperlink" Target="https://www.google.com/maps/search/?api=1&amp;query=ANA%20KATYA%20BEAUTY&amp;query_place_id=ChIJ-8veKACmjQcRBST7S5z-C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3" t="str">
        <f>IFERROR(__xludf.DUMMYFUNCTION("IF(A2="""", """", IFS(REGEXMATCH(LOWER(A2), ""barbearia|barber""), ""Barbearia"", REGEXMATCH(LOWER(A2), ""sobrancelh|c[ií]lio|lash|micropigment|showbrancelhas""), ""Sobrancelhas e Cílios"", REGEXMATCH(LOWER(A2), ""maquia|make""), ""Maquiagem"", REGEXMATCH"&amp;"(LOWER(A2), ""depil|epil""), ""Depilação"", REGEXMATCH(LOWER(A2), ""esmalteria|unha|nail|manicur|spa dos p[eé]s|kauu_nhas""), ""Manicure - Esmalteria"", REGEXMATCH(LOWER(A2), ""est[eé]tic|bronze|massot|terap|pilates|revitalize|dra""), ""Clínica de Estétic"&amp;"a"", TRUE, ""Salão de Beleza""))"),"Salão de Beleza")</f>
        <v>Salão de Beleza</v>
      </c>
    </row>
    <row r="3">
      <c r="A3" s="1" t="s">
        <v>17</v>
      </c>
      <c r="D3" s="1" t="s">
        <v>18</v>
      </c>
      <c r="E3" s="1" t="s">
        <v>19</v>
      </c>
      <c r="F3" s="1" t="s">
        <v>20</v>
      </c>
      <c r="G3" s="3" t="str">
        <f>IFERROR(__xludf.DUMMYFUNCTION("AI(""Preencha um valor adequado para esta célula com base no contexto da tabela"")"),"Coelho Neto - MA")</f>
        <v>Coelho Neto - MA</v>
      </c>
      <c r="H3" s="2" t="s">
        <v>21</v>
      </c>
      <c r="I3" s="3" t="str">
        <f>IFERROR(__xludf.DUMMYFUNCTION("IF(A3="""", """", IFS(REGEXMATCH(LOWER(A3), ""barbearia|barber""), ""Barbearia"", REGEXMATCH(LOWER(A3), ""sobrancelh|c[ií]lio|lash|micropigment|showbrancelhas""), ""Sobrancelhas e Cílios"", REGEXMATCH(LOWER(A3), ""maquia|make""), ""Maquiagem"", REGEXMATCH"&amp;"(LOWER(A3), ""depil|epil""), ""Depilação"", REGEXMATCH(LOWER(A3), ""esmalteria|unha|nail|manicur|spa dos p[eé]s|kauu_nhas""), ""Manicure - Esmalteria"", REGEXMATCH(LOWER(A3), ""est[eé]tic|bronze|massot|terap|pilates|revitalize|dra""), ""Clínica de Estétic"&amp;"a"", TRUE, ""Salão de Beleza""))"),"Salão de Beleza")</f>
        <v>Salão de Beleza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tr">
        <f>IFERROR(__xludf.DUMMYFUNCTION("AI(""Preencha um valor adequado para esta célula com base no contexto da tabela"")"),"Coelho Neto - MA")</f>
        <v>Coelho Neto - MA</v>
      </c>
      <c r="H4" s="2" t="s">
        <v>28</v>
      </c>
      <c r="I4" s="3" t="str">
        <f>IFERROR(__xludf.DUMMYFUNCTION("IF(A4="""", """", IFS(REGEXMATCH(LOWER(A4), ""barbearia|barber""), ""Barbearia"", REGEXMATCH(LOWER(A4), ""sobrancelh|c[ií]lio|lash|micropigment|showbrancelhas""), ""Sobrancelhas e Cílios"", REGEXMATCH(LOWER(A4), ""maquia|make""), ""Maquiagem"", REGEXMATCH"&amp;"(LOWER(A4), ""depil|epil""), ""Depilação"", REGEXMATCH(LOWER(A4), ""esmalteria|unha|nail|manicur|spa dos p[eé]s|kauu_nhas""), ""Manicure - Esmalteria"", REGEXMATCH(LOWER(A4), ""est[eé]tic|bronze|massot|terap|pilates|revitalize|dra""), ""Clínica de Estétic"&amp;"a"", TRUE, ""Salão de Beleza""))"),"Salão de Beleza")</f>
        <v>Salão de Beleza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tr">
        <f>IFERROR(__xludf.DUMMYFUNCTION("AI(""Preencha um valor adequado para esta célula com base no contexto da tabela"")"),"Coelho Neto - MA")</f>
        <v>Coelho Neto - MA</v>
      </c>
      <c r="H5" s="2" t="s">
        <v>35</v>
      </c>
      <c r="I5" s="3" t="str">
        <f>IFERROR(__xludf.DUMMYFUNCTION("IF(A5="""", """", IFS(REGEXMATCH(LOWER(A5), ""barbearia|barber""), ""Barbearia"", REGEXMATCH(LOWER(A5), ""sobrancelh|c[ií]lio|lash|micropigment|showbrancelhas""), ""Sobrancelhas e Cílios"", REGEXMATCH(LOWER(A5), ""maquia|make""), ""Maquiagem"", REGEXMATCH"&amp;"(LOWER(A5), ""depil|epil""), ""Depilação"", REGEXMATCH(LOWER(A5), ""esmalteria|unha|nail|manicur|spa dos p[eé]s|kauu_nhas""), ""Manicure - Esmalteria"", REGEXMATCH(LOWER(A5), ""est[eé]tic|bronze|massot|terap|pilates|revitalize|dra""), ""Clínica de Estétic"&amp;"a"", TRUE, ""Salão de Beleza""))"),"Salão de Beleza")</f>
        <v>Salão de Beleza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tr">
        <f>IFERROR(__xludf.DUMMYFUNCTION("AI(""Preencha um valor adequado para esta célula com base no contexto da tabela"")"),"Coelho Neto - MA")</f>
        <v>Coelho Neto - MA</v>
      </c>
      <c r="H6" s="2" t="s">
        <v>42</v>
      </c>
      <c r="I6" s="3" t="str">
        <f>IFERROR(__xludf.DUMMYFUNCTION("IF(A6="""", """", IFS(REGEXMATCH(LOWER(A6), ""barbearia|barber""), ""Barbearia"", REGEXMATCH(LOWER(A6), ""sobrancelh|c[ií]lio|lash|micropigment|showbrancelhas""), ""Sobrancelhas e Cílios"", REGEXMATCH(LOWER(A6), ""maquia|make""), ""Maquiagem"", REGEXMATCH"&amp;"(LOWER(A6), ""depil|epil""), ""Depilação"", REGEXMATCH(LOWER(A6), ""esmalteria|unha|nail|manicur|spa dos p[eé]s|kauu_nhas""), ""Manicure - Esmalteria"", REGEXMATCH(LOWER(A6), ""est[eé]tic|bronze|massot|terap|pilates|revitalize|dra""), ""Clínica de Estétic"&amp;"a"", TRUE, ""Salão de Beleza""))"),"Manicure - Esmalteria")</f>
        <v>Manicure - Esmalteria</v>
      </c>
    </row>
    <row r="7">
      <c r="A7" s="1" t="s">
        <v>43</v>
      </c>
      <c r="B7" s="1" t="s">
        <v>44</v>
      </c>
      <c r="C7" s="1" t="s">
        <v>45</v>
      </c>
      <c r="D7" s="1" t="s">
        <v>25</v>
      </c>
      <c r="E7" s="1" t="s">
        <v>46</v>
      </c>
      <c r="F7" s="1" t="s">
        <v>47</v>
      </c>
      <c r="G7" s="3" t="str">
        <f>IFERROR(__xludf.DUMMYFUNCTION("AI(""Preencha um valor adequado para esta célula com base no contexto da tabela"")"),"Coelho Neto - MA")</f>
        <v>Coelho Neto - MA</v>
      </c>
      <c r="H7" s="2" t="s">
        <v>48</v>
      </c>
      <c r="I7" s="3" t="str">
        <f>IFERROR(__xludf.DUMMYFUNCTION("IF(A7="""", """", IFS(REGEXMATCH(LOWER(A7), ""barbearia|barber""), ""Barbearia"", REGEXMATCH(LOWER(A7), ""sobrancelh|c[ií]lio|lash|micropigment|showbrancelhas""), ""Sobrancelhas e Cílios"", REGEXMATCH(LOWER(A7), ""maquia|make""), ""Maquiagem"", REGEXMATCH"&amp;"(LOWER(A7), ""depil|epil""), ""Depilação"", REGEXMATCH(LOWER(A7), ""esmalteria|unha|nail|manicur|spa dos p[eé]s|kauu_nhas""), ""Manicure - Esmalteria"", REGEXMATCH(LOWER(A7), ""est[eé]tic|bronze|massot|terap|pilates|revitalize|dra""), ""Clínica de Estétic"&amp;"a"", TRUE, ""Salão de Beleza""))"),"Salão de Beleza")</f>
        <v>Salão de Beleza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3" t="str">
        <f>IFERROR(__xludf.DUMMYFUNCTION("AI(""Preencha um valor adequado para esta célula com base no contexto da tabela"")"),"Coelho Neto - MA")</f>
        <v>Coelho Neto - MA</v>
      </c>
      <c r="H8" s="2" t="s">
        <v>55</v>
      </c>
      <c r="I8" s="3" t="str">
        <f>IFERROR(__xludf.DUMMYFUNCTION("IF(A8="""", """", IFS(REGEXMATCH(LOWER(A8), ""barbearia|barber""), ""Barbearia"", REGEXMATCH(LOWER(A8), ""sobrancelh|c[ií]lio|lash|micropigment|showbrancelhas""), ""Sobrancelhas e Cílios"", REGEXMATCH(LOWER(A8), ""maquia|make""), ""Maquiagem"", REGEXMATCH"&amp;"(LOWER(A8), ""depil|epil""), ""Depilação"", REGEXMATCH(LOWER(A8), ""esmalteria|unha|nail|manicur|spa dos p[eé]s|kauu_nhas""), ""Manicure - Esmalteria"", REGEXMATCH(LOWER(A8), ""est[eé]tic|bronze|massot|terap|pilates|revitalize|dra""), ""Clínica de Estétic"&amp;"a"", TRUE, ""Salão de Beleza""))"),"Salão de Beleza")</f>
        <v>Salão de Beleza</v>
      </c>
    </row>
    <row r="9">
      <c r="A9" s="1" t="s">
        <v>56</v>
      </c>
      <c r="D9" s="1" t="s">
        <v>57</v>
      </c>
      <c r="E9" s="1" t="s">
        <v>58</v>
      </c>
      <c r="F9" s="1" t="s">
        <v>59</v>
      </c>
      <c r="G9" s="3" t="str">
        <f>IFERROR(__xludf.DUMMYFUNCTION("AI(""Preencha um valor adequado para esta célula com base no contexto da tabela"")"),"Coelho Neto - MA")</f>
        <v>Coelho Neto - MA</v>
      </c>
      <c r="H9" s="2" t="s">
        <v>60</v>
      </c>
      <c r="I9" s="3" t="str">
        <f>IFERROR(__xludf.DUMMYFUNCTION("IF(A9="""", """", IFS(REGEXMATCH(LOWER(A9), ""barbearia|barber""), ""Barbearia"", REGEXMATCH(LOWER(A9), ""sobrancelh|c[ií]lio|lash|micropigment|showbrancelhas""), ""Sobrancelhas e Cílios"", REGEXMATCH(LOWER(A9), ""maquia|make""), ""Maquiagem"", REGEXMATCH"&amp;"(LOWER(A9), ""depil|epil""), ""Depilação"", REGEXMATCH(LOWER(A9), ""esmalteria|unha|nail|manicur|spa dos p[eé]s|kauu_nhas""), ""Manicure - Esmalteria"", REGEXMATCH(LOWER(A9), ""est[eé]tic|bronze|massot|terap|pilates|revitalize|dra""), ""Clínica de Estétic"&amp;"a"", TRUE, ""Salão de Beleza""))"),"Clínica de Estética")</f>
        <v>Clínica de Estética</v>
      </c>
    </row>
    <row r="10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3" t="str">
        <f>IFERROR(__xludf.DUMMYFUNCTION("AI(""Preencha um valor adequado para esta célula com base no contexto da tabela"")"),"Coelho Neto - MA")</f>
        <v>Coelho Neto - MA</v>
      </c>
      <c r="H10" s="2" t="s">
        <v>67</v>
      </c>
      <c r="I10" s="3" t="str">
        <f>IFERROR(__xludf.DUMMYFUNCTION("IF(A10="""", """", IFS(REGEXMATCH(LOWER(A10), ""barbearia|barber""), ""Barbearia"", REGEXMATCH(LOWER(A10), ""sobrancelh|c[ií]lio|lash|micropigment|showbrancelhas""), ""Sobrancelhas e Cílios"", REGEXMATCH(LOWER(A10), ""maquia|make""), ""Maquiagem"", REGEXM"&amp;"ATCH(LOWER(A10), ""depil|epil""), ""Depilação"", REGEXMATCH(LOWER(A10), ""esmalteria|unha|nail|manicur|spa dos p[eé]s|kauu_nhas""), ""Manicure - Esmalteria"", REGEXMATCH(LOWER(A10), ""est[eé]tic|bronze|massot|terap|pilates|revitalize|dra""), ""Clínica de "&amp;"Estética"", TRUE, ""Salão de Beleza""))"),"Clínica de Estética")</f>
        <v>Clínica de Estética</v>
      </c>
    </row>
    <row r="11">
      <c r="A11" s="1" t="s">
        <v>68</v>
      </c>
      <c r="D11" s="1" t="s">
        <v>69</v>
      </c>
      <c r="E11" s="1" t="s">
        <v>70</v>
      </c>
      <c r="F11" s="1" t="s">
        <v>71</v>
      </c>
      <c r="G11" s="3" t="str">
        <f>IFERROR(__xludf.DUMMYFUNCTION("AI(""Preencha um valor adequado para esta célula com base no contexto da tabela"")"),"Coelho Neto - MA")</f>
        <v>Coelho Neto - MA</v>
      </c>
      <c r="H11" s="2" t="s">
        <v>72</v>
      </c>
      <c r="I11" s="3" t="str">
        <f>IFERROR(__xludf.DUMMYFUNCTION("IF(A11="""", """", IFS(REGEXMATCH(LOWER(A11), ""barbearia|barber""), ""Barbearia"", REGEXMATCH(LOWER(A11), ""sobrancelh|c[ií]lio|lash|micropigment|showbrancelhas""), ""Sobrancelhas e Cílios"", REGEXMATCH(LOWER(A11), ""maquia|make""), ""Maquiagem"", REGEXM"&amp;"ATCH(LOWER(A11), ""depil|epil""), ""Depilação"", REGEXMATCH(LOWER(A11), ""esmalteria|unha|nail|manicur|spa dos p[eé]s|kauu_nhas""), ""Manicure - Esmalteria"", REGEXMATCH(LOWER(A11), ""est[eé]tic|bronze|massot|terap|pilates|revitalize|dra""), ""Clínica de "&amp;"Estética"", TRUE, ""Salão de Beleza""))"),"Salão de Beleza")</f>
        <v>Salão de Beleza</v>
      </c>
    </row>
    <row r="12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3" t="str">
        <f>IFERROR(__xludf.DUMMYFUNCTION("AI(""Preencha um valor adequado para esta célula com base no contexto da tabela"")"),"Coelho Neto - MA")</f>
        <v>Coelho Neto - MA</v>
      </c>
      <c r="H12" s="2" t="s">
        <v>79</v>
      </c>
      <c r="I12" s="3" t="str">
        <f>IFERROR(__xludf.DUMMYFUNCTION("IF(A12="""", """", IFS(REGEXMATCH(LOWER(A12), ""barbearia|barber""), ""Barbearia"", REGEXMATCH(LOWER(A12), ""sobrancelh|c[ií]lio|lash|micropigment|showbrancelhas""), ""Sobrancelhas e Cílios"", REGEXMATCH(LOWER(A12), ""maquia|make""), ""Maquiagem"", REGEXM"&amp;"ATCH(LOWER(A12), ""depil|epil""), ""Depilação"", REGEXMATCH(LOWER(A12), ""esmalteria|unha|nail|manicur|spa dos p[eé]s|kauu_nhas""), ""Manicure - Esmalteria"", REGEXMATCH(LOWER(A12), ""est[eé]tic|bronze|massot|terap|pilates|revitalize|dra""), ""Clínica de "&amp;"Estética"", TRUE, ""Salão de Beleza""))"),"Depilação")</f>
        <v>Depilação</v>
      </c>
    </row>
    <row r="13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84</v>
      </c>
      <c r="F13" s="1" t="s">
        <v>85</v>
      </c>
      <c r="G13" s="3" t="str">
        <f>IFERROR(__xludf.DUMMYFUNCTION("AI(""Preencha um valor adequado para esta célula com base no contexto da tabela"")"),"Coelho Neto - MA")</f>
        <v>Coelho Neto - MA</v>
      </c>
      <c r="H13" s="2" t="s">
        <v>86</v>
      </c>
      <c r="I13" s="3" t="str">
        <f>IFERROR(__xludf.DUMMYFUNCTION("IF(A13="""", """", IFS(REGEXMATCH(LOWER(A13), ""barbearia|barber""), ""Barbearia"", REGEXMATCH(LOWER(A13), ""sobrancelh|c[ií]lio|lash|micropigment|showbrancelhas""), ""Sobrancelhas e Cílios"", REGEXMATCH(LOWER(A13), ""maquia|make""), ""Maquiagem"", REGEXM"&amp;"ATCH(LOWER(A13), ""depil|epil""), ""Depilação"", REGEXMATCH(LOWER(A13), ""esmalteria|unha|nail|manicur|spa dos p[eé]s|kauu_nhas""), ""Manicure - Esmalteria"", REGEXMATCH(LOWER(A13), ""est[eé]tic|bronze|massot|terap|pilates|revitalize|dra""), ""Clínica de "&amp;"Estética"", TRUE, ""Salão de Beleza""))"),"Salão de Beleza")</f>
        <v>Salão de Beleza</v>
      </c>
    </row>
    <row r="14">
      <c r="A14" s="1" t="s">
        <v>87</v>
      </c>
      <c r="B14" s="1" t="s">
        <v>88</v>
      </c>
      <c r="C14" s="1" t="s">
        <v>89</v>
      </c>
      <c r="D14" s="1" t="s">
        <v>83</v>
      </c>
      <c r="E14" s="1" t="s">
        <v>90</v>
      </c>
      <c r="F14" s="1" t="s">
        <v>91</v>
      </c>
      <c r="G14" s="3" t="str">
        <f>IFERROR(__xludf.DUMMYFUNCTION("AI(""Preencha um valor adequado para esta célula com base no contexto da tabela"")"),"Coelho Neto - MA")</f>
        <v>Coelho Neto - MA</v>
      </c>
      <c r="H14" s="2" t="s">
        <v>92</v>
      </c>
      <c r="I14" s="3" t="str">
        <f>IFERROR(__xludf.DUMMYFUNCTION("IF(A14="""", """", IFS(REGEXMATCH(LOWER(A14), ""barbearia|barber""), ""Barbearia"", REGEXMATCH(LOWER(A14), ""sobrancelh|c[ií]lio|lash|micropigment|showbrancelhas""), ""Sobrancelhas e Cílios"", REGEXMATCH(LOWER(A14), ""maquia|make""), ""Maquiagem"", REGEXM"&amp;"ATCH(LOWER(A14), ""depil|epil""), ""Depilação"", REGEXMATCH(LOWER(A14), ""esmalteria|unha|nail|manicur|spa dos p[eé]s|kauu_nhas""), ""Manicure - Esmalteria"", REGEXMATCH(LOWER(A14), ""est[eé]tic|bronze|massot|terap|pilates|revitalize|dra""), ""Clínica de "&amp;"Estética"", TRUE, ""Salão de Beleza""))"),"Salão de Beleza")</f>
        <v>Salão de Beleza</v>
      </c>
    </row>
    <row r="15">
      <c r="A15" s="1" t="s">
        <v>93</v>
      </c>
      <c r="B15" s="1" t="s">
        <v>94</v>
      </c>
      <c r="C15" s="1" t="s">
        <v>95</v>
      </c>
      <c r="D15" s="1" t="s">
        <v>96</v>
      </c>
      <c r="E15" s="1" t="s">
        <v>97</v>
      </c>
      <c r="F15" s="1" t="s">
        <v>98</v>
      </c>
      <c r="G15" s="3" t="str">
        <f>IFERROR(__xludf.DUMMYFUNCTION("AI(""Preencha um valor adequado para esta célula com base no contexto da tabela"")"),"Coelho Neto - MA")</f>
        <v>Coelho Neto - MA</v>
      </c>
      <c r="H15" s="2" t="s">
        <v>99</v>
      </c>
      <c r="I15" s="3" t="str">
        <f>IFERROR(__xludf.DUMMYFUNCTION("IF(A15="""", """", IFS(REGEXMATCH(LOWER(A15), ""barbearia|barber""), ""Barbearia"", REGEXMATCH(LOWER(A15), ""sobrancelh|c[ií]lio|lash|micropigment|showbrancelhas""), ""Sobrancelhas e Cílios"", REGEXMATCH(LOWER(A15), ""maquia|make""), ""Maquiagem"", REGEXM"&amp;"ATCH(LOWER(A15), ""depil|epil""), ""Depilação"", REGEXMATCH(LOWER(A15), ""esmalteria|unha|nail|manicur|spa dos p[eé]s|kauu_nhas""), ""Manicure - Esmalteria"", REGEXMATCH(LOWER(A15), ""est[eé]tic|bronze|massot|terap|pilates|revitalize|dra""), ""Clínica de "&amp;"Estética"", TRUE, ""Salão de Beleza""))"),"Salão de Beleza")</f>
        <v>Salão de Beleza</v>
      </c>
    </row>
    <row r="16">
      <c r="A16" s="1" t="s">
        <v>100</v>
      </c>
      <c r="B16" s="1" t="s">
        <v>101</v>
      </c>
      <c r="C16" s="1" t="s">
        <v>102</v>
      </c>
      <c r="D16" s="1" t="s">
        <v>103</v>
      </c>
      <c r="E16" s="1" t="s">
        <v>104</v>
      </c>
      <c r="F16" s="1" t="s">
        <v>105</v>
      </c>
      <c r="G16" s="3" t="str">
        <f>IFERROR(__xludf.DUMMYFUNCTION("AI(""Preencha um valor adequado para esta célula com base no contexto da tabela"")"),"Coelho Neto - MA")</f>
        <v>Coelho Neto - MA</v>
      </c>
      <c r="H16" s="2" t="s">
        <v>106</v>
      </c>
      <c r="I16" s="3" t="str">
        <f>IFERROR(__xludf.DUMMYFUNCTION("IF(A16="""", """", IFS(REGEXMATCH(LOWER(A16), ""barbearia|barber""), ""Barbearia"", REGEXMATCH(LOWER(A16), ""sobrancelh|c[ií]lio|lash|micropigment|showbrancelhas""), ""Sobrancelhas e Cílios"", REGEXMATCH(LOWER(A16), ""maquia|make""), ""Maquiagem"", REGEXM"&amp;"ATCH(LOWER(A16), ""depil|epil""), ""Depilação"", REGEXMATCH(LOWER(A16), ""esmalteria|unha|nail|manicur|spa dos p[eé]s|kauu_nhas""), ""Manicure - Esmalteria"", REGEXMATCH(LOWER(A16), ""est[eé]tic|bronze|massot|terap|pilates|revitalize|dra""), ""Clínica de "&amp;"Estética"", TRUE, ""Salão de Beleza""))"),"Depilação")</f>
        <v>Depilação</v>
      </c>
    </row>
    <row r="17">
      <c r="A17" s="1" t="s">
        <v>107</v>
      </c>
      <c r="D17" s="1" t="s">
        <v>108</v>
      </c>
      <c r="E17" s="1" t="s">
        <v>109</v>
      </c>
      <c r="F17" s="1" t="s">
        <v>110</v>
      </c>
      <c r="G17" s="3" t="str">
        <f>IFERROR(__xludf.DUMMYFUNCTION("AI(""Preencha um valor adequado para esta célula com base no contexto da tabela"")"),"Coelho Neto - MA")</f>
        <v>Coelho Neto - MA</v>
      </c>
      <c r="H17" s="2" t="s">
        <v>111</v>
      </c>
      <c r="I17" s="3" t="str">
        <f>IFERROR(__xludf.DUMMYFUNCTION("IF(A17="""", """", IFS(REGEXMATCH(LOWER(A17), ""barbearia|barber""), ""Barbearia"", REGEXMATCH(LOWER(A17), ""sobrancelh|c[ií]lio|lash|micropigment|showbrancelhas""), ""Sobrancelhas e Cílios"", REGEXMATCH(LOWER(A17), ""maquia|make""), ""Maquiagem"", REGEXM"&amp;"ATCH(LOWER(A17), ""depil|epil""), ""Depilação"", REGEXMATCH(LOWER(A17), ""esmalteria|unha|nail|manicur|spa dos p[eé]s|kauu_nhas""), ""Manicure - Esmalteria"", REGEXMATCH(LOWER(A17), ""est[eé]tic|bronze|massot|terap|pilates|revitalize|dra""), ""Clínica de "&amp;"Estética"", TRUE, ""Salão de Beleza""))"),"Salão de Beleza")</f>
        <v>Salão de Beleza</v>
      </c>
    </row>
    <row r="18">
      <c r="A18" s="1" t="s">
        <v>112</v>
      </c>
      <c r="B18" s="1" t="s">
        <v>113</v>
      </c>
      <c r="C18" s="1" t="s">
        <v>114</v>
      </c>
      <c r="D18" s="1" t="s">
        <v>115</v>
      </c>
      <c r="E18" s="1" t="s">
        <v>116</v>
      </c>
      <c r="F18" s="1" t="s">
        <v>117</v>
      </c>
      <c r="G18" s="3" t="str">
        <f>IFERROR(__xludf.DUMMYFUNCTION("AI(""Preencha um valor adequado para esta célula com base no contexto da tabela"")"),"Coelho Neto - MA")</f>
        <v>Coelho Neto - MA</v>
      </c>
      <c r="H18" s="2" t="s">
        <v>118</v>
      </c>
      <c r="I18" s="3" t="str">
        <f>IFERROR(__xludf.DUMMYFUNCTION("IF(A18="""", """", IFS(REGEXMATCH(LOWER(A18), ""barbearia|barber""), ""Barbearia"", REGEXMATCH(LOWER(A18), ""sobrancelh|c[ií]lio|lash|micropigment|showbrancelhas""), ""Sobrancelhas e Cílios"", REGEXMATCH(LOWER(A18), ""maquia|make""), ""Maquiagem"", REGEXM"&amp;"ATCH(LOWER(A18), ""depil|epil""), ""Depilação"", REGEXMATCH(LOWER(A18), ""esmalteria|unha|nail|manicur|spa dos p[eé]s|kauu_nhas""), ""Manicure - Esmalteria"", REGEXMATCH(LOWER(A18), ""est[eé]tic|bronze|massot|terap|pilates|revitalize|dra""), ""Clínica de "&amp;"Estética"", TRUE, ""Salão de Beleza""))"),"Salão de Beleza")</f>
        <v>Salão de Beleza</v>
      </c>
    </row>
    <row r="19">
      <c r="A19" s="1" t="s">
        <v>119</v>
      </c>
      <c r="D19" s="1" t="s">
        <v>120</v>
      </c>
      <c r="E19" s="1" t="s">
        <v>121</v>
      </c>
      <c r="F19" s="1" t="s">
        <v>122</v>
      </c>
      <c r="G19" s="3" t="str">
        <f>IFERROR(__xludf.DUMMYFUNCTION("AI(""Preencha um valor adequado para esta célula com base no contexto da tabela"")"),"Coelho Neto - MA")</f>
        <v>Coelho Neto - MA</v>
      </c>
      <c r="H19" s="2" t="s">
        <v>123</v>
      </c>
      <c r="I19" s="3" t="str">
        <f>IFERROR(__xludf.DUMMYFUNCTION("IF(A19="""", """", IFS(REGEXMATCH(LOWER(A19), ""barbearia|barber""), ""Barbearia"", REGEXMATCH(LOWER(A19), ""sobrancelh|c[ií]lio|lash|micropigment|showbrancelhas""), ""Sobrancelhas e Cílios"", REGEXMATCH(LOWER(A19), ""maquia|make""), ""Maquiagem"", REGEXM"&amp;"ATCH(LOWER(A19), ""depil|epil""), ""Depilação"", REGEXMATCH(LOWER(A19), ""esmalteria|unha|nail|manicur|spa dos p[eé]s|kauu_nhas""), ""Manicure - Esmalteria"", REGEXMATCH(LOWER(A19), ""est[eé]tic|bronze|massot|terap|pilates|revitalize|dra""), ""Clínica de "&amp;"Estética"", TRUE, ""Salão de Beleza""))"),"Salão de Beleza")</f>
        <v>Salão de Beleza</v>
      </c>
    </row>
    <row r="20">
      <c r="A20" s="1" t="s">
        <v>124</v>
      </c>
      <c r="D20" s="1" t="s">
        <v>125</v>
      </c>
      <c r="E20" s="1" t="s">
        <v>126</v>
      </c>
      <c r="F20" s="1" t="s">
        <v>127</v>
      </c>
      <c r="G20" s="3" t="str">
        <f>IFERROR(__xludf.DUMMYFUNCTION("AI(""Preencha um valor adequado para esta célula com base no contexto da tabela"")"),"Coelho Neto - MA")</f>
        <v>Coelho Neto - MA</v>
      </c>
      <c r="H20" s="2" t="s">
        <v>128</v>
      </c>
      <c r="I20" s="3" t="str">
        <f>IFERROR(__xludf.DUMMYFUNCTION("IF(A20="""", """", IFS(REGEXMATCH(LOWER(A20), ""barbearia|barber""), ""Barbearia"", REGEXMATCH(LOWER(A20), ""sobrancelh|c[ií]lio|lash|micropigment|showbrancelhas""), ""Sobrancelhas e Cílios"", REGEXMATCH(LOWER(A20), ""maquia|make""), ""Maquiagem"", REGEXM"&amp;"ATCH(LOWER(A20), ""depil|epil""), ""Depilação"", REGEXMATCH(LOWER(A20), ""esmalteria|unha|nail|manicur|spa dos p[eé]s|kauu_nhas""), ""Manicure - Esmalteria"", REGEXMATCH(LOWER(A20), ""est[eé]tic|bronze|massot|terap|pilates|revitalize|dra""), ""Clínica de "&amp;"Estética"", TRUE, ""Salão de Beleza""))"),"Salão de Beleza")</f>
        <v>Salão de Beleza</v>
      </c>
    </row>
    <row r="21">
      <c r="A21" s="1" t="s">
        <v>129</v>
      </c>
      <c r="D21" s="1" t="s">
        <v>130</v>
      </c>
      <c r="E21" s="1" t="s">
        <v>131</v>
      </c>
      <c r="F21" s="1" t="s">
        <v>132</v>
      </c>
      <c r="G21" s="3" t="str">
        <f>IFERROR(__xludf.DUMMYFUNCTION("AI(""Preencha um valor adequado para esta célula com base no contexto da tabela"")"),"Coelho Neto - MA")</f>
        <v>Coelho Neto - MA</v>
      </c>
      <c r="H21" s="2" t="s">
        <v>133</v>
      </c>
      <c r="I21" s="3" t="str">
        <f>IFERROR(__xludf.DUMMYFUNCTION("IF(A21="""", """", IFS(REGEXMATCH(LOWER(A21), ""barbearia|barber""), ""Barbearia"", REGEXMATCH(LOWER(A21), ""sobrancelh|c[ií]lio|lash|micropigment|showbrancelhas""), ""Sobrancelhas e Cílios"", REGEXMATCH(LOWER(A21), ""maquia|make""), ""Maquiagem"", REGEXM"&amp;"ATCH(LOWER(A21), ""depil|epil""), ""Depilação"", REGEXMATCH(LOWER(A21), ""esmalteria|unha|nail|manicur|spa dos p[eé]s|kauu_nhas""), ""Manicure - Esmalteria"", REGEXMATCH(LOWER(A21), ""est[eé]tic|bronze|massot|terap|pilates|revitalize|dra""), ""Clínica de "&amp;"Estética"", TRUE, ""Salão de Beleza""))"),"Salão de Beleza")</f>
        <v>Salão de Beleza</v>
      </c>
    </row>
    <row r="22">
      <c r="A22" s="1" t="s">
        <v>134</v>
      </c>
      <c r="D22" s="1" t="s">
        <v>135</v>
      </c>
      <c r="E22" s="1" t="s">
        <v>136</v>
      </c>
      <c r="F22" s="1" t="s">
        <v>137</v>
      </c>
      <c r="G22" s="3" t="str">
        <f>IFERROR(__xludf.DUMMYFUNCTION("AI(""Preencha um valor adequado para esta célula com base no contexto da tabela"")"),"Coelho Neto - MA")</f>
        <v>Coelho Neto - MA</v>
      </c>
      <c r="H22" s="2" t="s">
        <v>138</v>
      </c>
      <c r="I22" s="3" t="str">
        <f>IFERROR(__xludf.DUMMYFUNCTION("IF(A22="""", """", IFS(REGEXMATCH(LOWER(A22), ""barbearia|barber""), ""Barbearia"", REGEXMATCH(LOWER(A22), ""sobrancelh|c[ií]lio|lash|micropigment|showbrancelhas""), ""Sobrancelhas e Cílios"", REGEXMATCH(LOWER(A22), ""maquia|make""), ""Maquiagem"", REGEXM"&amp;"ATCH(LOWER(A22), ""depil|epil""), ""Depilação"", REGEXMATCH(LOWER(A22), ""esmalteria|unha|nail|manicur|spa dos p[eé]s|kauu_nhas""), ""Manicure - Esmalteria"", REGEXMATCH(LOWER(A22), ""est[eé]tic|bronze|massot|terap|pilates|revitalize|dra""), ""Clínica de "&amp;"Estética"", TRUE, ""Salão de Beleza""))"),"Salão de Beleza")</f>
        <v>Salão de Beleza</v>
      </c>
    </row>
    <row r="23">
      <c r="A23" s="1" t="s">
        <v>139</v>
      </c>
      <c r="D23" s="1" t="s">
        <v>140</v>
      </c>
      <c r="E23" s="1" t="s">
        <v>141</v>
      </c>
      <c r="F23" s="1" t="s">
        <v>142</v>
      </c>
      <c r="G23" s="3" t="str">
        <f>IFERROR(__xludf.DUMMYFUNCTION("AI(""Preencha um valor adequado para esta célula com base no contexto da tabela"")"),"Coelho Neto - MA")</f>
        <v>Coelho Neto - MA</v>
      </c>
      <c r="H23" s="2" t="s">
        <v>143</v>
      </c>
      <c r="I23" s="3" t="str">
        <f>IFERROR(__xludf.DUMMYFUNCTION("IF(A23="""", """", IFS(REGEXMATCH(LOWER(A23), ""barbearia|barber""), ""Barbearia"", REGEXMATCH(LOWER(A23), ""sobrancelh|c[ií]lio|lash|micropigment|showbrancelhas""), ""Sobrancelhas e Cílios"", REGEXMATCH(LOWER(A23), ""maquia|make""), ""Maquiagem"", REGEXM"&amp;"ATCH(LOWER(A23), ""depil|epil""), ""Depilação"", REGEXMATCH(LOWER(A23), ""esmalteria|unha|nail|manicur|spa dos p[eé]s|kauu_nhas""), ""Manicure - Esmalteria"", REGEXMATCH(LOWER(A23), ""est[eé]tic|bronze|massot|terap|pilates|revitalize|dra""), ""Clínica de "&amp;"Estética"", TRUE, ""Salão de Beleza""))"),"Salão de Beleza")</f>
        <v>Salão de Beleza</v>
      </c>
    </row>
    <row r="24">
      <c r="A24" s="1" t="s">
        <v>144</v>
      </c>
      <c r="D24" s="1" t="s">
        <v>145</v>
      </c>
      <c r="E24" s="1" t="s">
        <v>146</v>
      </c>
      <c r="F24" s="1" t="s">
        <v>147</v>
      </c>
      <c r="G24" s="3" t="str">
        <f>IFERROR(__xludf.DUMMYFUNCTION("AI(""Preencha um valor adequado para esta célula com base no contexto da tabela"")"),"Coelho Neto - MA")</f>
        <v>Coelho Neto - MA</v>
      </c>
      <c r="H24" s="2" t="s">
        <v>148</v>
      </c>
      <c r="I24" s="3" t="str">
        <f>IFERROR(__xludf.DUMMYFUNCTION("IF(A24="""", """", IFS(REGEXMATCH(LOWER(A24), ""barbearia|barber""), ""Barbearia"", REGEXMATCH(LOWER(A24), ""sobrancelh|c[ií]lio|lash|micropigment|showbrancelhas""), ""Sobrancelhas e Cílios"", REGEXMATCH(LOWER(A24), ""maquia|make""), ""Maquiagem"", REGEXM"&amp;"ATCH(LOWER(A24), ""depil|epil""), ""Depilação"", REGEXMATCH(LOWER(A24), ""esmalteria|unha|nail|manicur|spa dos p[eé]s|kauu_nhas""), ""Manicure - Esmalteria"", REGEXMATCH(LOWER(A24), ""est[eé]tic|bronze|massot|terap|pilates|revitalize|dra""), ""Clínica de "&amp;"Estética"", TRUE, ""Salão de Beleza""))"),"Salão de Beleza")</f>
        <v>Salão de Beleza</v>
      </c>
    </row>
    <row r="25">
      <c r="A25" s="1" t="s">
        <v>149</v>
      </c>
      <c r="B25" s="1" t="s">
        <v>150</v>
      </c>
      <c r="C25" s="1" t="s">
        <v>151</v>
      </c>
      <c r="D25" s="1" t="s">
        <v>152</v>
      </c>
      <c r="E25" s="1" t="s">
        <v>153</v>
      </c>
      <c r="F25" s="1" t="s">
        <v>154</v>
      </c>
      <c r="G25" s="3" t="str">
        <f>IFERROR(__xludf.DUMMYFUNCTION("AI(""Preencha um valor adequado para esta célula com base no contexto da tabela"")"),"Coelho Neto - MA")</f>
        <v>Coelho Neto - MA</v>
      </c>
      <c r="H25" s="2" t="s">
        <v>155</v>
      </c>
      <c r="I25" s="3" t="str">
        <f>IFERROR(__xludf.DUMMYFUNCTION("IF(A25="""", """", IFS(REGEXMATCH(LOWER(A25), ""barbearia|barber""), ""Barbearia"", REGEXMATCH(LOWER(A25), ""sobrancelh|c[ií]lio|lash|micropigment|showbrancelhas""), ""Sobrancelhas e Cílios"", REGEXMATCH(LOWER(A25), ""maquia|make""), ""Maquiagem"", REGEXM"&amp;"ATCH(LOWER(A25), ""depil|epil""), ""Depilação"", REGEXMATCH(LOWER(A25), ""esmalteria|unha|nail|manicur|spa dos p[eé]s|kauu_nhas""), ""Manicure - Esmalteria"", REGEXMATCH(LOWER(A25), ""est[eé]tic|bronze|massot|terap|pilates|revitalize|dra""), ""Clínica de "&amp;"Estética"", TRUE, ""Salão de Beleza""))"),"Salão de Beleza")</f>
        <v>Salão de Beleza</v>
      </c>
    </row>
    <row r="26">
      <c r="A26" s="1" t="s">
        <v>156</v>
      </c>
      <c r="D26" s="1" t="s">
        <v>157</v>
      </c>
      <c r="E26" s="1" t="s">
        <v>158</v>
      </c>
      <c r="F26" s="1" t="s">
        <v>159</v>
      </c>
      <c r="G26" s="3" t="str">
        <f>IFERROR(__xludf.DUMMYFUNCTION("AI(""Preencha um valor adequado para esta célula com base no contexto da tabela"")"),"Coelho Neto - MA")</f>
        <v>Coelho Neto - MA</v>
      </c>
      <c r="H26" s="2" t="s">
        <v>160</v>
      </c>
      <c r="I26" s="3" t="str">
        <f>IFERROR(__xludf.DUMMYFUNCTION("IF(A26="""", """", IFS(REGEXMATCH(LOWER(A26), ""barbearia|barber""), ""Barbearia"", REGEXMATCH(LOWER(A26), ""sobrancelh|c[ií]lio|lash|micropigment|showbrancelhas""), ""Sobrancelhas e Cílios"", REGEXMATCH(LOWER(A26), ""maquia|make""), ""Maquiagem"", REGEXM"&amp;"ATCH(LOWER(A26), ""depil|epil""), ""Depilação"", REGEXMATCH(LOWER(A26), ""esmalteria|unha|nail|manicur|spa dos p[eé]s|kauu_nhas""), ""Manicure - Esmalteria"", REGEXMATCH(LOWER(A26), ""est[eé]tic|bronze|massot|terap|pilates|revitalize|dra""), ""Clínica de "&amp;"Estética"", TRUE, ""Salão de Beleza""))"),"Manicure - Esmalteria")</f>
        <v>Manicure - Esmalteria</v>
      </c>
    </row>
    <row r="27">
      <c r="A27" s="1" t="s">
        <v>161</v>
      </c>
      <c r="D27" s="1" t="s">
        <v>162</v>
      </c>
      <c r="E27" s="1" t="s">
        <v>163</v>
      </c>
      <c r="F27" s="1" t="s">
        <v>164</v>
      </c>
      <c r="G27" s="3" t="str">
        <f>IFERROR(__xludf.DUMMYFUNCTION("AI(""Preencha um valor adequado para esta célula com base no contexto da tabela"")"),"Coelho Neto - MA")</f>
        <v>Coelho Neto - MA</v>
      </c>
      <c r="H27" s="2" t="s">
        <v>165</v>
      </c>
      <c r="I27" s="3" t="str">
        <f>IFERROR(__xludf.DUMMYFUNCTION("IF(A27="""", """", IFS(REGEXMATCH(LOWER(A27), ""barbearia|barber""), ""Barbearia"", REGEXMATCH(LOWER(A27), ""sobrancelh|c[ií]lio|lash|micropigment|showbrancelhas""), ""Sobrancelhas e Cílios"", REGEXMATCH(LOWER(A27), ""maquia|make""), ""Maquiagem"", REGEXM"&amp;"ATCH(LOWER(A27), ""depil|epil""), ""Depilação"", REGEXMATCH(LOWER(A27), ""esmalteria|unha|nail|manicur|spa dos p[eé]s|kauu_nhas""), ""Manicure - Esmalteria"", REGEXMATCH(LOWER(A27), ""est[eé]tic|bronze|massot|terap|pilates|revitalize|dra""), ""Clínica de "&amp;"Estética"", TRUE, ""Salão de Beleza""))"),"Clínica de Estética")</f>
        <v>Clínica de Estética</v>
      </c>
    </row>
    <row r="28">
      <c r="A28" s="1" t="s">
        <v>166</v>
      </c>
      <c r="B28" s="1" t="s">
        <v>167</v>
      </c>
      <c r="D28" s="1" t="s">
        <v>168</v>
      </c>
      <c r="E28" s="1" t="s">
        <v>169</v>
      </c>
      <c r="F28" s="1" t="s">
        <v>170</v>
      </c>
      <c r="G28" s="3" t="str">
        <f>IFERROR(__xludf.DUMMYFUNCTION("AI(""Preencha um valor adequado para esta célula com base no contexto da tabela"")"),"Coelho Neto - MA")</f>
        <v>Coelho Neto - MA</v>
      </c>
      <c r="H28" s="2" t="s">
        <v>171</v>
      </c>
      <c r="I28" s="3" t="str">
        <f>IFERROR(__xludf.DUMMYFUNCTION("IF(A28="""", """", IFS(REGEXMATCH(LOWER(A28), ""barbearia|barber""), ""Barbearia"", REGEXMATCH(LOWER(A28), ""sobrancelh|c[ií]lio|lash|micropigment|showbrancelhas""), ""Sobrancelhas e Cílios"", REGEXMATCH(LOWER(A28), ""maquia|make""), ""Maquiagem"", REGEXM"&amp;"ATCH(LOWER(A28), ""depil|epil""), ""Depilação"", REGEXMATCH(LOWER(A28), ""esmalteria|unha|nail|manicur|spa dos p[eé]s|kauu_nhas""), ""Manicure - Esmalteria"", REGEXMATCH(LOWER(A28), ""est[eé]tic|bronze|massot|terap|pilates|revitalize|dra""), ""Clínica de "&amp;"Estética"", TRUE, ""Salão de Beleza""))"),"Salão de Beleza")</f>
        <v>Salão de Beleza</v>
      </c>
    </row>
    <row r="29">
      <c r="A29" s="1" t="s">
        <v>172</v>
      </c>
      <c r="B29" s="1" t="s">
        <v>173</v>
      </c>
      <c r="C29" s="1" t="s">
        <v>174</v>
      </c>
      <c r="D29" s="1" t="s">
        <v>175</v>
      </c>
      <c r="E29" s="1" t="s">
        <v>176</v>
      </c>
      <c r="F29" s="1" t="s">
        <v>177</v>
      </c>
      <c r="G29" s="3" t="str">
        <f>IFERROR(__xludf.DUMMYFUNCTION("AI(""Preencha um valor adequado para esta célula com base no contexto da tabela"")"),"Coelho Neto - MA")</f>
        <v>Coelho Neto - MA</v>
      </c>
      <c r="H29" s="2" t="s">
        <v>178</v>
      </c>
      <c r="I29" s="3" t="str">
        <f>IFERROR(__xludf.DUMMYFUNCTION("IF(A29="""", """", IFS(REGEXMATCH(LOWER(A29), ""barbearia|barber""), ""Barbearia"", REGEXMATCH(LOWER(A29), ""sobrancelh|c[ií]lio|lash|micropigment|showbrancelhas""), ""Sobrancelhas e Cílios"", REGEXMATCH(LOWER(A29), ""maquia|make""), ""Maquiagem"", REGEXM"&amp;"ATCH(LOWER(A29), ""depil|epil""), ""Depilação"", REGEXMATCH(LOWER(A29), ""esmalteria|unha|nail|manicur|spa dos p[eé]s|kauu_nhas""), ""Manicure - Esmalteria"", REGEXMATCH(LOWER(A29), ""est[eé]tic|bronze|massot|terap|pilates|revitalize|dra""), ""Clínica de "&amp;"Estética"", TRUE, ""Salão de Beleza""))"),"Clínica de Estética")</f>
        <v>Clínica de Estética</v>
      </c>
    </row>
    <row r="30">
      <c r="A30" s="1" t="s">
        <v>179</v>
      </c>
      <c r="D30" s="1" t="s">
        <v>180</v>
      </c>
      <c r="E30" s="1" t="s">
        <v>181</v>
      </c>
      <c r="F30" s="1" t="s">
        <v>182</v>
      </c>
      <c r="G30" s="3" t="str">
        <f>IFERROR(__xludf.DUMMYFUNCTION("AI(""Preencha um valor adequado para esta célula com base no contexto da tabela"")"),"Coelho Neto - MA")</f>
        <v>Coelho Neto - MA</v>
      </c>
      <c r="H30" s="2" t="s">
        <v>183</v>
      </c>
      <c r="I30" s="3" t="str">
        <f>IFERROR(__xludf.DUMMYFUNCTION("IF(A30="""", """", IFS(REGEXMATCH(LOWER(A30), ""barbearia|barber""), ""Barbearia"", REGEXMATCH(LOWER(A30), ""sobrancelh|c[ií]lio|lash|micropigment|showbrancelhas""), ""Sobrancelhas e Cílios"", REGEXMATCH(LOWER(A30), ""maquia|make""), ""Maquiagem"", REGEXM"&amp;"ATCH(LOWER(A30), ""depil|epil""), ""Depilação"", REGEXMATCH(LOWER(A30), ""esmalteria|unha|nail|manicur|spa dos p[eé]s|kauu_nhas""), ""Manicure - Esmalteria"", REGEXMATCH(LOWER(A30), ""est[eé]tic|bronze|massot|terap|pilates|revitalize|dra""), ""Clínica de "&amp;"Estética"", TRUE, ""Salão de Beleza""))"),"Manicure - Esmalteria")</f>
        <v>Manicure - Esmalteria</v>
      </c>
    </row>
    <row r="31">
      <c r="A31" s="1" t="s">
        <v>184</v>
      </c>
      <c r="D31" s="1" t="s">
        <v>185</v>
      </c>
      <c r="E31" s="1" t="s">
        <v>186</v>
      </c>
      <c r="F31" s="1" t="s">
        <v>187</v>
      </c>
      <c r="G31" s="3" t="str">
        <f>IFERROR(__xludf.DUMMYFUNCTION("AI(""Preencha um valor adequado para esta célula com base no contexto da tabela"")"),"Coelho Neto - MA")</f>
        <v>Coelho Neto - MA</v>
      </c>
      <c r="H31" s="2" t="s">
        <v>188</v>
      </c>
      <c r="I31" s="3" t="str">
        <f>IFERROR(__xludf.DUMMYFUNCTION("IF(A31="""", """", IFS(REGEXMATCH(LOWER(A31), ""barbearia|barber""), ""Barbearia"", REGEXMATCH(LOWER(A31), ""sobrancelh|c[ií]lio|lash|micropigment|showbrancelhas""), ""Sobrancelhas e Cílios"", REGEXMATCH(LOWER(A31), ""maquia|make""), ""Maquiagem"", REGEXM"&amp;"ATCH(LOWER(A31), ""depil|epil""), ""Depilação"", REGEXMATCH(LOWER(A31), ""esmalteria|unha|nail|manicur|spa dos p[eé]s|kauu_nhas""), ""Manicure - Esmalteria"", REGEXMATCH(LOWER(A31), ""est[eé]tic|bronze|massot|terap|pilates|revitalize|dra""), ""Clínica de "&amp;"Estética"", TRUE, ""Salão de Beleza""))"),"Salão de Beleza")</f>
        <v>Salão de Beleza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</hyperlinks>
  <drawing r:id="rId31"/>
</worksheet>
</file>