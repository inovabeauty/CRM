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aloes Preseidente Dutra " sheetId="1" r:id="rId5"/>
  </sheets>
  <definedNames/>
  <calcPr/>
</workbook>
</file>

<file path=xl/sharedStrings.xml><?xml version="1.0" encoding="utf-8"?>
<sst xmlns="http://schemas.openxmlformats.org/spreadsheetml/2006/main" count="659" uniqueCount="652">
  <si>
    <t>Nome</t>
  </si>
  <si>
    <t>phone</t>
  </si>
  <si>
    <t>Whats App</t>
  </si>
  <si>
    <t>address</t>
  </si>
  <si>
    <t>latitude</t>
  </si>
  <si>
    <t>longitude</t>
  </si>
  <si>
    <t>Cidade</t>
  </si>
  <si>
    <t>url</t>
  </si>
  <si>
    <t>Categoria</t>
  </si>
  <si>
    <t>Geuziana Lúcio Cabeleireira</t>
  </si>
  <si>
    <t>+55 99 99187-9920</t>
  </si>
  <si>
    <t>+5599991879920</t>
  </si>
  <si>
    <t>R. Altíno Gomes, 205 - Vila Militar, Pres. Dutra - MA, 65760-000, Brasil</t>
  </si>
  <si>
    <t>-5.2963431</t>
  </si>
  <si>
    <t>-44.4936061</t>
  </si>
  <si>
    <t>Presidente Dutra - MA</t>
  </si>
  <si>
    <t>https://www.google.com/maps/search/?api=1&amp;query=Geuziana%20L%C3%BAcio%20Cabeleireira&amp;query_place_id=ChIJeY_6y75diAcRwBQzuy_8YjI</t>
  </si>
  <si>
    <t>Beauty Studio DarMinina</t>
  </si>
  <si>
    <t>+55 99 98426-0926</t>
  </si>
  <si>
    <t>+5599984260926</t>
  </si>
  <si>
    <t>Rua da invasão Campeão, Pres. Dutra - MA, 65760-000, Brasil</t>
  </si>
  <si>
    <t>-5.2866606</t>
  </si>
  <si>
    <t>-44.5050391</t>
  </si>
  <si>
    <t>https://www.google.com/maps/search/?api=1&amp;query=Beauty%20Studio%20DarMinina&amp;query_place_id=ChIJEbKJzhxdiAcRw8MM7ZxnYuY</t>
  </si>
  <si>
    <t>Camilla Beauty Studio</t>
  </si>
  <si>
    <t>+55 99 98824-9356</t>
  </si>
  <si>
    <t>+5599988249356</t>
  </si>
  <si>
    <t>Angical, Pres. Dutra - MA, 65760-000, Brasil</t>
  </si>
  <si>
    <t>-5.4423965</t>
  </si>
  <si>
    <t>-44.4677679</t>
  </si>
  <si>
    <t>https://www.google.com/maps/search/?api=1&amp;query=Camilla%20Beauty%20Studio&amp;query_place_id=ChIJoY7nCwBjiAcRdIIGOKOsyto</t>
  </si>
  <si>
    <t>JANIELE CABELEIREIRA</t>
  </si>
  <si>
    <t>+55 99 99122-8653</t>
  </si>
  <si>
    <t>+5599991228653</t>
  </si>
  <si>
    <t>Povoado invenção, Pres. Dutra - MA, 65760-000, Brasil</t>
  </si>
  <si>
    <t>-5.4253731</t>
  </si>
  <si>
    <t>-44.471729</t>
  </si>
  <si>
    <t>https://www.google.com/maps/search/?api=1&amp;query=JANIELE%20CABELEIREIRA&amp;query_place_id=ChIJX33vjNZjiAcRBbE5uln8VPE</t>
  </si>
  <si>
    <t>Salão Unissex</t>
  </si>
  <si>
    <t>+55 99 99220-2135</t>
  </si>
  <si>
    <t>+5599992202135</t>
  </si>
  <si>
    <t>R. Pres. Castelo Branco - Centro, Pres. Dutra - MA, 65760-000, Brasil</t>
  </si>
  <si>
    <t>-5.2857269</t>
  </si>
  <si>
    <t>-44.4903124</t>
  </si>
  <si>
    <t>https://www.google.com/maps/search/?api=1&amp;query=Sal%C3%A3o%20Unissex&amp;query_place_id=ChIJ59N45dxdiAcRl6vVn3vnM90</t>
  </si>
  <si>
    <t>Ela Centro de Beleza</t>
  </si>
  <si>
    <t>+55 99 98240-4472</t>
  </si>
  <si>
    <t>+5599982404472</t>
  </si>
  <si>
    <t>R. Cel. Sebastião Gomes, 405, Pres. Dutra - MA, 65760-000, Brasil</t>
  </si>
  <si>
    <t>-5.2844221</t>
  </si>
  <si>
    <t>-44.4927054</t>
  </si>
  <si>
    <t>https://www.google.com/maps/search/?api=1&amp;query=Ela%20Centro%20de%20Beleza&amp;query_place_id=ChIJBbJ1MDZciAcRJ9vB4ISOmQ8</t>
  </si>
  <si>
    <t>Mag Cabelereira</t>
  </si>
  <si>
    <t>+55 99 99127-3670</t>
  </si>
  <si>
    <t>+5599991273670</t>
  </si>
  <si>
    <t>R. Clodomir Cardoso, 464 - Centro, Pres. Dutra - MA, 65760-000, Brasil</t>
  </si>
  <si>
    <t>-5.2872735</t>
  </si>
  <si>
    <t>-44.4904674</t>
  </si>
  <si>
    <t>https://www.google.com/maps/search/?api=1&amp;query=Mag%20Cabelereira&amp;query_place_id=ChIJh4jL7_ldiAcRkbqrQdsf0GI</t>
  </si>
  <si>
    <t>Centro estético Sabrinny Moura</t>
  </si>
  <si>
    <t>R. 1, 2 - Vila Militar, Pres. Dutra - MA, 65760-000, Brasil</t>
  </si>
  <si>
    <t>-5.2979344</t>
  </si>
  <si>
    <t>-44.495782</t>
  </si>
  <si>
    <t>https://www.google.com/maps/search/?api=1&amp;query=Centro%20est%C3%A9tico%20Sabrinny%20Moura&amp;query_place_id=ChIJny-DGAFdiAcRgwg18ajH_o8</t>
  </si>
  <si>
    <t>Cantinho Spa Beauty - Havylla Dandara</t>
  </si>
  <si>
    <t>+55 99 99176-3659</t>
  </si>
  <si>
    <t>+5599991763659</t>
  </si>
  <si>
    <t>Av. José Olavo Sampaio, 333, Pres. Dutra - MA, 65760-000, Brasil</t>
  </si>
  <si>
    <t>-5.2873156</t>
  </si>
  <si>
    <t>-44.4951109</t>
  </si>
  <si>
    <t>https://www.google.com/maps/search/?api=1&amp;query=Cantinho%20Spa%20Beauty%20-%20Havylla%20Dandara&amp;query_place_id=ChIJVfZoDxZdiAcRVbOLcco-rmc</t>
  </si>
  <si>
    <t>Espaço Dayane Madeira Beleza e Estética</t>
  </si>
  <si>
    <t>+55 63 99137-8653</t>
  </si>
  <si>
    <t>+5563991378653</t>
  </si>
  <si>
    <t>Tv. Ver. Vicente Américo de Oliveira, 32, Pres. Dutra - MA, 65760-000, Brasil</t>
  </si>
  <si>
    <t>-5.292367</t>
  </si>
  <si>
    <t>-44.4894311</t>
  </si>
  <si>
    <t>https://www.google.com/maps/search/?api=1&amp;query=Espa%C3%A7o%20Dayane%20Madeira%20Beleza%20e%20Est%C3%A9tica&amp;query_place_id=ChIJd_gWXcpdiAcRzj8SrcP-J4Y</t>
  </si>
  <si>
    <t>AL CABELEIREIROS unissex</t>
  </si>
  <si>
    <t>+55 99 98251-6950</t>
  </si>
  <si>
    <t>+5599982516950</t>
  </si>
  <si>
    <t>Praça Diogo Soares, 68 - Centro, Pres. Dutra - MA, 65760-000, Brasil</t>
  </si>
  <si>
    <t>-5.2818317</t>
  </si>
  <si>
    <t>-44.4950294</t>
  </si>
  <si>
    <t>https://www.google.com/maps/search/?api=1&amp;query=AL%20CABELEIREIROS%20unissex&amp;query_place_id=ChIJe5riMcldiAcRkfGQfvLZiyw</t>
  </si>
  <si>
    <t>Myrla Cabelo</t>
  </si>
  <si>
    <t>R. Celso Sereno, 214, Pres. Dutra - MA, 65760-000, Brasil</t>
  </si>
  <si>
    <t>-5.2857822</t>
  </si>
  <si>
    <t>-44.4935322</t>
  </si>
  <si>
    <t>https://www.google.com/maps/search/?api=1&amp;query=Myrla%20Cabelo&amp;query_place_id=ChIJK0JgBABdiAcReLg-gYnZ1V8</t>
  </si>
  <si>
    <t>Lailla Cabelos</t>
  </si>
  <si>
    <t>R. Rainha da Paz - Bom Sucesso, Pres. Dutra - MA, 65760-000, Brasil</t>
  </si>
  <si>
    <t>-5.2821765</t>
  </si>
  <si>
    <t>-44.5050384</t>
  </si>
  <si>
    <t>https://www.google.com/maps/search/?api=1&amp;query=Lailla%20Cabelos&amp;query_place_id=ChIJFfmNRqldiAcROlYeCcVC9fM</t>
  </si>
  <si>
    <t>Studio Israelma Jordão - Crespos e Cachos</t>
  </si>
  <si>
    <t>+55 99 98435-5316</t>
  </si>
  <si>
    <t>+5599984355316</t>
  </si>
  <si>
    <t>R. Barão do Rio Branco, N° 90 - Centro, Pres. Dutra - MA, 65760-000, Brasil</t>
  </si>
  <si>
    <t>-5.2866468</t>
  </si>
  <si>
    <t>-44.4901807</t>
  </si>
  <si>
    <t>https://www.google.com/maps/search/?api=1&amp;query=Studio%20Israelma%20Jord%C3%A3o%20-%20Crespos%20e%20Cachos&amp;query_place_id=ChIJN1SWhnxdiAcRCJDZO3knt0E</t>
  </si>
  <si>
    <t>Andreia Oliveira Beauty</t>
  </si>
  <si>
    <t>+55 99 98101-5147</t>
  </si>
  <si>
    <t>+5599981015147</t>
  </si>
  <si>
    <t>R. Clodomir Cardoso, Pres. Dutra - MA, 65760-000, Brasil</t>
  </si>
  <si>
    <t>-5.2872712</t>
  </si>
  <si>
    <t>-44.490531</t>
  </si>
  <si>
    <t>https://www.google.com/maps/search/?api=1&amp;query=Andreia%20Oliveira%20Beauty&amp;query_place_id=ChIJdcXBDapdiAcRF6bYGmNZXaU</t>
  </si>
  <si>
    <t>Joyce Alencar STUDIO BEAUTY</t>
  </si>
  <si>
    <t>R. Cel. Sebastião Gomes, 136, Pres. Dutra - MA, 65760-000, Brasil</t>
  </si>
  <si>
    <t>-5.2824151</t>
  </si>
  <si>
    <t>-44.4947615</t>
  </si>
  <si>
    <t>https://www.google.com/maps/search/?api=1&amp;query=Joyce%20Alencar%20STUDIO%20BEAUTY&amp;query_place_id=ChIJt1xMFUhciAcRtH7SZtqcIaE</t>
  </si>
  <si>
    <t>Salão Sousa aplicação de prótese capilar</t>
  </si>
  <si>
    <t>+55 99 99649-3209</t>
  </si>
  <si>
    <t>+5599996493209</t>
  </si>
  <si>
    <t>R. Getúlio Vargas - Centro, Pres. Dutra - MA, 65760-000, Brasil</t>
  </si>
  <si>
    <t>-5.2873694</t>
  </si>
  <si>
    <t>-44.4922674</t>
  </si>
  <si>
    <t>https://www.google.com/maps/search/?api=1&amp;query=Sal%C3%A3o%20Sousa%20aplica%C3%A7%C3%A3o%20de%20pr%C3%B3tese%20capilar&amp;query_place_id=ChIJH9gl9ttdiAcRym7ckDY5Te8</t>
  </si>
  <si>
    <t>Fernanda Góis</t>
  </si>
  <si>
    <t>+55 99 98150-1749</t>
  </si>
  <si>
    <t>+5599981501749</t>
  </si>
  <si>
    <t>R. João Góis, 04, Pres. Dutra - MA, 65760-000, Brasil</t>
  </si>
  <si>
    <t>-5.2805244</t>
  </si>
  <si>
    <t>-44.4977973</t>
  </si>
  <si>
    <t>https://www.google.com/maps/search/?api=1&amp;query=Fernanda%20G%C3%B3is&amp;query_place_id=ChIJ6y6rZcddiAcR8YBOKKvexWw</t>
  </si>
  <si>
    <t>Espaço Jaqueline Cavalcante Hair</t>
  </si>
  <si>
    <t>+55 99 98210-7715</t>
  </si>
  <si>
    <t>+5599982107715</t>
  </si>
  <si>
    <t>espaço Bom sucesso - R. Santa Teresinha, Pres. Dutra - MA, 65760-000, Brasil</t>
  </si>
  <si>
    <t>-5.282435</t>
  </si>
  <si>
    <t>-44.503995</t>
  </si>
  <si>
    <t>https://www.google.com/maps/search/?api=1&amp;query=Espa%C3%A7o%20Jaqueline%20Cavalcante%20Hair&amp;query_place_id=ChIJ97AVSEtdiAcRDGdwzFxe5Jo</t>
  </si>
  <si>
    <t>Mônica Cabeleireira</t>
  </si>
  <si>
    <t>Av. Tancredo Neves, 362, Pres. Dutra - MA, 65760-000, Brasil</t>
  </si>
  <si>
    <t>-5.2866269</t>
  </si>
  <si>
    <t>-44.5007791</t>
  </si>
  <si>
    <t>https://www.google.com/maps/search/?api=1&amp;query=M%C3%B4nica%20Cabeleireira&amp;query_place_id=ChIJnQU5q01ciAcROQkn2iT0BwY</t>
  </si>
  <si>
    <t>Studio de Beleza Lanna Sousa</t>
  </si>
  <si>
    <t>+55 99 98217-9404</t>
  </si>
  <si>
    <t>+5599982179404</t>
  </si>
  <si>
    <t>Av. José Olavo Sampaio, 18 - centro, Pres. Dutra - MA, 65760-000, Brasil</t>
  </si>
  <si>
    <t>-5.2900942</t>
  </si>
  <si>
    <t>-44.4937297</t>
  </si>
  <si>
    <t>https://www.google.com/maps/search/?api=1&amp;query=Studio%20de%20Beleza%20Lanna%20Sousa&amp;query_place_id=ChIJox9WEutdiAcRgcksdyiFbvQ</t>
  </si>
  <si>
    <t>Salão Cabeleireira</t>
  </si>
  <si>
    <t>R. Graçaranha, Pres. Dutra - MA, 65760-000, Brasil</t>
  </si>
  <si>
    <t>-5.2929654</t>
  </si>
  <si>
    <t>-44.4886893</t>
  </si>
  <si>
    <t>https://www.google.com/maps/search/?api=1&amp;query=Sal%C3%A3o%20Cabeleireira&amp;query_place_id=ChIJg7PsCQBdiAcRsu3QnI5Lkmw</t>
  </si>
  <si>
    <t>Fábio Cabeleireiro</t>
  </si>
  <si>
    <t>R. Graçaranha, 787, Pres. Dutra - MA, 65760-000, Brasil</t>
  </si>
  <si>
    <t>-5.2948027</t>
  </si>
  <si>
    <t>-44.4887544</t>
  </si>
  <si>
    <t>https://www.google.com/maps/search/?api=1&amp;query=F%C3%A1bio%20Cabeleireiro&amp;query_place_id=ChIJEzCQyJ5diAcRBKr1X353ihc</t>
  </si>
  <si>
    <t>Salão Belíssima presidente dutra ma</t>
  </si>
  <si>
    <t>Rua graça aranha, Pres. Dutra - MA, 65760-000, Brasil</t>
  </si>
  <si>
    <t>-5.2904814</t>
  </si>
  <si>
    <t>-44.4883218</t>
  </si>
  <si>
    <t>https://www.google.com/maps/search/?api=1&amp;query=Sal%C3%A3o%20Bel%C3%ADssima%20presidente%20dutra%20ma&amp;query_place_id=ChIJddrVlRJdiAcRn79YaAsGgfU</t>
  </si>
  <si>
    <t>Ze Cabelereiro Melhor De Pk</t>
  </si>
  <si>
    <t>+55 99 98172-1637</t>
  </si>
  <si>
    <t>+5599981721637</t>
  </si>
  <si>
    <t>R. Graçaranha, 773, Pres. Dutra - MA, 65760-000, Brasil</t>
  </si>
  <si>
    <t>-5.294758</t>
  </si>
  <si>
    <t>-44.4887519</t>
  </si>
  <si>
    <t>https://www.google.com/maps/search/?api=1&amp;query=Ze%20Cabelereiro%20Melhor%20De%20Pk&amp;query_place_id=ChIJLbJSys5diAcRYgoiN9gH6og</t>
  </si>
  <si>
    <t>Salao Visual Vip</t>
  </si>
  <si>
    <t>+55 99 98123-0414</t>
  </si>
  <si>
    <t>+5599981230414</t>
  </si>
  <si>
    <t>2 Travessa São Francisco 234, Pres. Dutra - MA, 65760-000, Brasil</t>
  </si>
  <si>
    <t>-5.3048421</t>
  </si>
  <si>
    <t>-44.4846155</t>
  </si>
  <si>
    <t>https://www.google.com/maps/search/?api=1&amp;query=Salao%20Visual%20Vip&amp;query_place_id=ChIJpV4_tsJdiAcRFSJ14ZoBdg8</t>
  </si>
  <si>
    <t>Evánia CABELEIREIRA</t>
  </si>
  <si>
    <t>Av. Tancredo Neves, 2048, Pres. Dutra - MA, 65760-000, Brasil</t>
  </si>
  <si>
    <t>-5.3024651</t>
  </si>
  <si>
    <t>-44.4918685</t>
  </si>
  <si>
    <t>https://www.google.com/maps/search/?api=1&amp;query=Ev%C3%A1nia%20CABELEIREIRA&amp;query_place_id=ChIJfxDx5cBdiAcREZxIJAsxkx0</t>
  </si>
  <si>
    <t>Salão Dricabelos</t>
  </si>
  <si>
    <t>+55 99 99200-0477</t>
  </si>
  <si>
    <t>+5599992000477</t>
  </si>
  <si>
    <t>Av. Tancredo Neves, Pres. Dutra - MA, 65760-000, Brasil</t>
  </si>
  <si>
    <t>-5.2951092</t>
  </si>
  <si>
    <t>-44.4965869</t>
  </si>
  <si>
    <t>https://www.google.com/maps/search/?api=1&amp;query=Sal%C3%A3o%20Dricabelos&amp;query_place_id=ChIJh2pBkPxdiAcRYFtLpySYbQk</t>
  </si>
  <si>
    <t>Salão Beleza Pura</t>
  </si>
  <si>
    <t>+55 99 98196-3123</t>
  </si>
  <si>
    <t>+5599981963123</t>
  </si>
  <si>
    <t>Tv. Juscelino Kubitscheck, 185-129, Pres. Dutra - MA, 65760-000, Brasil</t>
  </si>
  <si>
    <t>-5.3056097</t>
  </si>
  <si>
    <t>-44.4926701</t>
  </si>
  <si>
    <t>https://www.google.com/maps/search/?api=1&amp;query=Sal%C3%A3o%20Beleza%20Pura&amp;query_place_id=ChIJ7YSM7ZBdiAcRnWGt57chjao</t>
  </si>
  <si>
    <t>Studio Thamiris Fonseca - Especialista em Sobrancelhas e Micropigmentação</t>
  </si>
  <si>
    <t>+55 99 99190-7117</t>
  </si>
  <si>
    <t>+5599991907117</t>
  </si>
  <si>
    <t>Tv. Saturnino Belo, 36 - Centro, Pres. Dutra - MA, 65760-000, Brasil</t>
  </si>
  <si>
    <t>-5.2851486</t>
  </si>
  <si>
    <t>-44.4927766</t>
  </si>
  <si>
    <t>https://www.google.com/maps/search/?api=1&amp;query=Studio%20Thamiris%20Fonseca%20-%20Especialista%20em%20Sobrancelhas%20e%20Micropigmenta%C3%A7%C3%A3o&amp;query_place_id=ChIJW5AFg11diAcRvmEUVfrOKkM</t>
  </si>
  <si>
    <t>Studio de beleza karoliny</t>
  </si>
  <si>
    <t>+55 99 98147-0503</t>
  </si>
  <si>
    <t>+5599981470503</t>
  </si>
  <si>
    <t>Av. Tancredo Neves, 464, Pres. Dutra - MA, 65760-000, Brasil</t>
  </si>
  <si>
    <t>-5.287522</t>
  </si>
  <si>
    <t>-44.5003696</t>
  </si>
  <si>
    <t>https://www.google.com/maps/search/?api=1&amp;query=Studio%20de%20beleza%20karoliny&amp;query_place_id=ChIJdWfgz31diAcRyl73JHVyFIE</t>
  </si>
  <si>
    <t>DELLA'S STUDIO</t>
  </si>
  <si>
    <t>R. Barão do Rio Branco, 218, Pres. Dutra - MA, 65760-000, Brasil</t>
  </si>
  <si>
    <t>-5.2879775</t>
  </si>
  <si>
    <t>-44.4901154</t>
  </si>
  <si>
    <t>https://www.google.com/maps/search/?api=1&amp;query=DELLA'S%20STUDIO&amp;query_place_id=ChIJH15SizRciAcRkOy_3QxIgpc</t>
  </si>
  <si>
    <t>Studio Kbelo Tattoo</t>
  </si>
  <si>
    <t>+55 99 98151-0947</t>
  </si>
  <si>
    <t>+5599981510947</t>
  </si>
  <si>
    <t>Tv. Raimundo Matos, 111, Pres. Dutra - MA, 65760-000, Brasil</t>
  </si>
  <si>
    <t>-5.2858319</t>
  </si>
  <si>
    <t>-44.494015</t>
  </si>
  <si>
    <t>https://www.google.com/maps/search/?api=1&amp;query=Studio%20Kbelo%20Tattoo&amp;query_place_id=ChIJzR92LqJdiAcRjkLIMv4xX24</t>
  </si>
  <si>
    <t>Studio anenilda costa</t>
  </si>
  <si>
    <t>Pres. Dutra - MA, 65760-000, Brasil</t>
  </si>
  <si>
    <t>-5.2901549</t>
  </si>
  <si>
    <t>-44.4952922</t>
  </si>
  <si>
    <t>https://www.google.com/maps/search/?api=1&amp;query=Studio%20anenilda%20costa&amp;query_place_id=ChIJpbhufwBdiAcRDk7JoWDZC-o</t>
  </si>
  <si>
    <t>Studio Samy Carvalho</t>
  </si>
  <si>
    <t>+55 99 98810-7850</t>
  </si>
  <si>
    <t>+5599988107850</t>
  </si>
  <si>
    <t>Rua Adalberto de Macedo, Pres. Dutra - MA, 65760-000, Brasil</t>
  </si>
  <si>
    <t>-5.2878697</t>
  </si>
  <si>
    <t>-44.4993426</t>
  </si>
  <si>
    <t>https://www.google.com/maps/search/?api=1&amp;query=Studio%20Samy%20Carvalho&amp;query_place_id=ChIJiYGslUxciAcRuTFzH5MoCoA</t>
  </si>
  <si>
    <t>Karolaine Nunes Studio</t>
  </si>
  <si>
    <t>+55 99 99180-1555</t>
  </si>
  <si>
    <t>+5599991801555</t>
  </si>
  <si>
    <t>-5.3005391</t>
  </si>
  <si>
    <t>-44.4767357</t>
  </si>
  <si>
    <t>https://www.google.com/maps/search/?api=1&amp;query=Karolaine%20Nunes%20Studio&amp;query_place_id=ChIJoaiibwBdiAcRpq6LxhJ1MOI</t>
  </si>
  <si>
    <t>Studio Valéria Nascimento</t>
  </si>
  <si>
    <t>+55 99 98406-7094</t>
  </si>
  <si>
    <t>+5599984067094</t>
  </si>
  <si>
    <t>Tv. Frei Renato - São José, Pres. Dutra - MA, 65760-000, Brasil</t>
  </si>
  <si>
    <t>-5.3037268</t>
  </si>
  <si>
    <t>-44.4857707</t>
  </si>
  <si>
    <t>https://www.google.com/maps/search/?api=1&amp;query=Studio%20Val%C3%A9ria%20Nascimento&amp;query_place_id=ChIJt6LfkRpdiAcRlTM_bkp8_K0</t>
  </si>
  <si>
    <t>Studio Lash Alba Souza</t>
  </si>
  <si>
    <t>+55 99 98496-3097</t>
  </si>
  <si>
    <t>+5599984963097</t>
  </si>
  <si>
    <t>Av. José Olavo Sampaio, 170 - Centro, Pres. Dutra - MA, 65760-000, Brasil</t>
  </si>
  <si>
    <t>-5.2839818</t>
  </si>
  <si>
    <t>-44.4959724</t>
  </si>
  <si>
    <t>https://www.google.com/maps/search/?api=1&amp;query=Studio%20Lash%20Alba%20Souza&amp;query_place_id=ChIJkSOLtJFdiAcRqDoDUx0zbUg</t>
  </si>
  <si>
    <t>LOYDE SILVA ESTÉTICA &amp; CABELOS</t>
  </si>
  <si>
    <t>+55 99 98542-0251</t>
  </si>
  <si>
    <t>+5599985420251</t>
  </si>
  <si>
    <t>Enfrente a centro de ensino padre anchieta - R. Pres. Castelo Branco - Centro, Pres. Dutra - MA, 65760-000, Brasil</t>
  </si>
  <si>
    <t>-5.2894186</t>
  </si>
  <si>
    <t>-44.4940106</t>
  </si>
  <si>
    <t>https://www.google.com/maps/search/?api=1&amp;query=LOYDE%20SILVA%20EST%C3%89TICA%20%26%20CABELOS&amp;query_place_id=ChIJz2pTBahdiAcRurHoBJd1gu0</t>
  </si>
  <si>
    <t>Beleza &amp; Estética Jeane Lima</t>
  </si>
  <si>
    <t>+55 99 98549-7891</t>
  </si>
  <si>
    <t>+5599985497891</t>
  </si>
  <si>
    <t>R. Vinte e Oito de Junho Sul, 876 - Vila Militar, Pres. Dutra - MA, 65760-000, Brasil</t>
  </si>
  <si>
    <t>-5.2900969</t>
  </si>
  <si>
    <t>-44.4952886</t>
  </si>
  <si>
    <t>https://www.google.com/maps/search/?api=1&amp;query=Beleza%20%26%20Est%C3%A9tica%20Jeane%20Lima&amp;query_place_id=ChIJf71m5rBdiAcR3V81VxOLGfU</t>
  </si>
  <si>
    <t>Ana Paula Maciel Sobrancelhas e Micropigmentação</t>
  </si>
  <si>
    <t>+55 99 98210-5158</t>
  </si>
  <si>
    <t>+5599982105158</t>
  </si>
  <si>
    <t>R. Barão do Rio Branco, 176 - Centro, Pres. Dutra - MA, 65760-000, Brasil</t>
  </si>
  <si>
    <t>-5.2874677</t>
  </si>
  <si>
    <t>-44.4902052</t>
  </si>
  <si>
    <t>https://www.google.com/maps/search/?api=1&amp;query=Ana%20Paula%20Maciel%20Sobrancelhas%20e%20Micropigmenta%C3%A7%C3%A3o&amp;query_place_id=ChIJt1cn48BdiAcREnDkHzg_eQU</t>
  </si>
  <si>
    <t>Arrebiks Beleza &amp; Cosméticos</t>
  </si>
  <si>
    <t>+55 99 98470-4571</t>
  </si>
  <si>
    <t>+5599984704571</t>
  </si>
  <si>
    <t>Rua Prof - R. Pref. Nelson Sereno - Centro, Pres. Dutra - MA, 65760-000, Brasil</t>
  </si>
  <si>
    <t>-5.2828164</t>
  </si>
  <si>
    <t>-44.4939596</t>
  </si>
  <si>
    <t>https://www.google.com/maps/search/?api=1&amp;query=Arrebiks%20Beleza%20%26%20Cosm%C3%A9ticos&amp;query_place_id=ChIJh4J5JgBdiAcRyiE4ly9IADo</t>
  </si>
  <si>
    <t>JEANE LASER ESTETICA</t>
  </si>
  <si>
    <t>R. 28 de Junho, 454 - Centro, Pres. Dutra - MA, 65760-000, Brasil</t>
  </si>
  <si>
    <t>-5.2882125</t>
  </si>
  <si>
    <t>-44.4942318</t>
  </si>
  <si>
    <t>https://www.google.com/maps/search/?api=1&amp;query=JEANE%20LASER%20ESTETICA&amp;query_place_id=ChIJE96oyR1diAcRPbJtz8bPlXo</t>
  </si>
  <si>
    <t>LUCAS MARQUES BEAUTY</t>
  </si>
  <si>
    <t>+55 99 98512-2919</t>
  </si>
  <si>
    <t>+5599985122919</t>
  </si>
  <si>
    <t>R. Frei Carméio, Av. Campo Dantas, 223, Pres. Dutra - MA, 65760-000, Brasil</t>
  </si>
  <si>
    <t>-5.3018736</t>
  </si>
  <si>
    <t>-44.4917354</t>
  </si>
  <si>
    <t>https://www.google.com/maps/search/?api=1&amp;query=LUCAS%20MARQUES%20BEAUTY&amp;query_place_id=ChIJ3xFxrb5diAcRFXTr-ijq1Tw</t>
  </si>
  <si>
    <t>Espaço VP</t>
  </si>
  <si>
    <t>+55 99 98507-7960</t>
  </si>
  <si>
    <t>+5599985077960</t>
  </si>
  <si>
    <t>Tv. Airton Gomes, Pres. Dutra - MA, 65760-000, Brasil</t>
  </si>
  <si>
    <t>-5.2964822</t>
  </si>
  <si>
    <t>-44.4924757</t>
  </si>
  <si>
    <t>https://www.google.com/maps/search/?api=1&amp;query=Espa%C3%A7o%20VP&amp;query_place_id=ChIJ5xEIuYldiAcRsaifu-MpT-Y</t>
  </si>
  <si>
    <t>Salão da Leanes</t>
  </si>
  <si>
    <t>+55 99 98172-0674</t>
  </si>
  <si>
    <t>+5599981720674</t>
  </si>
  <si>
    <t>R. Manoel Crizanto, 140, Pres. Dutra - MA, 65760-000, Brasil</t>
  </si>
  <si>
    <t>-5.2983279</t>
  </si>
  <si>
    <t>-44.4910769</t>
  </si>
  <si>
    <t>https://www.google.com/maps/search/?api=1&amp;query=Sal%C3%A3o%20da%20Leanes&amp;query_place_id=ChIJoQYQF8VdiAcRmw181DajeKg</t>
  </si>
  <si>
    <t>Salão da Bete pk</t>
  </si>
  <si>
    <t>+55 99 99218-8475</t>
  </si>
  <si>
    <t>+5599992188475</t>
  </si>
  <si>
    <t>R. Saturno, 52, Pres. Dutra - MA, 65760-000, Brasil</t>
  </si>
  <si>
    <t>-5.291479</t>
  </si>
  <si>
    <t>-44.5005561</t>
  </si>
  <si>
    <t>https://www.google.com/maps/search/?api=1&amp;query=Sal%C3%A3o%20da%20Bete%20pk&amp;query_place_id=ChIJrXZnI_ddiAcRJLPl2NxtkfE</t>
  </si>
  <si>
    <t>Thaty Beleza Estética</t>
  </si>
  <si>
    <t>+55 99 98127-7520</t>
  </si>
  <si>
    <t>+5599981277520</t>
  </si>
  <si>
    <t>R. Dep. Manoel Gomes, 504, Pres. Dutra - MA, 65760-000, Brasil</t>
  </si>
  <si>
    <t>-5.3050253</t>
  </si>
  <si>
    <t>-44.4908869</t>
  </si>
  <si>
    <t>https://www.google.com/maps/search/?api=1&amp;query=Thaty%20Beleza%20Est%C3%A9tica&amp;query_place_id=ChIJMfLeBsRdiAcRl7xVozs4uu4</t>
  </si>
  <si>
    <t>Espaço Nonata Libãnio Unhas</t>
  </si>
  <si>
    <t>+55 99 98442-5018</t>
  </si>
  <si>
    <t>+5599984425018</t>
  </si>
  <si>
    <t>Av. Tancredo Neves, 1417, Pres. Dutra - MA, 65760-000, Brasil</t>
  </si>
  <si>
    <t>-5.2965316</t>
  </si>
  <si>
    <t>-44.4957504</t>
  </si>
  <si>
    <t>https://www.google.com/maps/search/?api=1&amp;query=Espa%C3%A7o%20Nonata%20Lib%C3%A3nio%20Unhas&amp;query_place_id=ChIJfUsPTQBdiAcRXA1y-QtLWHk</t>
  </si>
  <si>
    <t>Studio Mary Lima</t>
  </si>
  <si>
    <t>R. Pará, 96 - Santa Maria, Pres. Dutra - MA, 65760-000, Brasil</t>
  </si>
  <si>
    <t>-5.3134053</t>
  </si>
  <si>
    <t>-44.4890982</t>
  </si>
  <si>
    <t>https://www.google.com/maps/search/?api=1&amp;query=Studio%20Mary%20Lima&amp;query_place_id=ChIJnVmFhlNdiAcRolMrQd0a--Y</t>
  </si>
  <si>
    <t>Cileide Unhas</t>
  </si>
  <si>
    <t>+55 99 99133-6289</t>
  </si>
  <si>
    <t>+5599991336289</t>
  </si>
  <si>
    <t>Av. Tancredo Neves, 1365, Pres. Dutra - MA, 65760-000, Brasil</t>
  </si>
  <si>
    <t>-5.2960827</t>
  </si>
  <si>
    <t>-44.4960216</t>
  </si>
  <si>
    <t>https://www.google.com/maps/search/?api=1&amp;query=Cileide%20Unhas&amp;query_place_id=ChIJxZmhQLVdiAcRNfxG7LM1Qj8</t>
  </si>
  <si>
    <t>Centro de Beleza Rafaela Oliveira</t>
  </si>
  <si>
    <t>Tv. Virgílio Feitosa, 1106 - Vila Militar, Pres. Dutra - MA, 65760-000, Brasil</t>
  </si>
  <si>
    <t>-5.2986994</t>
  </si>
  <si>
    <t>-44.4928804</t>
  </si>
  <si>
    <t>https://www.google.com/maps/search/?api=1&amp;query=Centro%20de%20Beleza%20Rafaela%20Oliveira&amp;query_place_id=ChIJfcJ3RQBdiAcRq2A3bNEph1s</t>
  </si>
  <si>
    <t>Estúdio de Beleza Espaços das Escovas</t>
  </si>
  <si>
    <t>+55 99 99903-1284</t>
  </si>
  <si>
    <t>+5599999031284</t>
  </si>
  <si>
    <t>Jean Carvalho - rua b, número 3, Pres. Dutra - MA, 65760-000, Brasil</t>
  </si>
  <si>
    <t>-5.304594</t>
  </si>
  <si>
    <t>-44.4791808</t>
  </si>
  <si>
    <t>https://www.google.com/maps/search/?api=1&amp;query=Est%C3%BAdio%20de%20Beleza%20Espa%C3%A7os%20das%20Escovas&amp;query_place_id=ChIJiy5tEgBdiAcRSm9Szmg1Af0</t>
  </si>
  <si>
    <t>Salão de beleza Vitória Régia</t>
  </si>
  <si>
    <t>-5.30379</t>
  </si>
  <si>
    <t>-44.50207</t>
  </si>
  <si>
    <t>https://www.google.com/maps/search/?api=1&amp;query=Sal%C3%A3o%20de%20beleza%20Vit%C3%B3ria%20R%C3%A9gia&amp;query_place_id=ChIJx-K9RgBdiAcRA_Am8FF7Ajo</t>
  </si>
  <si>
    <t>Rs_charme_nail_art</t>
  </si>
  <si>
    <t>+55 99 99217-1209</t>
  </si>
  <si>
    <t>+5599992171209</t>
  </si>
  <si>
    <t>R. Eliéser Carvalho, 6, Pres. Dutra - MA, 65760-000, Brasil</t>
  </si>
  <si>
    <t>-5.3079798</t>
  </si>
  <si>
    <t>-44.4918729</t>
  </si>
  <si>
    <t>https://www.google.com/maps/search/?api=1&amp;query=Rs_charme_nail_art&amp;query_place_id=ChIJHbXGdEFdiAcREmadwS5xDCM</t>
  </si>
  <si>
    <t>Studio Jakeline Leal</t>
  </si>
  <si>
    <t>+55 99 98445-5554</t>
  </si>
  <si>
    <t>+5599984455554</t>
  </si>
  <si>
    <t>R. da Piçarra, Pres. Dutra - MA, 65760-000, Brasil</t>
  </si>
  <si>
    <t>-5.3053872</t>
  </si>
  <si>
    <t>-44.482818</t>
  </si>
  <si>
    <t>https://www.google.com/maps/search/?api=1&amp;query=Studio%20Jakeline%20Leal&amp;query_place_id=ChIJxa3ZK-hdiAcR_B08Xc9-3Ag</t>
  </si>
  <si>
    <t>Studio Princesa</t>
  </si>
  <si>
    <t>Tv. Juscelino Kubitscheck, Pres. Dutra - MA, 65760-000, Brasil</t>
  </si>
  <si>
    <t>-5.3055988</t>
  </si>
  <si>
    <t>-44.4926611</t>
  </si>
  <si>
    <t>https://www.google.com/maps/search/?api=1&amp;query=Studio%20Princesa&amp;query_place_id=ChIJpy_7vOpdiAcRJ6DUiZX-lgY</t>
  </si>
  <si>
    <t>Studio Anna Caroliny Lash e Sobrancelha</t>
  </si>
  <si>
    <t>+55 99 99216-9591</t>
  </si>
  <si>
    <t>+5599992169591</t>
  </si>
  <si>
    <t>São Francisco, R. São José, Número F29, Pres. Dutra - MA, 65760-000, Brasil</t>
  </si>
  <si>
    <t>-5.3045072</t>
  </si>
  <si>
    <t>-44.4847725</t>
  </si>
  <si>
    <t>https://www.google.com/maps/search/?api=1&amp;query=Studio%20Anna%20Caroliny%20Lash%20e%20Sobrancelha&amp;query_place_id=ChIJa7JdnP1diAcRjPsbCPssr28</t>
  </si>
  <si>
    <t>Ray Salão unissex</t>
  </si>
  <si>
    <t>+55 99 98506-0997</t>
  </si>
  <si>
    <t>+5599985060997</t>
  </si>
  <si>
    <t>R. Pedro Gualter, 76, Pres. Dutra - MA, 65760-000, Brasil</t>
  </si>
  <si>
    <t>-5.3072794</t>
  </si>
  <si>
    <t>-44.4928011</t>
  </si>
  <si>
    <t>https://www.google.com/maps/search/?api=1&amp;query=Ray%20Sal%C3%A3o%20unissex&amp;query_place_id=ChIJ38wbJUldiAcRA6udccEClT8</t>
  </si>
  <si>
    <t>SANDRA SOUSA STÚDIO DE BELEZA</t>
  </si>
  <si>
    <t>Av. Tancredo Neves, 793, Pres. Dutra - MA, 65760-000, Brasil</t>
  </si>
  <si>
    <t>-5.2910171</t>
  </si>
  <si>
    <t>-44.4985034</t>
  </si>
  <si>
    <t>https://www.google.com/maps/search/?api=1&amp;query=SANDRA%20SOUSA%20ST%C3%9ADIO%20DE%20BELEZA&amp;query_place_id=ChIJXYwPgbNdiAcR6WcbezVRRNA</t>
  </si>
  <si>
    <t>Studio Rilgla Sousa</t>
  </si>
  <si>
    <t>Tv. São Francisco, 18 - São José, Pres. Dutra - MA, 65760-000, Brasil</t>
  </si>
  <si>
    <t>-5.3022594</t>
  </si>
  <si>
    <t>-44.4874871</t>
  </si>
  <si>
    <t>https://www.google.com/maps/search/?api=1&amp;query=Studio%20Rilgla%20Sousa&amp;query_place_id=ChIJlXwpv1FdiAcRhIEjJ6z93pQ</t>
  </si>
  <si>
    <t>STYLOS CARIRI PRESIDENTE DUTRA</t>
  </si>
  <si>
    <t>+55 99 98833-1042</t>
  </si>
  <si>
    <t>+5599988331042</t>
  </si>
  <si>
    <t>Av. José Olavo Sampaio, 1042 - Centro - Centro, Pres. Dutra - MA, 65760-000, Brasil</t>
  </si>
  <si>
    <t>-5.2964004</t>
  </si>
  <si>
    <t>-44.4897066</t>
  </si>
  <si>
    <t>https://www.google.com/maps/search/?api=1&amp;query=STYLOS%20CARIRI%20PRESIDENTE%20DUTRA&amp;query_place_id=ChIJGUnlxshdiAcRga4TdF4gyR4</t>
  </si>
  <si>
    <t>Espaço arine Unhas</t>
  </si>
  <si>
    <t>R. Camilo da Rocha, Pres. Dutra - MA, 65760-000, Brasil</t>
  </si>
  <si>
    <t>-5.2921489</t>
  </si>
  <si>
    <t>-44.4971604</t>
  </si>
  <si>
    <t>https://www.google.com/maps/search/?api=1&amp;query=Espa%C3%A7o%20arine%20Unhas&amp;query_place_id=ChIJG1olPrRdiAcRKmIO0p5Ix9M</t>
  </si>
  <si>
    <t>Enir Bronze</t>
  </si>
  <si>
    <t>+55 99 98447-0153</t>
  </si>
  <si>
    <t>+5599984470153</t>
  </si>
  <si>
    <t>R. Pará, 622, Pres. Dutra - MA, 65760-000, Brasil</t>
  </si>
  <si>
    <t>-5.315417</t>
  </si>
  <si>
    <t>-44.4900689</t>
  </si>
  <si>
    <t>https://www.google.com/maps/search/?api=1&amp;query=Enir%20Bronze&amp;query_place_id=ChIJ6zU3YwBdiAcRzPpo94fkwKE</t>
  </si>
  <si>
    <t>D/T</t>
  </si>
  <si>
    <t>R. Camilo da Rocha, 325, Pres. Dutra - MA, 65760-000, Brasil</t>
  </si>
  <si>
    <t>-5.2921373</t>
  </si>
  <si>
    <t>-44.4970275</t>
  </si>
  <si>
    <t>https://www.google.com/maps/search/?api=1&amp;query=D%2FT&amp;query_place_id=ChIJZ7u2TQBdiAcR-fc8kKvZG_4</t>
  </si>
  <si>
    <t>D. LEAL</t>
  </si>
  <si>
    <t>+55 99 99100-3218</t>
  </si>
  <si>
    <t>+5599991003218</t>
  </si>
  <si>
    <t>R. Pará, 08, Pres. Dutra - MA, 65760-000, Brasil</t>
  </si>
  <si>
    <t>-5.3139904</t>
  </si>
  <si>
    <t>-44.4894866</t>
  </si>
  <si>
    <t>https://www.google.com/maps/search/?api=1&amp;query=D.%20LEAL&amp;query_place_id=ChIJSXPsGFVdiAcRQx5TD6mNaGM</t>
  </si>
  <si>
    <t>MARITIZA CARVALHO NAIL DESIGNER</t>
  </si>
  <si>
    <t>+55 99 99154-6441</t>
  </si>
  <si>
    <t>+5599991546441</t>
  </si>
  <si>
    <t>R. Vinte e Oito de Junho Sul, Pres. Dutra - MA, 65760-000, Pres. Dutra - MA, 65760-000, Brasil</t>
  </si>
  <si>
    <t>-5.2917438</t>
  </si>
  <si>
    <t>-44.4971447</t>
  </si>
  <si>
    <t>https://www.google.com/maps/search/?api=1&amp;query=MARITIZA%20CARVALHO%20NAIL%20DESIGNER&amp;query_place_id=ChIJkxPWJwhdiAcR1cIDieeSmXI</t>
  </si>
  <si>
    <t>Tami nail designer</t>
  </si>
  <si>
    <t>+55 99 99203-2466</t>
  </si>
  <si>
    <t>+5599992032466</t>
  </si>
  <si>
    <t>próximo ao Dionízio espaço show - Av. Tancredo Neves - Vila Militar, Pres. Dutra - MA, 65760-000, Brasil</t>
  </si>
  <si>
    <t>-5.2951083</t>
  </si>
  <si>
    <t>-44.4965875</t>
  </si>
  <si>
    <t>https://www.google.com/maps/search/?api=1&amp;query=Tami%20nail%20designer&amp;query_place_id=ChIJGRTkfY1diAcRX5IvufKAwcg</t>
  </si>
  <si>
    <t>Faby unhas</t>
  </si>
  <si>
    <t>R. Vinte e Oito de Junho Sul, 816, Pres. Dutra - MA, 65760-000, Brasil</t>
  </si>
  <si>
    <t>-5.2917268</t>
  </si>
  <si>
    <t>-44.4972723</t>
  </si>
  <si>
    <t>https://www.google.com/maps/search/?api=1&amp;query=Faby%20unhas&amp;query_place_id=ChIJ_yUhEgBdiAcRxwwtVzzV3pk</t>
  </si>
  <si>
    <t>Glow, beleza &amp; cuidados</t>
  </si>
  <si>
    <t>+55 99 99220-7386</t>
  </si>
  <si>
    <t>+5599992207386</t>
  </si>
  <si>
    <t>-5.3025395</t>
  </si>
  <si>
    <t>-44.4915677</t>
  </si>
  <si>
    <t>https://www.google.com/maps/search/?api=1&amp;query=Glow%2C%20beleza%20%26%20cuidados&amp;query_place_id=ChIJ7WhdQq9diAcRbJ3D-6bnMts</t>
  </si>
  <si>
    <t>Studio de Beleza Laninha Pachêco</t>
  </si>
  <si>
    <t>Av. Tancredo Neves, 1775, Pres. Dutra - MA, 65760-000, Brasil</t>
  </si>
  <si>
    <t>-5.2994922</t>
  </si>
  <si>
    <t>-44.4937655</t>
  </si>
  <si>
    <t>https://www.google.com/maps/search/?api=1&amp;query=Studio%20de%20Beleza%20Laninha%20Pach%C3%AAco&amp;query_place_id=ChIJR4mkGQBdiAcRCWAGGYMyXf0</t>
  </si>
  <si>
    <t>Barbearia MK</t>
  </si>
  <si>
    <t>+55 99 99100-8023</t>
  </si>
  <si>
    <t>+5599991008023</t>
  </si>
  <si>
    <t>Rua paralela - Vila do Mercado - Centro, Pres. Dutra - MA, 65760-000, Brasil</t>
  </si>
  <si>
    <t>-5.294644</t>
  </si>
  <si>
    <t>-44.489855</t>
  </si>
  <si>
    <t>https://www.google.com/maps/search/?api=1&amp;query=Barbearia%20MK&amp;query_place_id=ChIJVZIJwnhdiAcR3z9-SmNM2g8</t>
  </si>
  <si>
    <t>Salão Jouse Manicure</t>
  </si>
  <si>
    <t>+55 99 98189-0025</t>
  </si>
  <si>
    <t>+5599981890025</t>
  </si>
  <si>
    <t>Av. Tancredo Neves, 1613, Pres. Dutra - MA, 65760-000, Brasil</t>
  </si>
  <si>
    <t>-5.2982671</t>
  </si>
  <si>
    <t>-44.4948136</t>
  </si>
  <si>
    <t>https://www.google.com/maps/search/?api=1&amp;query=Sal%C3%A3o%20Jouse%20Manicure&amp;query_place_id=ChIJj9YSTp5diAcRcjM8ALkxL9g</t>
  </si>
  <si>
    <t>Katiana Morais</t>
  </si>
  <si>
    <t>R. Local 6, Pres. Dutra - MA, 65760-000, Brasil</t>
  </si>
  <si>
    <t>-5.2927481</t>
  </si>
  <si>
    <t>-44.480498</t>
  </si>
  <si>
    <t>https://www.google.com/maps/search/?api=1&amp;query=Katiana%20Morais&amp;query_place_id=ChIJifeqhp1diAcRQn4CvC3AYa0</t>
  </si>
  <si>
    <t>SPA Equilíbrium</t>
  </si>
  <si>
    <t>Av. José Olavo Sampaio, Pres. Dutra - MA, 65760-000, Brasil</t>
  </si>
  <si>
    <t>-5.2965488</t>
  </si>
  <si>
    <t>-44.4901736</t>
  </si>
  <si>
    <t>https://www.google.com/maps/search/?api=1&amp;query=SPA%20Equil%C3%ADbrium&amp;query_place_id=ChIJZbTMKsFdiAcRpDhG_oNywkU</t>
  </si>
  <si>
    <t>Thamires Pereira Consultório Estético</t>
  </si>
  <si>
    <t>+55 99 98418-5628</t>
  </si>
  <si>
    <t>+5599984185628</t>
  </si>
  <si>
    <t>R. Gov. João Castelo - Bairro De Fátima, Pres. Dutra - MA, 65760-000, Brasil</t>
  </si>
  <si>
    <t>-5.3057844</t>
  </si>
  <si>
    <t>-44.4927134</t>
  </si>
  <si>
    <t>https://www.google.com/maps/search/?api=1&amp;query=Thamires%20Pereira%20Consult%C3%B3rio%20Est%C3%A9tico&amp;query_place_id=ChIJrZ06mbpdiAcRFzc1U3nS2uQ</t>
  </si>
  <si>
    <t>Ponto Laser Depilação</t>
  </si>
  <si>
    <t>+55 99 99147-5570</t>
  </si>
  <si>
    <t>+5599991475570</t>
  </si>
  <si>
    <t>Avenida Oton Gonçalves de Sá, Av. Campo Dantas, 880 - Sala 08, Pres. Dutra - MA, 65760-000, Brasil</t>
  </si>
  <si>
    <t>-5.3016992</t>
  </si>
  <si>
    <t>-44.4898243</t>
  </si>
  <si>
    <t>https://www.google.com/maps/search/?api=1&amp;query=Ponto%20Laser%20Depila%C3%A7%C3%A3o&amp;query_place_id=ChIJD1yPBxldiAcRYZEB7Lvn4WQ</t>
  </si>
  <si>
    <t>Clínica de Estética Michelly Pinheiro</t>
  </si>
  <si>
    <t>+55 99 98425-3881</t>
  </si>
  <si>
    <t>+5599984253881</t>
  </si>
  <si>
    <t>Av. José Olavo Sampaio - Vila Militar, Pres. Dutra - MA, 65760-000, Brasil</t>
  </si>
  <si>
    <t>-5.2931863</t>
  </si>
  <si>
    <t>-44.492094</t>
  </si>
  <si>
    <t>https://www.google.com/maps/search/?api=1&amp;query=Cl%C3%ADnica%20de%20Est%C3%A9tica%20Michelly%20Pinheiro&amp;query_place_id=ChIJAW0MwrZdiAcRWgsMslLKpaI</t>
  </si>
  <si>
    <t>MC clínica de estética avançada</t>
  </si>
  <si>
    <t>+55 99 98508-3236</t>
  </si>
  <si>
    <t>+5599985083236</t>
  </si>
  <si>
    <t>Av. Tancredo Neves, 1471 - Vila Militar, Pres. Dutra - MA, 65760-000, Brasil</t>
  </si>
  <si>
    <t>-5.297377</t>
  </si>
  <si>
    <t>-44.4952418</t>
  </si>
  <si>
    <t>https://www.google.com/maps/search/?api=1&amp;query=MC%20cl%C3%ADnica%20de%20est%C3%A9tica%20avan%C3%A7ada&amp;query_place_id=ChIJW8cmPQBdiAcRPZJsGkCdEiM</t>
  </si>
  <si>
    <t>Centro Estético Flor de Pele</t>
  </si>
  <si>
    <t>+55 99 98116-1012</t>
  </si>
  <si>
    <t>+5599981161012</t>
  </si>
  <si>
    <t>R. Henrique Coelho, 32 - Vila Militar, Pres. Dutra - MA, 65760-000, Brasil</t>
  </si>
  <si>
    <t>-5.293456</t>
  </si>
  <si>
    <t>-44.494277</t>
  </si>
  <si>
    <t>https://www.google.com/maps/search/?api=1&amp;query=Centro%20Est%C3%A9tico%20Flor%20de%20Pele&amp;query_place_id=ChIJw4UEphtdiAcRQUIv5dduGC8</t>
  </si>
  <si>
    <t>Ravy Unhas</t>
  </si>
  <si>
    <t>+55 99 99103-8202</t>
  </si>
  <si>
    <t>+5599991038202</t>
  </si>
  <si>
    <t>Unnamed Road, Pres. Dutra - MA, 65760-000, Brasil</t>
  </si>
  <si>
    <t>-5.223027</t>
  </si>
  <si>
    <t>-44.3908464</t>
  </si>
  <si>
    <t>https://www.google.com/maps/search/?api=1&amp;query=Ravy%20Unhas&amp;query_place_id=ChIJQyDnpBP3iAcRs-iCssiXdTI</t>
  </si>
  <si>
    <t>Studio Laura Lawanda</t>
  </si>
  <si>
    <t>+55 99 98409-8183</t>
  </si>
  <si>
    <t>+5599984098183</t>
  </si>
  <si>
    <t>Rua odorino costa - Paranua, Pres. Dutra - MA, 65760-000, Brasil</t>
  </si>
  <si>
    <t>-5.2862472</t>
  </si>
  <si>
    <t>-44.5038916</t>
  </si>
  <si>
    <t>https://www.google.com/maps/search/?api=1&amp;query=Studio%20Laura%20Lawanda&amp;query_place_id=ChIJ6dkR05FdiAcRz1fAgdU9log</t>
  </si>
  <si>
    <t>VANIA COSMETICOS</t>
  </si>
  <si>
    <t>+55 99 99163-8979</t>
  </si>
  <si>
    <t>+5599991638979</t>
  </si>
  <si>
    <t>Praça Vitorino Freire, 100 - centro, Pres. Dutra - MA, 65760-000, Brasil</t>
  </si>
  <si>
    <t>-5.285064</t>
  </si>
  <si>
    <t>-44.492508</t>
  </si>
  <si>
    <t>https://www.google.com/maps/search/?api=1&amp;query=VANIA%20COSMETICOS&amp;query_place_id=ChIJ22QnebhdiAcRgmNikblb95Q</t>
  </si>
  <si>
    <t>Studio Sempre Bella</t>
  </si>
  <si>
    <t>+55 99 98550-9928</t>
  </si>
  <si>
    <t>+5599985509928</t>
  </si>
  <si>
    <t>-5.2888103</t>
  </si>
  <si>
    <t>-44.4893259</t>
  </si>
  <si>
    <t>https://www.google.com/maps/search/?api=1&amp;query=Studio%20Sempre%20Bella&amp;query_place_id=ChIJlYJfCOVdiAcRazEl-d3tymk</t>
  </si>
  <si>
    <t>Maryh_Monteiro_Make_Up</t>
  </si>
  <si>
    <t>Rua Adalberto de Macedo, 403-603, Pres. Dutra - MA, 65760-000, Brasil</t>
  </si>
  <si>
    <t>-5.290375</t>
  </si>
  <si>
    <t>-44.4983217</t>
  </si>
  <si>
    <t>https://www.google.com/maps/search/?api=1&amp;query=Maryh_Monteiro_Make_Up&amp;query_place_id=ChIJOcO3yZhdiAcRTb9sI2XT9fQ</t>
  </si>
  <si>
    <t>Cílios e sobrancelhas presidente dutra</t>
  </si>
  <si>
    <t>+55 99 98549-8252</t>
  </si>
  <si>
    <t>+5599985498252</t>
  </si>
  <si>
    <t>Tv. Três, Pres. Dutra - MA, 65760-000, Brasil</t>
  </si>
  <si>
    <t>-5.2881497</t>
  </si>
  <si>
    <t>-44.5021606</t>
  </si>
  <si>
    <t>https://www.google.com/maps/search/?api=1&amp;query=C%C3%ADlios%20e%20sobrancelhas%20presidente%20dutra&amp;query_place_id=ChIJd2Td5jddiAcRihbki6rnnKo</t>
  </si>
  <si>
    <t>Salão de beleza feminino</t>
  </si>
  <si>
    <t>R. Adalto Pinto - Cruz, Pres. Dutra - MA, 65760-000, Brasil</t>
  </si>
  <si>
    <t>-5.2899378</t>
  </si>
  <si>
    <t>-44.4908436</t>
  </si>
  <si>
    <t>https://www.google.com/maps/search/?api=1&amp;query=Sal%C3%A3o%20de%20beleza%20feminino&amp;query_place_id=ChIJu27iTQBdiAcRE2sVa0deFF8</t>
  </si>
  <si>
    <t>Liliane Olyveira Beauty Clinic</t>
  </si>
  <si>
    <t>+55 99 98513-0924</t>
  </si>
  <si>
    <t>+5599985130924</t>
  </si>
  <si>
    <t>R. Pres. Castelo Branco, Pres. Dutra - MA, 65760-000, Brasil</t>
  </si>
  <si>
    <t>-5.2880526</t>
  </si>
  <si>
    <t>-44.4926694</t>
  </si>
  <si>
    <t>https://www.google.com/maps/search/?api=1&amp;query=Liliane%20Olyveira%20Beauty%20Clinic&amp;query_place_id=ChIJwxh5TQBdiAcRfk36cEsaThU</t>
  </si>
  <si>
    <t>Spar Unhas Cosméticos</t>
  </si>
  <si>
    <t>+55 99 98136-7861</t>
  </si>
  <si>
    <t>+5599981367861</t>
  </si>
  <si>
    <t>R. da Mangueira, 330 - Paulo Falcão, Pres. Dutra - MA, 65760-000, Brasil</t>
  </si>
  <si>
    <t>-5.2865211</t>
  </si>
  <si>
    <t>-44.4995829</t>
  </si>
  <si>
    <t>https://www.google.com/maps/search/?api=1&amp;query=Spar%20Unhas%20Cosm%C3%A9ticos&amp;query_place_id=ChIJd7ScEY1diAcROLsFdss10y0</t>
  </si>
  <si>
    <t>Padrao de beleza</t>
  </si>
  <si>
    <t>R. Getúlio Vargas, 132, Pres. Dutra - MA, 65760-000, Brasil</t>
  </si>
  <si>
    <t>-5.2867875</t>
  </si>
  <si>
    <t>-44.4930286</t>
  </si>
  <si>
    <t>https://www.google.com/maps/search/?api=1&amp;query=Padrao%20de%20beleza&amp;query_place_id=ChIJPaofkjVciAcR_XJYK7vfghQ</t>
  </si>
  <si>
    <t>Leticia Gabriel Design de Sobrancelhas e Depilação</t>
  </si>
  <si>
    <t>+55 99 98513-0313</t>
  </si>
  <si>
    <t>+5599985130313</t>
  </si>
  <si>
    <t>Avenida Principal - Colina Park 2, Pres. Dutra - MA, 65760-000, Brasil</t>
  </si>
  <si>
    <t>-5.2909534</t>
  </si>
  <si>
    <t>-44.4784417</t>
  </si>
  <si>
    <t>https://www.google.com/maps/search/?api=1&amp;query=Leticia%20Gabriel%20Design%20de%20Sobrancelhas%20e%20Depila%C3%A7%C3%A3o&amp;query_place_id=ChIJwTXDQ7ZdiAcRf2AN4WRwMtg</t>
  </si>
  <si>
    <t>Nagela Cosméticos e Naturais</t>
  </si>
  <si>
    <t>+55 99 98156-2299</t>
  </si>
  <si>
    <t>+5599981562299</t>
  </si>
  <si>
    <t>R. Getúlio Vargas, 135 - Centro, Pres. Dutra - MA, 65760-000, Brasil</t>
  </si>
  <si>
    <t>-5.2867565</t>
  </si>
  <si>
    <t>-44.4927466</t>
  </si>
  <si>
    <t>https://www.google.com/maps/search/?api=1&amp;query=Nagela%20Cosm%C3%A9ticos%20e%20Naturais&amp;query_place_id=ChIJQ80MqkNdiAcRwEb0sh_A8Rc</t>
  </si>
  <si>
    <t>LAYANE NASCIMENTO</t>
  </si>
  <si>
    <t>Av. Tancredo Neves, 356, Pres. Dutra - MA, 65760-000, Brasil</t>
  </si>
  <si>
    <t>-5.2865382</t>
  </si>
  <si>
    <t>-44.5008131</t>
  </si>
  <si>
    <t>https://www.google.com/maps/search/?api=1&amp;query=LAYANE%20NASCIMENTO&amp;query_place_id=ChIJhdSYrE1ciAcRx9fSVC0ImFU</t>
  </si>
  <si>
    <t>Ana Rodrigues</t>
  </si>
  <si>
    <t>R. Dep. Luís Rocha, 109 - Paulo Falcão, Pres. Dutra - MA, 65760-000, Brasil</t>
  </si>
  <si>
    <t>-5.2843201</t>
  </si>
  <si>
    <t>-44.4973853</t>
  </si>
  <si>
    <t>https://www.google.com/maps/search/?api=1&amp;query=Ana%20Rodrigues&amp;query_place_id=ChIJaeAcQUlciAcRrXUw1cW1CVc</t>
  </si>
  <si>
    <t>Cílios de Luxo pk</t>
  </si>
  <si>
    <t>+55 99 98511-7983</t>
  </si>
  <si>
    <t>+5599985117983</t>
  </si>
  <si>
    <t>Av. José Olavo Sampaio, 596 - Lj 05 - Centro, Pres. Dutra - MA, 65760-000, Brasil</t>
  </si>
  <si>
    <t>-5.2899829</t>
  </si>
  <si>
    <t>-44.4939705</t>
  </si>
  <si>
    <t>https://www.google.com/maps/search/?api=1&amp;query=C%C3%ADlios%20de%20Luxo%20pk&amp;query_place_id=ChIJAcq2pj1diAcRIikZF74w6BY</t>
  </si>
  <si>
    <t>Jessica lima manicure e pedicure</t>
  </si>
  <si>
    <t>+55 99 99139-4466</t>
  </si>
  <si>
    <t>+5599991394466</t>
  </si>
  <si>
    <t>R. Mercúrio - Cohab, Pres. Dutra - MA, 65760-000, Brasil</t>
  </si>
  <si>
    <t>-5.2907726</t>
  </si>
  <si>
    <t>-44.4995404</t>
  </si>
  <si>
    <t>https://www.google.com/maps/search/?api=1&amp;query=Jessica%20lima%20manicure%20e%20pedicure&amp;query_place_id=ChIJnyObb8pdiAcRVDlh1Aofw00</t>
  </si>
  <si>
    <t>CS Cris Sousa Design e Micropigmentação</t>
  </si>
  <si>
    <t>+55 99 98549-7878</t>
  </si>
  <si>
    <t>+5599985497878</t>
  </si>
  <si>
    <t>-5.2858196</t>
  </si>
  <si>
    <t>-44.4935425</t>
  </si>
  <si>
    <t>https://www.google.com/maps/search/?api=1&amp;query=CS%20Cris%20Sousa%20Design%20e%20Micropigmenta%C3%A7%C3%A3o&amp;query_place_id=ChIJc9B4KABdiAcRRVrxyqwaAa0</t>
  </si>
  <si>
    <t>Helen Figueiredo</t>
  </si>
  <si>
    <t>R. Raimundo Félix, 433, Pres. Dutra - MA, 65760-000, Brasil</t>
  </si>
  <si>
    <t>-5.2827757</t>
  </si>
  <si>
    <t>-44.4920956</t>
  </si>
  <si>
    <t>https://www.google.com/maps/search/?api=1&amp;query=Helen%20Figueiredo&amp;query_place_id=ChIJX4KWvTdciAcRkOY0Yvahysg</t>
  </si>
  <si>
    <t>Estética Aline Sousa</t>
  </si>
  <si>
    <t>+55 99 98123-7276</t>
  </si>
  <si>
    <t>+5599981237276</t>
  </si>
  <si>
    <t>Av. José Olavo Sampaio, 1230 - Centro, Pres. Dutra - MA, 65760-000, Brasil</t>
  </si>
  <si>
    <t>-5.2899812</t>
  </si>
  <si>
    <t>-44.4944839</t>
  </si>
  <si>
    <t>https://www.google.com/maps/search/?api=1&amp;query=Est%C3%A9tica%20Aline%20Sousa&amp;query_place_id=ChIJh6TH-U1diAcRxjkeqbqcAZw</t>
  </si>
  <si>
    <t>Souzavis</t>
  </si>
  <si>
    <t>+55 99 99133-9321</t>
  </si>
  <si>
    <t>+5599991339321</t>
  </si>
  <si>
    <t>Av. Tancredo Neves, 2397, Pres. Dutra - MA, 65760-000, Brasil</t>
  </si>
  <si>
    <t>-5.3043876</t>
  </si>
  <si>
    <t>-44.4901605</t>
  </si>
  <si>
    <t>https://www.google.com/maps/search/?api=1&amp;query=Souzavis&amp;query_place_id=ChIJC5WhEU5diAcRVE0k-rjZsKQ</t>
  </si>
  <si>
    <t>Alessandra Feitosa Estética Avançada</t>
  </si>
  <si>
    <t>+55 99 98119-2817</t>
  </si>
  <si>
    <t>+5599981192817</t>
  </si>
  <si>
    <t>Av. Campo Dantas - Campos Dantas, Pres. Dutra - MA, 65760-000, Brasil</t>
  </si>
  <si>
    <t>-5.3038381</t>
  </si>
  <si>
    <t>-44.4896467</t>
  </si>
  <si>
    <t>https://www.google.com/maps/search/?api=1&amp;query=Alessandra%20Feitosa%20Est%C3%A9tica%20Avan%C3%A7ada&amp;query_place_id=ChIJJY2mYupdiAcRailA-OqIFQo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</si>
</sst>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/search/?api=1&amp;query=Beleza%20%26%20Est%C3%A9tica%20Jeane%20Lima&amp;query_place_id=ChIJf71m5rBdiAcR3V81VxOLGfU" TargetMode="External"/><Relationship Id="rId42" Type="http://schemas.openxmlformats.org/officeDocument/2006/relationships/hyperlink" Target="https://www.google.com/maps/search/?api=1&amp;query=Arrebiks%20Beleza%20%26%20Cosm%C3%A9ticos&amp;query_place_id=ChIJh4J5JgBdiAcRyiE4ly9IADo" TargetMode="External"/><Relationship Id="rId41" Type="http://schemas.openxmlformats.org/officeDocument/2006/relationships/hyperlink" Target="https://www.google.com/maps/search/?api=1&amp;query=Ana%20Paula%20Maciel%20Sobrancelhas%20e%20Micropigmenta%C3%A7%C3%A3o&amp;query_place_id=ChIJt1cn48BdiAcREnDkHzg_eQU" TargetMode="External"/><Relationship Id="rId44" Type="http://schemas.openxmlformats.org/officeDocument/2006/relationships/hyperlink" Target="https://www.google.com/maps/search/?api=1&amp;query=LUCAS%20MARQUES%20BEAUTY&amp;query_place_id=ChIJ3xFxrb5diAcRFXTr-ijq1Tw" TargetMode="External"/><Relationship Id="rId43" Type="http://schemas.openxmlformats.org/officeDocument/2006/relationships/hyperlink" Target="https://www.google.com/maps/search/?api=1&amp;query=JEANE%20LASER%20ESTETICA&amp;query_place_id=ChIJE96oyR1diAcRPbJtz8bPlXo" TargetMode="External"/><Relationship Id="rId46" Type="http://schemas.openxmlformats.org/officeDocument/2006/relationships/hyperlink" Target="https://www.google.com/maps/search/?api=1&amp;query=Sal%C3%A3o%20da%20Leanes&amp;query_place_id=ChIJoQYQF8VdiAcRmw181DajeKg" TargetMode="External"/><Relationship Id="rId45" Type="http://schemas.openxmlformats.org/officeDocument/2006/relationships/hyperlink" Target="https://www.google.com/maps/search/?api=1&amp;query=Espa%C3%A7o%20VP&amp;query_place_id=ChIJ5xEIuYldiAcRsaifu-MpT-Y" TargetMode="External"/><Relationship Id="rId48" Type="http://schemas.openxmlformats.org/officeDocument/2006/relationships/hyperlink" Target="https://www.google.com/maps/search/?api=1&amp;query=Thaty%20Beleza%20Est%C3%A9tica&amp;query_place_id=ChIJMfLeBsRdiAcRl7xVozs4uu4" TargetMode="External"/><Relationship Id="rId47" Type="http://schemas.openxmlformats.org/officeDocument/2006/relationships/hyperlink" Target="https://www.google.com/maps/search/?api=1&amp;query=Sal%C3%A3o%20da%20Bete%20pk&amp;query_place_id=ChIJrXZnI_ddiAcRJLPl2NxtkfE" TargetMode="External"/><Relationship Id="rId49" Type="http://schemas.openxmlformats.org/officeDocument/2006/relationships/hyperlink" Target="https://www.google.com/maps/search/?api=1&amp;query=Espa%C3%A7o%20Nonata%20Lib%C3%A3nio%20Unhas&amp;query_place_id=ChIJfUsPTQBdiAcRXA1y-QtLWHk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s://www.google.com/maps/search/?api=1&amp;query=Alessandra%20Feitosa%20Est%C3%A9tica%20Avan%C3%A7ada&amp;query_place_id=ChIJJY2mYupdiAcRailA-OqIFQo" TargetMode="External"/><Relationship Id="rId100" Type="http://schemas.openxmlformats.org/officeDocument/2006/relationships/hyperlink" Target="https://www.google.com/maps/search/?api=1&amp;query=Souzavis&amp;query_place_id=ChIJC5WhEU5diAcRVE0k-rjZsKQ" TargetMode="External"/><Relationship Id="rId31" Type="http://schemas.openxmlformats.org/officeDocument/2006/relationships/hyperlink" Target="https://www.google.com/maps/search/?api=1&amp;query=Studio%20de%20beleza%20karoliny&amp;query_place_id=ChIJdWfgz31diAcRyl73JHVyFIE" TargetMode="External"/><Relationship Id="rId30" Type="http://schemas.openxmlformats.org/officeDocument/2006/relationships/hyperlink" Target="https://www.google.com/maps/search/?api=1&amp;query=Studio%20Thamiris%20Fonseca%20-%20Especialista%20em%20Sobrancelhas%20e%20Micropigmenta%C3%A7%C3%A3o&amp;query_place_id=ChIJW5AFg11diAcRvmEUVfrOKkM" TargetMode="External"/><Relationship Id="rId33" Type="http://schemas.openxmlformats.org/officeDocument/2006/relationships/hyperlink" Target="https://www.google.com/maps/search/?api=1&amp;query=Studio%20Kbelo%20Tattoo&amp;query_place_id=ChIJzR92LqJdiAcRjkLIMv4xX24" TargetMode="External"/><Relationship Id="rId32" Type="http://schemas.openxmlformats.org/officeDocument/2006/relationships/hyperlink" Target="https://www.google.com/maps/search/?api=1&amp;query=DELLA'S%20STUDIO&amp;query_place_id=ChIJH15SizRciAcRkOy_3QxIgpc" TargetMode="External"/><Relationship Id="rId35" Type="http://schemas.openxmlformats.org/officeDocument/2006/relationships/hyperlink" Target="https://www.google.com/maps/search/?api=1&amp;query=Studio%20Samy%20Carvalho&amp;query_place_id=ChIJiYGslUxciAcRuTFzH5MoCoA" TargetMode="External"/><Relationship Id="rId34" Type="http://schemas.openxmlformats.org/officeDocument/2006/relationships/hyperlink" Target="https://www.google.com/maps/search/?api=1&amp;query=Studio%20anenilda%20costa&amp;query_place_id=ChIJpbhufwBdiAcRDk7JoWDZC-o" TargetMode="External"/><Relationship Id="rId37" Type="http://schemas.openxmlformats.org/officeDocument/2006/relationships/hyperlink" Target="https://www.google.com/maps/search/?api=1&amp;query=Studio%20Val%C3%A9ria%20Nascimento&amp;query_place_id=ChIJt6LfkRpdiAcRlTM_bkp8_K0" TargetMode="External"/><Relationship Id="rId36" Type="http://schemas.openxmlformats.org/officeDocument/2006/relationships/hyperlink" Target="https://www.google.com/maps/search/?api=1&amp;query=Karolaine%20Nunes%20Studio&amp;query_place_id=ChIJoaiibwBdiAcRpq6LxhJ1MOI" TargetMode="External"/><Relationship Id="rId39" Type="http://schemas.openxmlformats.org/officeDocument/2006/relationships/hyperlink" Target="https://www.google.com/maps/search/?api=1&amp;query=LOYDE%20SILVA%20EST%C3%89TICA%20%26%20CABELOS&amp;query_place_id=ChIJz2pTBahdiAcRurHoBJd1gu0" TargetMode="External"/><Relationship Id="rId38" Type="http://schemas.openxmlformats.org/officeDocument/2006/relationships/hyperlink" Target="https://www.google.com/maps/search/?api=1&amp;query=Studio%20Lash%20Alba%20Souza&amp;query_place_id=ChIJkSOLtJFdiAcRqDoDUx0zbUg" TargetMode="External"/><Relationship Id="rId20" Type="http://schemas.openxmlformats.org/officeDocument/2006/relationships/hyperlink" Target="https://www.google.com/maps/search/?api=1&amp;query=M%C3%B4nica%20Cabeleireira&amp;query_place_id=ChIJnQU5q01ciAcROQkn2iT0BwY" TargetMode="External"/><Relationship Id="rId22" Type="http://schemas.openxmlformats.org/officeDocument/2006/relationships/hyperlink" Target="https://www.google.com/maps/search/?api=1&amp;query=Sal%C3%A3o%20Cabeleireira&amp;query_place_id=ChIJg7PsCQBdiAcRsu3QnI5Lkmw" TargetMode="External"/><Relationship Id="rId21" Type="http://schemas.openxmlformats.org/officeDocument/2006/relationships/hyperlink" Target="https://www.google.com/maps/search/?api=1&amp;query=Studio%20de%20Beleza%20Lanna%20Sousa&amp;query_place_id=ChIJox9WEutdiAcRgcksdyiFbvQ" TargetMode="External"/><Relationship Id="rId24" Type="http://schemas.openxmlformats.org/officeDocument/2006/relationships/hyperlink" Target="https://www.google.com/maps/search/?api=1&amp;query=Sal%C3%A3o%20Bel%C3%ADssima%20presidente%20dutra%20ma&amp;query_place_id=ChIJddrVlRJdiAcRn79YaAsGgfU" TargetMode="External"/><Relationship Id="rId23" Type="http://schemas.openxmlformats.org/officeDocument/2006/relationships/hyperlink" Target="https://www.google.com/maps/search/?api=1&amp;query=F%C3%A1bio%20Cabeleireiro&amp;query_place_id=ChIJEzCQyJ5diAcRBKr1X353ihc" TargetMode="External"/><Relationship Id="rId26" Type="http://schemas.openxmlformats.org/officeDocument/2006/relationships/hyperlink" Target="https://www.google.com/maps/search/?api=1&amp;query=Salao%20Visual%20Vip&amp;query_place_id=ChIJpV4_tsJdiAcRFSJ14ZoBdg8" TargetMode="External"/><Relationship Id="rId25" Type="http://schemas.openxmlformats.org/officeDocument/2006/relationships/hyperlink" Target="https://www.google.com/maps/search/?api=1&amp;query=Ze%20Cabelereiro%20Melhor%20De%20Pk&amp;query_place_id=ChIJLbJSys5diAcRYgoiN9gH6og" TargetMode="External"/><Relationship Id="rId28" Type="http://schemas.openxmlformats.org/officeDocument/2006/relationships/hyperlink" Target="https://www.google.com/maps/search/?api=1&amp;query=Sal%C3%A3o%20Dricabelos&amp;query_place_id=ChIJh2pBkPxdiAcRYFtLpySYbQk" TargetMode="External"/><Relationship Id="rId27" Type="http://schemas.openxmlformats.org/officeDocument/2006/relationships/hyperlink" Target="https://www.google.com/maps/search/?api=1&amp;query=Ev%C3%A1nia%20CABELEIREIRA&amp;query_place_id=ChIJfxDx5cBdiAcREZxIJAsxkx0" TargetMode="External"/><Relationship Id="rId29" Type="http://schemas.openxmlformats.org/officeDocument/2006/relationships/hyperlink" Target="https://www.google.com/maps/search/?api=1&amp;query=Sal%C3%A3o%20Beleza%20Pura&amp;query_place_id=ChIJ7YSM7ZBdiAcRnWGt57chjao" TargetMode="External"/><Relationship Id="rId95" Type="http://schemas.openxmlformats.org/officeDocument/2006/relationships/hyperlink" Target="https://www.google.com/maps/search/?api=1&amp;query=C%C3%ADlios%20de%20Luxo%20pk&amp;query_place_id=ChIJAcq2pj1diAcRIikZF74w6BY" TargetMode="External"/><Relationship Id="rId94" Type="http://schemas.openxmlformats.org/officeDocument/2006/relationships/hyperlink" Target="https://www.google.com/maps/search/?api=1&amp;query=Ana%20Rodrigues&amp;query_place_id=ChIJaeAcQUlciAcRrXUw1cW1CVc" TargetMode="External"/><Relationship Id="rId97" Type="http://schemas.openxmlformats.org/officeDocument/2006/relationships/hyperlink" Target="https://www.google.com/maps/search/?api=1&amp;query=CS%20Cris%20Sousa%20Design%20e%20Micropigmenta%C3%A7%C3%A3o&amp;query_place_id=ChIJc9B4KABdiAcRRVrxyqwaAa0" TargetMode="External"/><Relationship Id="rId96" Type="http://schemas.openxmlformats.org/officeDocument/2006/relationships/hyperlink" Target="https://www.google.com/maps/search/?api=1&amp;query=Jessica%20lima%20manicure%20e%20pedicure&amp;query_place_id=ChIJnyObb8pdiAcRVDlh1Aofw00" TargetMode="External"/><Relationship Id="rId11" Type="http://schemas.openxmlformats.org/officeDocument/2006/relationships/hyperlink" Target="https://www.google.com/maps/search/?api=1&amp;query=AL%20CABELEIREIROS%20unissex&amp;query_place_id=ChIJe5riMcldiAcRkfGQfvLZiyw" TargetMode="External"/><Relationship Id="rId99" Type="http://schemas.openxmlformats.org/officeDocument/2006/relationships/hyperlink" Target="https://www.google.com/maps/search/?api=1&amp;query=Est%C3%A9tica%20Aline%20Sousa&amp;query_place_id=ChIJh6TH-U1diAcRxjkeqbqcAZw" TargetMode="External"/><Relationship Id="rId10" Type="http://schemas.openxmlformats.org/officeDocument/2006/relationships/hyperlink" Target="https://www.google.com/maps/search/?api=1&amp;query=Espa%C3%A7o%20Dayane%20Madeira%20Beleza%20e%20Est%C3%A9tica&amp;query_place_id=ChIJd_gWXcpdiAcRzj8SrcP-J4Y" TargetMode="External"/><Relationship Id="rId98" Type="http://schemas.openxmlformats.org/officeDocument/2006/relationships/hyperlink" Target="https://www.google.com/maps/search/?api=1&amp;query=Helen%20Figueiredo&amp;query_place_id=ChIJX4KWvTdciAcRkOY0Yvahysg" TargetMode="External"/><Relationship Id="rId13" Type="http://schemas.openxmlformats.org/officeDocument/2006/relationships/hyperlink" Target="https://www.google.com/maps/search/?api=1&amp;query=Lailla%20Cabelos&amp;query_place_id=ChIJFfmNRqldiAcROlYeCcVC9fM" TargetMode="External"/><Relationship Id="rId12" Type="http://schemas.openxmlformats.org/officeDocument/2006/relationships/hyperlink" Target="https://www.google.com/maps/search/?api=1&amp;query=Myrla%20Cabelo&amp;query_place_id=ChIJK0JgBABdiAcReLg-gYnZ1V8" TargetMode="External"/><Relationship Id="rId91" Type="http://schemas.openxmlformats.org/officeDocument/2006/relationships/hyperlink" Target="https://www.google.com/maps/search/?api=1&amp;query=Leticia%20Gabriel%20Design%20de%20Sobrancelhas%20e%20Depila%C3%A7%C3%A3o&amp;query_place_id=ChIJwTXDQ7ZdiAcRf2AN4WRwMtg" TargetMode="External"/><Relationship Id="rId90" Type="http://schemas.openxmlformats.org/officeDocument/2006/relationships/hyperlink" Target="https://www.google.com/maps/search/?api=1&amp;query=Padrao%20de%20beleza&amp;query_place_id=ChIJPaofkjVciAcR_XJYK7vfghQ" TargetMode="External"/><Relationship Id="rId93" Type="http://schemas.openxmlformats.org/officeDocument/2006/relationships/hyperlink" Target="https://www.google.com/maps/search/?api=1&amp;query=LAYANE%20NASCIMENTO&amp;query_place_id=ChIJhdSYrE1ciAcRx9fSVC0ImFU" TargetMode="External"/><Relationship Id="rId92" Type="http://schemas.openxmlformats.org/officeDocument/2006/relationships/hyperlink" Target="https://www.google.com/maps/search/?api=1&amp;query=Nagela%20Cosm%C3%A9ticos%20e%20Naturais&amp;query_place_id=ChIJQ80MqkNdiAcRwEb0sh_A8Rc" TargetMode="External"/><Relationship Id="rId15" Type="http://schemas.openxmlformats.org/officeDocument/2006/relationships/hyperlink" Target="https://www.google.com/maps/search/?api=1&amp;query=Andreia%20Oliveira%20Beauty&amp;query_place_id=ChIJdcXBDapdiAcRF6bYGmNZXaU" TargetMode="External"/><Relationship Id="rId14" Type="http://schemas.openxmlformats.org/officeDocument/2006/relationships/hyperlink" Target="https://www.google.com/maps/search/?api=1&amp;query=Studio%20Israelma%20Jord%C3%A3o%20-%20Crespos%20e%20Cachos&amp;query_place_id=ChIJN1SWhnxdiAcRCJDZO3knt0E" TargetMode="External"/><Relationship Id="rId17" Type="http://schemas.openxmlformats.org/officeDocument/2006/relationships/hyperlink" Target="https://www.google.com/maps/search/?api=1&amp;query=Sal%C3%A3o%20Sousa%20aplica%C3%A7%C3%A3o%20de%20pr%C3%B3tese%20capilar&amp;query_place_id=ChIJH9gl9ttdiAcRym7ckDY5Te8" TargetMode="External"/><Relationship Id="rId16" Type="http://schemas.openxmlformats.org/officeDocument/2006/relationships/hyperlink" Target="https://www.google.com/maps/search/?api=1&amp;query=Joyce%20Alencar%20STUDIO%20BEAUTY&amp;query_place_id=ChIJt1xMFUhciAcRtH7SZtqcIaE" TargetMode="External"/><Relationship Id="rId19" Type="http://schemas.openxmlformats.org/officeDocument/2006/relationships/hyperlink" Target="https://www.google.com/maps/search/?api=1&amp;query=Espa%C3%A7o%20Jaqueline%20Cavalcante%20Hair&amp;query_place_id=ChIJ97AVSEtdiAcRDGdwzFxe5Jo" TargetMode="External"/><Relationship Id="rId18" Type="http://schemas.openxmlformats.org/officeDocument/2006/relationships/hyperlink" Target="https://www.google.com/maps/search/?api=1&amp;query=Fernanda%20G%C3%B3is&amp;query_place_id=ChIJ6y6rZcddiAcR8YBOKKvexWw" TargetMode="External"/><Relationship Id="rId84" Type="http://schemas.openxmlformats.org/officeDocument/2006/relationships/hyperlink" Target="https://www.google.com/maps/search/?api=1&amp;query=Studio%20Sempre%20Bella&amp;query_place_id=ChIJlYJfCOVdiAcRazEl-d3tymk" TargetMode="External"/><Relationship Id="rId83" Type="http://schemas.openxmlformats.org/officeDocument/2006/relationships/hyperlink" Target="https://www.google.com/maps/search/?api=1&amp;query=VANIA%20COSMETICOS&amp;query_place_id=ChIJ22QnebhdiAcRgmNikblb95Q" TargetMode="External"/><Relationship Id="rId86" Type="http://schemas.openxmlformats.org/officeDocument/2006/relationships/hyperlink" Target="https://www.google.com/maps/search/?api=1&amp;query=C%C3%ADlios%20e%20sobrancelhas%20presidente%20dutra&amp;query_place_id=ChIJd2Td5jddiAcRihbki6rnnKo" TargetMode="External"/><Relationship Id="rId85" Type="http://schemas.openxmlformats.org/officeDocument/2006/relationships/hyperlink" Target="https://www.google.com/maps/search/?api=1&amp;query=Maryh_Monteiro_Make_Up&amp;query_place_id=ChIJOcO3yZhdiAcRTb9sI2XT9fQ" TargetMode="External"/><Relationship Id="rId88" Type="http://schemas.openxmlformats.org/officeDocument/2006/relationships/hyperlink" Target="https://www.google.com/maps/search/?api=1&amp;query=Liliane%20Olyveira%20Beauty%20Clinic&amp;query_place_id=ChIJwxh5TQBdiAcRfk36cEsaThU" TargetMode="External"/><Relationship Id="rId87" Type="http://schemas.openxmlformats.org/officeDocument/2006/relationships/hyperlink" Target="https://www.google.com/maps/search/?api=1&amp;query=Sal%C3%A3o%20de%20beleza%20feminino&amp;query_place_id=ChIJu27iTQBdiAcRE2sVa0deFF8" TargetMode="External"/><Relationship Id="rId89" Type="http://schemas.openxmlformats.org/officeDocument/2006/relationships/hyperlink" Target="https://www.google.com/maps/search/?api=1&amp;query=Spar%20Unhas%20Cosm%C3%A9ticos&amp;query_place_id=ChIJd7ScEY1diAcROLsFdss10y0" TargetMode="External"/><Relationship Id="rId80" Type="http://schemas.openxmlformats.org/officeDocument/2006/relationships/hyperlink" Target="https://www.google.com/maps/search/?api=1&amp;query=Centro%20Est%C3%A9tico%20Flor%20de%20Pele&amp;query_place_id=ChIJw4UEphtdiAcRQUIv5dduGC8" TargetMode="External"/><Relationship Id="rId82" Type="http://schemas.openxmlformats.org/officeDocument/2006/relationships/hyperlink" Target="https://www.google.com/maps/search/?api=1&amp;query=Studio%20Laura%20Lawanda&amp;query_place_id=ChIJ6dkR05FdiAcRz1fAgdU9log" TargetMode="External"/><Relationship Id="rId81" Type="http://schemas.openxmlformats.org/officeDocument/2006/relationships/hyperlink" Target="https://www.google.com/maps/search/?api=1&amp;query=Ravy%20Unhas&amp;query_place_id=ChIJQyDnpBP3iAcRs-iCssiXdTI" TargetMode="External"/><Relationship Id="rId1" Type="http://schemas.openxmlformats.org/officeDocument/2006/relationships/hyperlink" Target="https://www.google.com/maps/search/?api=1&amp;query=Geuziana%20L%C3%BAcio%20Cabeleireira&amp;query_place_id=ChIJeY_6y75diAcRwBQzuy_8YjI" TargetMode="External"/><Relationship Id="rId2" Type="http://schemas.openxmlformats.org/officeDocument/2006/relationships/hyperlink" Target="https://www.google.com/maps/search/?api=1&amp;query=Beauty%20Studio%20DarMinina&amp;query_place_id=ChIJEbKJzhxdiAcRw8MM7ZxnYuY" TargetMode="External"/><Relationship Id="rId3" Type="http://schemas.openxmlformats.org/officeDocument/2006/relationships/hyperlink" Target="https://www.google.com/maps/search/?api=1&amp;query=Camilla%20Beauty%20Studio&amp;query_place_id=ChIJoY7nCwBjiAcRdIIGOKOsyto" TargetMode="External"/><Relationship Id="rId4" Type="http://schemas.openxmlformats.org/officeDocument/2006/relationships/hyperlink" Target="https://www.google.com/maps/search/?api=1&amp;query=JANIELE%20CABELEIREIRA&amp;query_place_id=ChIJX33vjNZjiAcRBbE5uln8VPE" TargetMode="External"/><Relationship Id="rId9" Type="http://schemas.openxmlformats.org/officeDocument/2006/relationships/hyperlink" Target="https://www.google.com/maps/search/?api=1&amp;query=Cantinho%20Spa%20Beauty%20-%20Havylla%20Dandara&amp;query_place_id=ChIJVfZoDxZdiAcRVbOLcco-rmc" TargetMode="External"/><Relationship Id="rId5" Type="http://schemas.openxmlformats.org/officeDocument/2006/relationships/hyperlink" Target="https://www.google.com/maps/search/?api=1&amp;query=Sal%C3%A3o%20Unissex&amp;query_place_id=ChIJ59N45dxdiAcRl6vVn3vnM90" TargetMode="External"/><Relationship Id="rId6" Type="http://schemas.openxmlformats.org/officeDocument/2006/relationships/hyperlink" Target="https://www.google.com/maps/search/?api=1&amp;query=Ela%20Centro%20de%20Beleza&amp;query_place_id=ChIJBbJ1MDZciAcRJ9vB4ISOmQ8" TargetMode="External"/><Relationship Id="rId7" Type="http://schemas.openxmlformats.org/officeDocument/2006/relationships/hyperlink" Target="https://www.google.com/maps/search/?api=1&amp;query=Mag%20Cabelereira&amp;query_place_id=ChIJh4jL7_ldiAcRkbqrQdsf0GI" TargetMode="External"/><Relationship Id="rId8" Type="http://schemas.openxmlformats.org/officeDocument/2006/relationships/hyperlink" Target="https://www.google.com/maps/search/?api=1&amp;query=Centro%20est%C3%A9tico%20Sabrinny%20Moura&amp;query_place_id=ChIJny-DGAFdiAcRgwg18ajH_o8" TargetMode="External"/><Relationship Id="rId73" Type="http://schemas.openxmlformats.org/officeDocument/2006/relationships/hyperlink" Target="https://www.google.com/maps/search/?api=1&amp;query=Sal%C3%A3o%20Jouse%20Manicure&amp;query_place_id=ChIJj9YSTp5diAcRcjM8ALkxL9g" TargetMode="External"/><Relationship Id="rId72" Type="http://schemas.openxmlformats.org/officeDocument/2006/relationships/hyperlink" Target="https://www.google.com/maps/search/?api=1&amp;query=Barbearia%20MK&amp;query_place_id=ChIJVZIJwnhdiAcR3z9-SmNM2g8" TargetMode="External"/><Relationship Id="rId75" Type="http://schemas.openxmlformats.org/officeDocument/2006/relationships/hyperlink" Target="https://www.google.com/maps/search/?api=1&amp;query=SPA%20Equil%C3%ADbrium&amp;query_place_id=ChIJZbTMKsFdiAcRpDhG_oNywkU" TargetMode="External"/><Relationship Id="rId74" Type="http://schemas.openxmlformats.org/officeDocument/2006/relationships/hyperlink" Target="https://www.google.com/maps/search/?api=1&amp;query=Katiana%20Morais&amp;query_place_id=ChIJifeqhp1diAcRQn4CvC3AYa0" TargetMode="External"/><Relationship Id="rId77" Type="http://schemas.openxmlformats.org/officeDocument/2006/relationships/hyperlink" Target="https://www.google.com/maps/search/?api=1&amp;query=Ponto%20Laser%20Depila%C3%A7%C3%A3o&amp;query_place_id=ChIJD1yPBxldiAcRYZEB7Lvn4WQ" TargetMode="External"/><Relationship Id="rId76" Type="http://schemas.openxmlformats.org/officeDocument/2006/relationships/hyperlink" Target="https://www.google.com/maps/search/?api=1&amp;query=Thamires%20Pereira%20Consult%C3%B3rio%20Est%C3%A9tico&amp;query_place_id=ChIJrZ06mbpdiAcRFzc1U3nS2uQ" TargetMode="External"/><Relationship Id="rId79" Type="http://schemas.openxmlformats.org/officeDocument/2006/relationships/hyperlink" Target="https://www.google.com/maps/search/?api=1&amp;query=MC%20cl%C3%ADnica%20de%20est%C3%A9tica%20avan%C3%A7ada&amp;query_place_id=ChIJW8cmPQBdiAcRPZJsGkCdEiM" TargetMode="External"/><Relationship Id="rId78" Type="http://schemas.openxmlformats.org/officeDocument/2006/relationships/hyperlink" Target="https://www.google.com/maps/search/?api=1&amp;query=Cl%C3%ADnica%20de%20Est%C3%A9tica%20Michelly%20Pinheiro&amp;query_place_id=ChIJAW0MwrZdiAcRWgsMslLKpaI" TargetMode="External"/><Relationship Id="rId71" Type="http://schemas.openxmlformats.org/officeDocument/2006/relationships/hyperlink" Target="https://www.google.com/maps/search/?api=1&amp;query=Studio%20de%20Beleza%20Laninha%20Pach%C3%AAco&amp;query_place_id=ChIJR4mkGQBdiAcRCWAGGYMyXf0" TargetMode="External"/><Relationship Id="rId70" Type="http://schemas.openxmlformats.org/officeDocument/2006/relationships/hyperlink" Target="https://www.google.com/maps/search/?api=1&amp;query=Glow%2C%20beleza%20%26%20cuidados&amp;query_place_id=ChIJ7WhdQq9diAcRbJ3D-6bnMts" TargetMode="External"/><Relationship Id="rId62" Type="http://schemas.openxmlformats.org/officeDocument/2006/relationships/hyperlink" Target="https://www.google.com/maps/search/?api=1&amp;query=STYLOS%20CARIRI%20PRESIDENTE%20DUTRA&amp;query_place_id=ChIJGUnlxshdiAcRga4TdF4gyR4" TargetMode="External"/><Relationship Id="rId61" Type="http://schemas.openxmlformats.org/officeDocument/2006/relationships/hyperlink" Target="https://www.google.com/maps/search/?api=1&amp;query=Studio%20Rilgla%20Sousa&amp;query_place_id=ChIJlXwpv1FdiAcRhIEjJ6z93pQ" TargetMode="External"/><Relationship Id="rId64" Type="http://schemas.openxmlformats.org/officeDocument/2006/relationships/hyperlink" Target="https://www.google.com/maps/search/?api=1&amp;query=Enir%20Bronze&amp;query_place_id=ChIJ6zU3YwBdiAcRzPpo94fkwKE" TargetMode="External"/><Relationship Id="rId63" Type="http://schemas.openxmlformats.org/officeDocument/2006/relationships/hyperlink" Target="https://www.google.com/maps/search/?api=1&amp;query=Espa%C3%A7o%20arine%20Unhas&amp;query_place_id=ChIJG1olPrRdiAcRKmIO0p5Ix9M" TargetMode="External"/><Relationship Id="rId66" Type="http://schemas.openxmlformats.org/officeDocument/2006/relationships/hyperlink" Target="https://www.google.com/maps/search/?api=1&amp;query=D.%20LEAL&amp;query_place_id=ChIJSXPsGFVdiAcRQx5TD6mNaGM" TargetMode="External"/><Relationship Id="rId65" Type="http://schemas.openxmlformats.org/officeDocument/2006/relationships/hyperlink" Target="https://www.google.com/maps/search/?api=1&amp;query=D%2FT&amp;query_place_id=ChIJZ7u2TQBdiAcR-fc8kKvZG_4" TargetMode="External"/><Relationship Id="rId68" Type="http://schemas.openxmlformats.org/officeDocument/2006/relationships/hyperlink" Target="https://www.google.com/maps/search/?api=1&amp;query=Tami%20nail%20designer&amp;query_place_id=ChIJGRTkfY1diAcRX5IvufKAwcg" TargetMode="External"/><Relationship Id="rId67" Type="http://schemas.openxmlformats.org/officeDocument/2006/relationships/hyperlink" Target="https://www.google.com/maps/search/?api=1&amp;query=MARITIZA%20CARVALHO%20NAIL%20DESIGNER&amp;query_place_id=ChIJkxPWJwhdiAcR1cIDieeSmXI" TargetMode="External"/><Relationship Id="rId60" Type="http://schemas.openxmlformats.org/officeDocument/2006/relationships/hyperlink" Target="https://www.google.com/maps/search/?api=1&amp;query=SANDRA%20SOUSA%20ST%C3%9ADIO%20DE%20BELEZA&amp;query_place_id=ChIJXYwPgbNdiAcR6WcbezVRRNA" TargetMode="External"/><Relationship Id="rId69" Type="http://schemas.openxmlformats.org/officeDocument/2006/relationships/hyperlink" Target="https://www.google.com/maps/search/?api=1&amp;query=Faby%20unhas&amp;query_place_id=ChIJ_yUhEgBdiAcRxwwtVzzV3pk" TargetMode="External"/><Relationship Id="rId51" Type="http://schemas.openxmlformats.org/officeDocument/2006/relationships/hyperlink" Target="https://www.google.com/maps/search/?api=1&amp;query=Cileide%20Unhas&amp;query_place_id=ChIJxZmhQLVdiAcRNfxG7LM1Qj8" TargetMode="External"/><Relationship Id="rId50" Type="http://schemas.openxmlformats.org/officeDocument/2006/relationships/hyperlink" Target="https://www.google.com/maps/search/?api=1&amp;query=Studio%20Mary%20Lima&amp;query_place_id=ChIJnVmFhlNdiAcRolMrQd0a--Y" TargetMode="External"/><Relationship Id="rId53" Type="http://schemas.openxmlformats.org/officeDocument/2006/relationships/hyperlink" Target="https://www.google.com/maps/search/?api=1&amp;query=Est%C3%BAdio%20de%20Beleza%20Espa%C3%A7os%20das%20Escovas&amp;query_place_id=ChIJiy5tEgBdiAcRSm9Szmg1Af0" TargetMode="External"/><Relationship Id="rId52" Type="http://schemas.openxmlformats.org/officeDocument/2006/relationships/hyperlink" Target="https://www.google.com/maps/search/?api=1&amp;query=Centro%20de%20Beleza%20Rafaela%20Oliveira&amp;query_place_id=ChIJfcJ3RQBdiAcRq2A3bNEph1s" TargetMode="External"/><Relationship Id="rId55" Type="http://schemas.openxmlformats.org/officeDocument/2006/relationships/hyperlink" Target="https://www.google.com/maps/search/?api=1&amp;query=Rs_charme_nail_art&amp;query_place_id=ChIJHbXGdEFdiAcREmadwS5xDCM" TargetMode="External"/><Relationship Id="rId54" Type="http://schemas.openxmlformats.org/officeDocument/2006/relationships/hyperlink" Target="https://www.google.com/maps/search/?api=1&amp;query=Sal%C3%A3o%20de%20beleza%20Vit%C3%B3ria%20R%C3%A9gia&amp;query_place_id=ChIJx-K9RgBdiAcRA_Am8FF7Ajo" TargetMode="External"/><Relationship Id="rId57" Type="http://schemas.openxmlformats.org/officeDocument/2006/relationships/hyperlink" Target="https://www.google.com/maps/search/?api=1&amp;query=Studio%20Princesa&amp;query_place_id=ChIJpy_7vOpdiAcRJ6DUiZX-lgY" TargetMode="External"/><Relationship Id="rId56" Type="http://schemas.openxmlformats.org/officeDocument/2006/relationships/hyperlink" Target="https://www.google.com/maps/search/?api=1&amp;query=Studio%20Jakeline%20Leal&amp;query_place_id=ChIJxa3ZK-hdiAcR_B08Xc9-3Ag" TargetMode="External"/><Relationship Id="rId59" Type="http://schemas.openxmlformats.org/officeDocument/2006/relationships/hyperlink" Target="https://www.google.com/maps/search/?api=1&amp;query=Ray%20Sal%C3%A3o%20unissex&amp;query_place_id=ChIJ38wbJUldiAcRA6udccEClT8" TargetMode="External"/><Relationship Id="rId58" Type="http://schemas.openxmlformats.org/officeDocument/2006/relationships/hyperlink" Target="https://www.google.com/maps/search/?api=1&amp;query=Studio%20Anna%20Caroliny%20Lash%20e%20Sobrancelha&amp;query_place_id=ChIJa7JdnP1diAcRjPsbCPssr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2" t="s">
        <v>16</v>
      </c>
      <c r="I2" s="3" t="str">
        <f>IFERROR(__xludf.DUMMYFUNCTION("IF(A2="""", """", IFS(REGEXMATCH(LOWER(A2), ""barbearia|barber""), ""Barbearia"", REGEXMATCH(LOWER(A2), ""sobrancelh|c[ií]lio|lash|micropigment|showbrancelhas""), ""Sobrancelhas e Cílios"", REGEXMATCH(LOWER(A2), ""maquia|make""), ""Maquiagem"", REGEXMATCH"&amp;"(LOWER(A2), ""depil|epil""), ""Depilação"", REGEXMATCH(LOWER(A2), ""esmalteria|unha|nail|manicur|spa dos p[eé]s|kauu_nhas""), ""Manicure - Esmalteria"", REGEXMATCH(LOWER(A2), ""est[eé]tic|bronze|massot|terap|pilates|revitalize|dra""), ""Clínica de Estétic"&amp;"a"", TRUE, ""Salão de Beleza""))"),"Salão de Beleza")</f>
        <v>Salão de Beleza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3" t="str">
        <f>IFERROR(__xludf.DUMMYFUNCTION("AI(""Preencha um valor adequado para esta célula com base no contexto da tabela"")"),"Presidente Dutra - MA")</f>
        <v>Presidente Dutra - MA</v>
      </c>
      <c r="H3" s="2" t="s">
        <v>23</v>
      </c>
      <c r="I3" s="3" t="str">
        <f>IFERROR(__xludf.DUMMYFUNCTION("IF(A3="""", """", IFS(REGEXMATCH(LOWER(A3), ""barbearia|barber""), ""Barbearia"", REGEXMATCH(LOWER(A3), ""sobrancelh|c[ií]lio|lash|micropigment|showbrancelhas""), ""Sobrancelhas e Cílios"", REGEXMATCH(LOWER(A3), ""maquia|make""), ""Maquiagem"", REGEXMATCH"&amp;"(LOWER(A3), ""depil|epil""), ""Depilação"", REGEXMATCH(LOWER(A3), ""esmalteria|unha|nail|manicur|spa dos p[eé]s|kauu_nhas""), ""Manicure - Esmalteria"", REGEXMATCH(LOWER(A3), ""est[eé]tic|bronze|massot|terap|pilates|revitalize|dra""), ""Clínica de Estétic"&amp;"a"", TRUE, ""Salão de Beleza""))"),"Salão de Beleza")</f>
        <v>Salão de Beleza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3" t="str">
        <f>IFERROR(__xludf.DUMMYFUNCTION("AI(""Preencha um valor adequado para esta célula com base no contexto da tabela"")"),"Presidente Dutra - MA")</f>
        <v>Presidente Dutra - MA</v>
      </c>
      <c r="H4" s="2" t="s">
        <v>30</v>
      </c>
      <c r="I4" s="3" t="str">
        <f>IFERROR(__xludf.DUMMYFUNCTION("IF(A4="""", """", IFS(REGEXMATCH(LOWER(A4), ""barbearia|barber""), ""Barbearia"", REGEXMATCH(LOWER(A4), ""sobrancelh|c[ií]lio|lash|micropigment|showbrancelhas""), ""Sobrancelhas e Cílios"", REGEXMATCH(LOWER(A4), ""maquia|make""), ""Maquiagem"", REGEXMATCH"&amp;"(LOWER(A4), ""depil|epil""), ""Depilação"", REGEXMATCH(LOWER(A4), ""esmalteria|unha|nail|manicur|spa dos p[eé]s|kauu_nhas""), ""Manicure - Esmalteria"", REGEXMATCH(LOWER(A4), ""est[eé]tic|bronze|massot|terap|pilates|revitalize|dra""), ""Clínica de Estétic"&amp;"a"", TRUE, ""Salão de Beleza""))"),"Salão de Beleza")</f>
        <v>Salão de Beleza</v>
      </c>
    </row>
    <row r="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3" t="str">
        <f>IFERROR(__xludf.DUMMYFUNCTION("AI(""Preencha um valor adequado para esta célula com base no contexto da tabela"")"),"Presidente Dutra - MA")</f>
        <v>Presidente Dutra - MA</v>
      </c>
      <c r="H5" s="2" t="s">
        <v>37</v>
      </c>
      <c r="I5" s="3" t="str">
        <f>IFERROR(__xludf.DUMMYFUNCTION("IF(A5="""", """", IFS(REGEXMATCH(LOWER(A5), ""barbearia|barber""), ""Barbearia"", REGEXMATCH(LOWER(A5), ""sobrancelh|c[ií]lio|lash|micropigment|showbrancelhas""), ""Sobrancelhas e Cílios"", REGEXMATCH(LOWER(A5), ""maquia|make""), ""Maquiagem"", REGEXMATCH"&amp;"(LOWER(A5), ""depil|epil""), ""Depilação"", REGEXMATCH(LOWER(A5), ""esmalteria|unha|nail|manicur|spa dos p[eé]s|kauu_nhas""), ""Manicure - Esmalteria"", REGEXMATCH(LOWER(A5), ""est[eé]tic|bronze|massot|terap|pilates|revitalize|dra""), ""Clínica de Estétic"&amp;"a"", TRUE, ""Salão de Beleza""))"),"Salão de Beleza")</f>
        <v>Salão de Beleza</v>
      </c>
    </row>
    <row r="6">
      <c r="A6" s="1" t="s">
        <v>38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43</v>
      </c>
      <c r="G6" s="3" t="str">
        <f>IFERROR(__xludf.DUMMYFUNCTION("AI(""Preencha um valor adequado para esta célula com base no contexto da tabela"")"),"Presidente Dutra - MA")</f>
        <v>Presidente Dutra - MA</v>
      </c>
      <c r="H6" s="2" t="s">
        <v>44</v>
      </c>
      <c r="I6" s="3" t="str">
        <f>IFERROR(__xludf.DUMMYFUNCTION("IF(A6="""", """", IFS(REGEXMATCH(LOWER(A6), ""barbearia|barber""), ""Barbearia"", REGEXMATCH(LOWER(A6), ""sobrancelh|c[ií]lio|lash|micropigment|showbrancelhas""), ""Sobrancelhas e Cílios"", REGEXMATCH(LOWER(A6), ""maquia|make""), ""Maquiagem"", REGEXMATCH"&amp;"(LOWER(A6), ""depil|epil""), ""Depilação"", REGEXMATCH(LOWER(A6), ""esmalteria|unha|nail|manicur|spa dos p[eé]s|kauu_nhas""), ""Manicure - Esmalteria"", REGEXMATCH(LOWER(A6), ""est[eé]tic|bronze|massot|terap|pilates|revitalize|dra""), ""Clínica de Estétic"&amp;"a"", TRUE, ""Salão de Beleza""))"),"Salão de Beleza")</f>
        <v>Salão de Beleza</v>
      </c>
    </row>
    <row r="7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3" t="str">
        <f>IFERROR(__xludf.DUMMYFUNCTION("AI(""Preencha um valor adequado para esta célula com base no contexto da tabela"")"),"Presidente Dutra - MA")</f>
        <v>Presidente Dutra - MA</v>
      </c>
      <c r="H7" s="2" t="s">
        <v>51</v>
      </c>
      <c r="I7" s="3" t="str">
        <f>IFERROR(__xludf.DUMMYFUNCTION("IF(A7="""", """", IFS(REGEXMATCH(LOWER(A7), ""barbearia|barber""), ""Barbearia"", REGEXMATCH(LOWER(A7), ""sobrancelh|c[ií]lio|lash|micropigment|showbrancelhas""), ""Sobrancelhas e Cílios"", REGEXMATCH(LOWER(A7), ""maquia|make""), ""Maquiagem"", REGEXMATCH"&amp;"(LOWER(A7), ""depil|epil""), ""Depilação"", REGEXMATCH(LOWER(A7), ""esmalteria|unha|nail|manicur|spa dos p[eé]s|kauu_nhas""), ""Manicure - Esmalteria"", REGEXMATCH(LOWER(A7), ""est[eé]tic|bronze|massot|terap|pilates|revitalize|dra""), ""Clínica de Estétic"&amp;"a"", TRUE, ""Salão de Beleza""))"),"Salão de Beleza")</f>
        <v>Salão de Beleza</v>
      </c>
    </row>
    <row r="8">
      <c r="A8" s="1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1" t="s">
        <v>57</v>
      </c>
      <c r="G8" s="3" t="str">
        <f>IFERROR(__xludf.DUMMYFUNCTION("AI(""Preencha um valor adequado para esta célula com base no contexto da tabela"")"),"Presidente Dutra - MA")</f>
        <v>Presidente Dutra - MA</v>
      </c>
      <c r="H8" s="2" t="s">
        <v>58</v>
      </c>
      <c r="I8" s="3" t="str">
        <f>IFERROR(__xludf.DUMMYFUNCTION("IF(A8="""", """", IFS(REGEXMATCH(LOWER(A8), ""barbearia|barber""), ""Barbearia"", REGEXMATCH(LOWER(A8), ""sobrancelh|c[ií]lio|lash|micropigment|showbrancelhas""), ""Sobrancelhas e Cílios"", REGEXMATCH(LOWER(A8), ""maquia|make""), ""Maquiagem"", REGEXMATCH"&amp;"(LOWER(A8), ""depil|epil""), ""Depilação"", REGEXMATCH(LOWER(A8), ""esmalteria|unha|nail|manicur|spa dos p[eé]s|kauu_nhas""), ""Manicure - Esmalteria"", REGEXMATCH(LOWER(A8), ""est[eé]tic|bronze|massot|terap|pilates|revitalize|dra""), ""Clínica de Estétic"&amp;"a"", TRUE, ""Salão de Beleza""))"),"Salão de Beleza")</f>
        <v>Salão de Beleza</v>
      </c>
    </row>
    <row r="9">
      <c r="A9" s="1" t="s">
        <v>59</v>
      </c>
      <c r="D9" s="1" t="s">
        <v>60</v>
      </c>
      <c r="E9" s="1" t="s">
        <v>61</v>
      </c>
      <c r="F9" s="1" t="s">
        <v>62</v>
      </c>
      <c r="G9" s="3" t="str">
        <f>IFERROR(__xludf.DUMMYFUNCTION("AI(""Preencha um valor adequado para esta célula com base no contexto da tabela"")"),"Presidente Dutra - MA")</f>
        <v>Presidente Dutra - MA</v>
      </c>
      <c r="H9" s="2" t="s">
        <v>63</v>
      </c>
      <c r="I9" s="3" t="str">
        <f>IFERROR(__xludf.DUMMYFUNCTION("IF(A9="""", """", IFS(REGEXMATCH(LOWER(A9), ""barbearia|barber""), ""Barbearia"", REGEXMATCH(LOWER(A9), ""sobrancelh|c[ií]lio|lash|micropigment|showbrancelhas""), ""Sobrancelhas e Cílios"", REGEXMATCH(LOWER(A9), ""maquia|make""), ""Maquiagem"", REGEXMATCH"&amp;"(LOWER(A9), ""depil|epil""), ""Depilação"", REGEXMATCH(LOWER(A9), ""esmalteria|unha|nail|manicur|spa dos p[eé]s|kauu_nhas""), ""Manicure - Esmalteria"", REGEXMATCH(LOWER(A9), ""est[eé]tic|bronze|massot|terap|pilates|revitalize|dra""), ""Clínica de Estétic"&amp;"a"", TRUE, ""Salão de Beleza""))"),"Clínica de Estética")</f>
        <v>Clínica de Estética</v>
      </c>
    </row>
    <row r="10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tr">
        <f>IFERROR(__xludf.DUMMYFUNCTION("AI(""Preencha um valor adequado para esta célula com base no contexto da tabela"")"),"Presidente Dutra - MA")</f>
        <v>Presidente Dutra - MA</v>
      </c>
      <c r="H10" s="2" t="s">
        <v>70</v>
      </c>
      <c r="I10" s="3" t="str">
        <f>IFERROR(__xludf.DUMMYFUNCTION("IF(A10="""", """", IFS(REGEXMATCH(LOWER(A10), ""barbearia|barber""), ""Barbearia"", REGEXMATCH(LOWER(A10), ""sobrancelh|c[ií]lio|lash|micropigment|showbrancelhas""), ""Sobrancelhas e Cílios"", REGEXMATCH(LOWER(A10), ""maquia|make""), ""Maquiagem"", REGEXM"&amp;"ATCH(LOWER(A10), ""depil|epil""), ""Depilação"", REGEXMATCH(LOWER(A10), ""esmalteria|unha|nail|manicur|spa dos p[eé]s|kauu_nhas""), ""Manicure - Esmalteria"", REGEXMATCH(LOWER(A10), ""est[eé]tic|bronze|massot|terap|pilates|revitalize|dra""), ""Clínica de "&amp;"Estética"", TRUE, ""Salão de Beleza""))"),"Salão de Beleza")</f>
        <v>Salão de Beleza</v>
      </c>
    </row>
    <row r="11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tr">
        <f>IFERROR(__xludf.DUMMYFUNCTION("AI(""Preencha um valor adequado para esta célula com base no contexto da tabela"")"),"Presidente Dutra - MA")</f>
        <v>Presidente Dutra - MA</v>
      </c>
      <c r="H11" s="2" t="s">
        <v>77</v>
      </c>
      <c r="I11" s="3" t="str">
        <f>IFERROR(__xludf.DUMMYFUNCTION("IF(A11="""", """", IFS(REGEXMATCH(LOWER(A11), ""barbearia|barber""), ""Barbearia"", REGEXMATCH(LOWER(A11), ""sobrancelh|c[ií]lio|lash|micropigment|showbrancelhas""), ""Sobrancelhas e Cílios"", REGEXMATCH(LOWER(A11), ""maquia|make""), ""Maquiagem"", REGEXM"&amp;"ATCH(LOWER(A11), ""depil|epil""), ""Depilação"", REGEXMATCH(LOWER(A11), ""esmalteria|unha|nail|manicur|spa dos p[eé]s|kauu_nhas""), ""Manicure - Esmalteria"", REGEXMATCH(LOWER(A11), ""est[eé]tic|bronze|massot|terap|pilates|revitalize|dra""), ""Clínica de "&amp;"Estética"", TRUE, ""Salão de Beleza""))"),"Clínica de Estética")</f>
        <v>Clínica de Estética</v>
      </c>
    </row>
    <row r="12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3" t="str">
        <f>IFERROR(__xludf.DUMMYFUNCTION("AI(""Preencha um valor adequado para esta célula com base no contexto da tabela"")"),"Presidente Dutra - MA")</f>
        <v>Presidente Dutra - MA</v>
      </c>
      <c r="H12" s="2" t="s">
        <v>84</v>
      </c>
      <c r="I12" s="3" t="str">
        <f>IFERROR(__xludf.DUMMYFUNCTION("IF(A12="""", """", IFS(REGEXMATCH(LOWER(A12), ""barbearia|barber""), ""Barbearia"", REGEXMATCH(LOWER(A12), ""sobrancelh|c[ií]lio|lash|micropigment|showbrancelhas""), ""Sobrancelhas e Cílios"", REGEXMATCH(LOWER(A12), ""maquia|make""), ""Maquiagem"", REGEXM"&amp;"ATCH(LOWER(A12), ""depil|epil""), ""Depilação"", REGEXMATCH(LOWER(A12), ""esmalteria|unha|nail|manicur|spa dos p[eé]s|kauu_nhas""), ""Manicure - Esmalteria"", REGEXMATCH(LOWER(A12), ""est[eé]tic|bronze|massot|terap|pilates|revitalize|dra""), ""Clínica de "&amp;"Estética"", TRUE, ""Salão de Beleza""))"),"Salão de Beleza")</f>
        <v>Salão de Beleza</v>
      </c>
    </row>
    <row r="13">
      <c r="A13" s="1" t="s">
        <v>85</v>
      </c>
      <c r="D13" s="1" t="s">
        <v>86</v>
      </c>
      <c r="E13" s="1" t="s">
        <v>87</v>
      </c>
      <c r="F13" s="1" t="s">
        <v>88</v>
      </c>
      <c r="G13" s="3" t="str">
        <f>IFERROR(__xludf.DUMMYFUNCTION("AI(""Preencha um valor adequado para esta célula com base no contexto da tabela"")"),"Presidente Dutra - MA")</f>
        <v>Presidente Dutra - MA</v>
      </c>
      <c r="H13" s="2" t="s">
        <v>89</v>
      </c>
      <c r="I13" s="3" t="str">
        <f>IFERROR(__xludf.DUMMYFUNCTION("IF(A13="""", """", IFS(REGEXMATCH(LOWER(A13), ""barbearia|barber""), ""Barbearia"", REGEXMATCH(LOWER(A13), ""sobrancelh|c[ií]lio|lash|micropigment|showbrancelhas""), ""Sobrancelhas e Cílios"", REGEXMATCH(LOWER(A13), ""maquia|make""), ""Maquiagem"", REGEXM"&amp;"ATCH(LOWER(A13), ""depil|epil""), ""Depilação"", REGEXMATCH(LOWER(A13), ""esmalteria|unha|nail|manicur|spa dos p[eé]s|kauu_nhas""), ""Manicure - Esmalteria"", REGEXMATCH(LOWER(A13), ""est[eé]tic|bronze|massot|terap|pilates|revitalize|dra""), ""Clínica de "&amp;"Estética"", TRUE, ""Salão de Beleza""))"),"Salão de Beleza")</f>
        <v>Salão de Beleza</v>
      </c>
    </row>
    <row r="14">
      <c r="A14" s="1" t="s">
        <v>90</v>
      </c>
      <c r="D14" s="1" t="s">
        <v>91</v>
      </c>
      <c r="E14" s="1" t="s">
        <v>92</v>
      </c>
      <c r="F14" s="1" t="s">
        <v>93</v>
      </c>
      <c r="G14" s="3" t="str">
        <f>IFERROR(__xludf.DUMMYFUNCTION("AI(""Preencha um valor adequado para esta célula com base no contexto da tabela"")"),"Presidente Dutra - MA")</f>
        <v>Presidente Dutra - MA</v>
      </c>
      <c r="H14" s="2" t="s">
        <v>94</v>
      </c>
      <c r="I14" s="3" t="str">
        <f>IFERROR(__xludf.DUMMYFUNCTION("IF(A14="""", """", IFS(REGEXMATCH(LOWER(A14), ""barbearia|barber""), ""Barbearia"", REGEXMATCH(LOWER(A14), ""sobrancelh|c[ií]lio|lash|micropigment|showbrancelhas""), ""Sobrancelhas e Cílios"", REGEXMATCH(LOWER(A14), ""maquia|make""), ""Maquiagem"", REGEXM"&amp;"ATCH(LOWER(A14), ""depil|epil""), ""Depilação"", REGEXMATCH(LOWER(A14), ""esmalteria|unha|nail|manicur|spa dos p[eé]s|kauu_nhas""), ""Manicure - Esmalteria"", REGEXMATCH(LOWER(A14), ""est[eé]tic|bronze|massot|terap|pilates|revitalize|dra""), ""Clínica de "&amp;"Estética"", TRUE, ""Salão de Beleza""))"),"Salão de Beleza")</f>
        <v>Salão de Beleza</v>
      </c>
    </row>
    <row r="15">
      <c r="A15" s="1" t="s">
        <v>95</v>
      </c>
      <c r="B15" s="1" t="s">
        <v>96</v>
      </c>
      <c r="C15" s="1" t="s">
        <v>97</v>
      </c>
      <c r="D15" s="1" t="s">
        <v>98</v>
      </c>
      <c r="E15" s="1" t="s">
        <v>99</v>
      </c>
      <c r="F15" s="1" t="s">
        <v>100</v>
      </c>
      <c r="G15" s="3" t="str">
        <f>IFERROR(__xludf.DUMMYFUNCTION("AI(""Preencha um valor adequado para esta célula com base no contexto da tabela"")"),"Presidente Dutra - MA")</f>
        <v>Presidente Dutra - MA</v>
      </c>
      <c r="H15" s="2" t="s">
        <v>101</v>
      </c>
      <c r="I15" s="3" t="str">
        <f>IFERROR(__xludf.DUMMYFUNCTION("IF(A15="""", """", IFS(REGEXMATCH(LOWER(A15), ""barbearia|barber""), ""Barbearia"", REGEXMATCH(LOWER(A15), ""sobrancelh|c[ií]lio|lash|micropigment|showbrancelhas""), ""Sobrancelhas e Cílios"", REGEXMATCH(LOWER(A15), ""maquia|make""), ""Maquiagem"", REGEXM"&amp;"ATCH(LOWER(A15), ""depil|epil""), ""Depilação"", REGEXMATCH(LOWER(A15), ""esmalteria|unha|nail|manicur|spa dos p[eé]s|kauu_nhas""), ""Manicure - Esmalteria"", REGEXMATCH(LOWER(A15), ""est[eé]tic|bronze|massot|terap|pilates|revitalize|dra""), ""Clínica de "&amp;"Estética"", TRUE, ""Salão de Beleza""))"),"Salão de Beleza")</f>
        <v>Salão de Beleza</v>
      </c>
    </row>
    <row r="16">
      <c r="A16" s="1" t="s">
        <v>102</v>
      </c>
      <c r="B16" s="1" t="s">
        <v>103</v>
      </c>
      <c r="C16" s="1" t="s">
        <v>104</v>
      </c>
      <c r="D16" s="1" t="s">
        <v>105</v>
      </c>
      <c r="E16" s="1" t="s">
        <v>106</v>
      </c>
      <c r="F16" s="1" t="s">
        <v>107</v>
      </c>
      <c r="G16" s="3" t="str">
        <f>IFERROR(__xludf.DUMMYFUNCTION("AI(""Preencha um valor adequado para esta célula com base no contexto da tabela"")"),"Presidente Dutra - MA")</f>
        <v>Presidente Dutra - MA</v>
      </c>
      <c r="H16" s="2" t="s">
        <v>108</v>
      </c>
      <c r="I16" s="3" t="str">
        <f>IFERROR(__xludf.DUMMYFUNCTION("IF(A16="""", """", IFS(REGEXMATCH(LOWER(A16), ""barbearia|barber""), ""Barbearia"", REGEXMATCH(LOWER(A16), ""sobrancelh|c[ií]lio|lash|micropigment|showbrancelhas""), ""Sobrancelhas e Cílios"", REGEXMATCH(LOWER(A16), ""maquia|make""), ""Maquiagem"", REGEXM"&amp;"ATCH(LOWER(A16), ""depil|epil""), ""Depilação"", REGEXMATCH(LOWER(A16), ""esmalteria|unha|nail|manicur|spa dos p[eé]s|kauu_nhas""), ""Manicure - Esmalteria"", REGEXMATCH(LOWER(A16), ""est[eé]tic|bronze|massot|terap|pilates|revitalize|dra""), ""Clínica de "&amp;"Estética"", TRUE, ""Salão de Beleza""))"),"Salão de Beleza")</f>
        <v>Salão de Beleza</v>
      </c>
    </row>
    <row r="17">
      <c r="A17" s="1" t="s">
        <v>109</v>
      </c>
      <c r="D17" s="1" t="s">
        <v>110</v>
      </c>
      <c r="E17" s="1" t="s">
        <v>111</v>
      </c>
      <c r="F17" s="1" t="s">
        <v>112</v>
      </c>
      <c r="G17" s="3" t="str">
        <f>IFERROR(__xludf.DUMMYFUNCTION("AI(""Preencha um valor adequado para esta célula com base no contexto da tabela"")"),"Presidente Dutra - MA")</f>
        <v>Presidente Dutra - MA</v>
      </c>
      <c r="H17" s="2" t="s">
        <v>113</v>
      </c>
      <c r="I17" s="3" t="str">
        <f>IFERROR(__xludf.DUMMYFUNCTION("IF(A17="""", """", IFS(REGEXMATCH(LOWER(A17), ""barbearia|barber""), ""Barbearia"", REGEXMATCH(LOWER(A17), ""sobrancelh|c[ií]lio|lash|micropigment|showbrancelhas""), ""Sobrancelhas e Cílios"", REGEXMATCH(LOWER(A17), ""maquia|make""), ""Maquiagem"", REGEXM"&amp;"ATCH(LOWER(A17), ""depil|epil""), ""Depilação"", REGEXMATCH(LOWER(A17), ""esmalteria|unha|nail|manicur|spa dos p[eé]s|kauu_nhas""), ""Manicure - Esmalteria"", REGEXMATCH(LOWER(A17), ""est[eé]tic|bronze|massot|terap|pilates|revitalize|dra""), ""Clínica de "&amp;"Estética"", TRUE, ""Salão de Beleza""))"),"Salão de Beleza")</f>
        <v>Salão de Beleza</v>
      </c>
    </row>
    <row r="18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119</v>
      </c>
      <c r="G18" s="3" t="str">
        <f>IFERROR(__xludf.DUMMYFUNCTION("AI(""Preencha um valor adequado para esta célula com base no contexto da tabela"")"),"Presidente Dutra - MA")</f>
        <v>Presidente Dutra - MA</v>
      </c>
      <c r="H18" s="2" t="s">
        <v>120</v>
      </c>
      <c r="I18" s="3" t="str">
        <f>IFERROR(__xludf.DUMMYFUNCTION("IF(A18="""", """", IFS(REGEXMATCH(LOWER(A18), ""barbearia|barber""), ""Barbearia"", REGEXMATCH(LOWER(A18), ""sobrancelh|c[ií]lio|lash|micropigment|showbrancelhas""), ""Sobrancelhas e Cílios"", REGEXMATCH(LOWER(A18), ""maquia|make""), ""Maquiagem"", REGEXM"&amp;"ATCH(LOWER(A18), ""depil|epil""), ""Depilação"", REGEXMATCH(LOWER(A18), ""esmalteria|unha|nail|manicur|spa dos p[eé]s|kauu_nhas""), ""Manicure - Esmalteria"", REGEXMATCH(LOWER(A18), ""est[eé]tic|bronze|massot|terap|pilates|revitalize|dra""), ""Clínica de "&amp;"Estética"", TRUE, ""Salão de Beleza""))"),"Salão de Beleza")</f>
        <v>Salão de Beleza</v>
      </c>
    </row>
    <row r="19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125</v>
      </c>
      <c r="F19" s="1" t="s">
        <v>126</v>
      </c>
      <c r="G19" s="3" t="str">
        <f>IFERROR(__xludf.DUMMYFUNCTION("AI(""Preencha um valor adequado para esta célula com base no contexto da tabela"")"),"Presidente Dutra - MA")</f>
        <v>Presidente Dutra - MA</v>
      </c>
      <c r="H19" s="2" t="s">
        <v>127</v>
      </c>
      <c r="I19" s="3" t="str">
        <f>IFERROR(__xludf.DUMMYFUNCTION("IF(A19="""", """", IFS(REGEXMATCH(LOWER(A19), ""barbearia|barber""), ""Barbearia"", REGEXMATCH(LOWER(A19), ""sobrancelh|c[ií]lio|lash|micropigment|showbrancelhas""), ""Sobrancelhas e Cílios"", REGEXMATCH(LOWER(A19), ""maquia|make""), ""Maquiagem"", REGEXM"&amp;"ATCH(LOWER(A19), ""depil|epil""), ""Depilação"", REGEXMATCH(LOWER(A19), ""esmalteria|unha|nail|manicur|spa dos p[eé]s|kauu_nhas""), ""Manicure - Esmalteria"", REGEXMATCH(LOWER(A19), ""est[eé]tic|bronze|massot|terap|pilates|revitalize|dra""), ""Clínica de "&amp;"Estética"", TRUE, ""Salão de Beleza""))"),"Salão de Beleza")</f>
        <v>Salão de Beleza</v>
      </c>
    </row>
    <row r="20">
      <c r="A20" s="1" t="s">
        <v>128</v>
      </c>
      <c r="B20" s="1" t="s">
        <v>129</v>
      </c>
      <c r="C20" s="1" t="s">
        <v>130</v>
      </c>
      <c r="D20" s="1" t="s">
        <v>131</v>
      </c>
      <c r="E20" s="1" t="s">
        <v>132</v>
      </c>
      <c r="F20" s="1" t="s">
        <v>133</v>
      </c>
      <c r="G20" s="3" t="str">
        <f>IFERROR(__xludf.DUMMYFUNCTION("AI(""Preencha um valor adequado para esta célula com base no contexto da tabela"")"),"Presidente Dutra - MA")</f>
        <v>Presidente Dutra - MA</v>
      </c>
      <c r="H20" s="2" t="s">
        <v>134</v>
      </c>
      <c r="I20" s="3" t="str">
        <f>IFERROR(__xludf.DUMMYFUNCTION("IF(A20="""", """", IFS(REGEXMATCH(LOWER(A20), ""barbearia|barber""), ""Barbearia"", REGEXMATCH(LOWER(A20), ""sobrancelh|c[ií]lio|lash|micropigment|showbrancelhas""), ""Sobrancelhas e Cílios"", REGEXMATCH(LOWER(A20), ""maquia|make""), ""Maquiagem"", REGEXM"&amp;"ATCH(LOWER(A20), ""depil|epil""), ""Depilação"", REGEXMATCH(LOWER(A20), ""esmalteria|unha|nail|manicur|spa dos p[eé]s|kauu_nhas""), ""Manicure - Esmalteria"", REGEXMATCH(LOWER(A20), ""est[eé]tic|bronze|massot|terap|pilates|revitalize|dra""), ""Clínica de "&amp;"Estética"", TRUE, ""Salão de Beleza""))"),"Salão de Beleza")</f>
        <v>Salão de Beleza</v>
      </c>
    </row>
    <row r="21">
      <c r="A21" s="1" t="s">
        <v>135</v>
      </c>
      <c r="D21" s="1" t="s">
        <v>136</v>
      </c>
      <c r="E21" s="1" t="s">
        <v>137</v>
      </c>
      <c r="F21" s="1" t="s">
        <v>138</v>
      </c>
      <c r="G21" s="3" t="str">
        <f>IFERROR(__xludf.DUMMYFUNCTION("AI(""Preencha um valor adequado para esta célula com base no contexto da tabela"")"),"Presidente Dutra - MA")</f>
        <v>Presidente Dutra - MA</v>
      </c>
      <c r="H21" s="2" t="s">
        <v>139</v>
      </c>
      <c r="I21" s="3" t="str">
        <f>IFERROR(__xludf.DUMMYFUNCTION("IF(A21="""", """", IFS(REGEXMATCH(LOWER(A21), ""barbearia|barber""), ""Barbearia"", REGEXMATCH(LOWER(A21), ""sobrancelh|c[ií]lio|lash|micropigment|showbrancelhas""), ""Sobrancelhas e Cílios"", REGEXMATCH(LOWER(A21), ""maquia|make""), ""Maquiagem"", REGEXM"&amp;"ATCH(LOWER(A21), ""depil|epil""), ""Depilação"", REGEXMATCH(LOWER(A21), ""esmalteria|unha|nail|manicur|spa dos p[eé]s|kauu_nhas""), ""Manicure - Esmalteria"", REGEXMATCH(LOWER(A21), ""est[eé]tic|bronze|massot|terap|pilates|revitalize|dra""), ""Clínica de "&amp;"Estética"", TRUE, ""Salão de Beleza""))"),"Salão de Beleza")</f>
        <v>Salão de Beleza</v>
      </c>
    </row>
    <row r="22">
      <c r="A22" s="1" t="s">
        <v>140</v>
      </c>
      <c r="B22" s="1" t="s">
        <v>141</v>
      </c>
      <c r="C22" s="1" t="s">
        <v>142</v>
      </c>
      <c r="D22" s="1" t="s">
        <v>143</v>
      </c>
      <c r="E22" s="1" t="s">
        <v>144</v>
      </c>
      <c r="F22" s="1" t="s">
        <v>145</v>
      </c>
      <c r="G22" s="3" t="str">
        <f>IFERROR(__xludf.DUMMYFUNCTION("AI(""Preencha um valor adequado para esta célula com base no contexto da tabela"")"),"Presidente Dutra - MA")</f>
        <v>Presidente Dutra - MA</v>
      </c>
      <c r="H22" s="2" t="s">
        <v>146</v>
      </c>
      <c r="I22" s="3" t="str">
        <f>IFERROR(__xludf.DUMMYFUNCTION("IF(A22="""", """", IFS(REGEXMATCH(LOWER(A22), ""barbearia|barber""), ""Barbearia"", REGEXMATCH(LOWER(A22), ""sobrancelh|c[ií]lio|lash|micropigment|showbrancelhas""), ""Sobrancelhas e Cílios"", REGEXMATCH(LOWER(A22), ""maquia|make""), ""Maquiagem"", REGEXM"&amp;"ATCH(LOWER(A22), ""depil|epil""), ""Depilação"", REGEXMATCH(LOWER(A22), ""esmalteria|unha|nail|manicur|spa dos p[eé]s|kauu_nhas""), ""Manicure - Esmalteria"", REGEXMATCH(LOWER(A22), ""est[eé]tic|bronze|massot|terap|pilates|revitalize|dra""), ""Clínica de "&amp;"Estética"", TRUE, ""Salão de Beleza""))"),"Salão de Beleza")</f>
        <v>Salão de Beleza</v>
      </c>
    </row>
    <row r="23">
      <c r="A23" s="1" t="s">
        <v>147</v>
      </c>
      <c r="D23" s="1" t="s">
        <v>148</v>
      </c>
      <c r="E23" s="1" t="s">
        <v>149</v>
      </c>
      <c r="F23" s="1" t="s">
        <v>150</v>
      </c>
      <c r="G23" s="3" t="str">
        <f>IFERROR(__xludf.DUMMYFUNCTION("AI(""Preencha um valor adequado para esta célula com base no contexto da tabela"")"),"Presidente Dutra - MA")</f>
        <v>Presidente Dutra - MA</v>
      </c>
      <c r="H23" s="2" t="s">
        <v>151</v>
      </c>
      <c r="I23" s="3" t="str">
        <f>IFERROR(__xludf.DUMMYFUNCTION("IF(A23="""", """", IFS(REGEXMATCH(LOWER(A23), ""barbearia|barber""), ""Barbearia"", REGEXMATCH(LOWER(A23), ""sobrancelh|c[ií]lio|lash|micropigment|showbrancelhas""), ""Sobrancelhas e Cílios"", REGEXMATCH(LOWER(A23), ""maquia|make""), ""Maquiagem"", REGEXM"&amp;"ATCH(LOWER(A23), ""depil|epil""), ""Depilação"", REGEXMATCH(LOWER(A23), ""esmalteria|unha|nail|manicur|spa dos p[eé]s|kauu_nhas""), ""Manicure - Esmalteria"", REGEXMATCH(LOWER(A23), ""est[eé]tic|bronze|massot|terap|pilates|revitalize|dra""), ""Clínica de "&amp;"Estética"", TRUE, ""Salão de Beleza""))"),"Salão de Beleza")</f>
        <v>Salão de Beleza</v>
      </c>
    </row>
    <row r="24">
      <c r="A24" s="1" t="s">
        <v>152</v>
      </c>
      <c r="D24" s="1" t="s">
        <v>153</v>
      </c>
      <c r="E24" s="1" t="s">
        <v>154</v>
      </c>
      <c r="F24" s="1" t="s">
        <v>155</v>
      </c>
      <c r="G24" s="3" t="str">
        <f>IFERROR(__xludf.DUMMYFUNCTION("AI(""Preencha um valor adequado para esta célula com base no contexto da tabela"")"),"Presidente Dutra - MA")</f>
        <v>Presidente Dutra - MA</v>
      </c>
      <c r="H24" s="2" t="s">
        <v>156</v>
      </c>
      <c r="I24" s="3" t="str">
        <f>IFERROR(__xludf.DUMMYFUNCTION("IF(A24="""", """", IFS(REGEXMATCH(LOWER(A24), ""barbearia|barber""), ""Barbearia"", REGEXMATCH(LOWER(A24), ""sobrancelh|c[ií]lio|lash|micropigment|showbrancelhas""), ""Sobrancelhas e Cílios"", REGEXMATCH(LOWER(A24), ""maquia|make""), ""Maquiagem"", REGEXM"&amp;"ATCH(LOWER(A24), ""depil|epil""), ""Depilação"", REGEXMATCH(LOWER(A24), ""esmalteria|unha|nail|manicur|spa dos p[eé]s|kauu_nhas""), ""Manicure - Esmalteria"", REGEXMATCH(LOWER(A24), ""est[eé]tic|bronze|massot|terap|pilates|revitalize|dra""), ""Clínica de "&amp;"Estética"", TRUE, ""Salão de Beleza""))"),"Salão de Beleza")</f>
        <v>Salão de Beleza</v>
      </c>
    </row>
    <row r="25">
      <c r="A25" s="1" t="s">
        <v>157</v>
      </c>
      <c r="D25" s="1" t="s">
        <v>158</v>
      </c>
      <c r="E25" s="1" t="s">
        <v>159</v>
      </c>
      <c r="F25" s="1" t="s">
        <v>160</v>
      </c>
      <c r="G25" s="3" t="str">
        <f>IFERROR(__xludf.DUMMYFUNCTION("AI(""Preencha um valor adequado para esta célula com base no contexto da tabela"")"),"Presidente Dutra - MA")</f>
        <v>Presidente Dutra - MA</v>
      </c>
      <c r="H25" s="2" t="s">
        <v>161</v>
      </c>
      <c r="I25" s="3" t="str">
        <f>IFERROR(__xludf.DUMMYFUNCTION("IF(A25="""", """", IFS(REGEXMATCH(LOWER(A25), ""barbearia|barber""), ""Barbearia"", REGEXMATCH(LOWER(A25), ""sobrancelh|c[ií]lio|lash|micropigment|showbrancelhas""), ""Sobrancelhas e Cílios"", REGEXMATCH(LOWER(A25), ""maquia|make""), ""Maquiagem"", REGEXM"&amp;"ATCH(LOWER(A25), ""depil|epil""), ""Depilação"", REGEXMATCH(LOWER(A25), ""esmalteria|unha|nail|manicur|spa dos p[eé]s|kauu_nhas""), ""Manicure - Esmalteria"", REGEXMATCH(LOWER(A25), ""est[eé]tic|bronze|massot|terap|pilates|revitalize|dra""), ""Clínica de "&amp;"Estética"", TRUE, ""Salão de Beleza""))"),"Salão de Beleza")</f>
        <v>Salão de Beleza</v>
      </c>
    </row>
    <row r="26">
      <c r="A26" s="1" t="s">
        <v>162</v>
      </c>
      <c r="B26" s="1" t="s">
        <v>163</v>
      </c>
      <c r="C26" s="1" t="s">
        <v>164</v>
      </c>
      <c r="D26" s="1" t="s">
        <v>165</v>
      </c>
      <c r="E26" s="1" t="s">
        <v>166</v>
      </c>
      <c r="F26" s="1" t="s">
        <v>167</v>
      </c>
      <c r="G26" s="3" t="str">
        <f>IFERROR(__xludf.DUMMYFUNCTION("AI(""Preencha um valor adequado para esta célula com base no contexto da tabela"")"),"Presidente Dutra - MA")</f>
        <v>Presidente Dutra - MA</v>
      </c>
      <c r="H26" s="2" t="s">
        <v>168</v>
      </c>
      <c r="I26" s="3" t="str">
        <f>IFERROR(__xludf.DUMMYFUNCTION("IF(A26="""", """", IFS(REGEXMATCH(LOWER(A26), ""barbearia|barber""), ""Barbearia"", REGEXMATCH(LOWER(A26), ""sobrancelh|c[ií]lio|lash|micropigment|showbrancelhas""), ""Sobrancelhas e Cílios"", REGEXMATCH(LOWER(A26), ""maquia|make""), ""Maquiagem"", REGEXM"&amp;"ATCH(LOWER(A26), ""depil|epil""), ""Depilação"", REGEXMATCH(LOWER(A26), ""esmalteria|unha|nail|manicur|spa dos p[eé]s|kauu_nhas""), ""Manicure - Esmalteria"", REGEXMATCH(LOWER(A26), ""est[eé]tic|bronze|massot|terap|pilates|revitalize|dra""), ""Clínica de "&amp;"Estética"", TRUE, ""Salão de Beleza""))"),"Salão de Beleza")</f>
        <v>Salão de Beleza</v>
      </c>
    </row>
    <row r="27">
      <c r="A27" s="1" t="s">
        <v>169</v>
      </c>
      <c r="B27" s="1" t="s">
        <v>170</v>
      </c>
      <c r="C27" s="1" t="s">
        <v>171</v>
      </c>
      <c r="D27" s="1" t="s">
        <v>172</v>
      </c>
      <c r="E27" s="1" t="s">
        <v>173</v>
      </c>
      <c r="F27" s="1" t="s">
        <v>174</v>
      </c>
      <c r="G27" s="3" t="str">
        <f>IFERROR(__xludf.DUMMYFUNCTION("AI(""Preencha um valor adequado para esta célula com base no contexto da tabela"")"),"Presidente Dutra - MA")</f>
        <v>Presidente Dutra - MA</v>
      </c>
      <c r="H27" s="2" t="s">
        <v>175</v>
      </c>
      <c r="I27" s="3" t="str">
        <f>IFERROR(__xludf.DUMMYFUNCTION("IF(A27="""", """", IFS(REGEXMATCH(LOWER(A27), ""barbearia|barber""), ""Barbearia"", REGEXMATCH(LOWER(A27), ""sobrancelh|c[ií]lio|lash|micropigment|showbrancelhas""), ""Sobrancelhas e Cílios"", REGEXMATCH(LOWER(A27), ""maquia|make""), ""Maquiagem"", REGEXM"&amp;"ATCH(LOWER(A27), ""depil|epil""), ""Depilação"", REGEXMATCH(LOWER(A27), ""esmalteria|unha|nail|manicur|spa dos p[eé]s|kauu_nhas""), ""Manicure - Esmalteria"", REGEXMATCH(LOWER(A27), ""est[eé]tic|bronze|massot|terap|pilates|revitalize|dra""), ""Clínica de "&amp;"Estética"", TRUE, ""Salão de Beleza""))"),"Salão de Beleza")</f>
        <v>Salão de Beleza</v>
      </c>
    </row>
    <row r="28">
      <c r="A28" s="1" t="s">
        <v>176</v>
      </c>
      <c r="D28" s="1" t="s">
        <v>177</v>
      </c>
      <c r="E28" s="1" t="s">
        <v>178</v>
      </c>
      <c r="F28" s="1" t="s">
        <v>179</v>
      </c>
      <c r="G28" s="3" t="str">
        <f>IFERROR(__xludf.DUMMYFUNCTION("AI(""Preencha um valor adequado para esta célula com base no contexto da tabela"")"),"Presidente Dutra - MA")</f>
        <v>Presidente Dutra - MA</v>
      </c>
      <c r="H28" s="2" t="s">
        <v>180</v>
      </c>
      <c r="I28" s="3" t="str">
        <f>IFERROR(__xludf.DUMMYFUNCTION("IF(A28="""", """", IFS(REGEXMATCH(LOWER(A28), ""barbearia|barber""), ""Barbearia"", REGEXMATCH(LOWER(A28), ""sobrancelh|c[ií]lio|lash|micropigment|showbrancelhas""), ""Sobrancelhas e Cílios"", REGEXMATCH(LOWER(A28), ""maquia|make""), ""Maquiagem"", REGEXM"&amp;"ATCH(LOWER(A28), ""depil|epil""), ""Depilação"", REGEXMATCH(LOWER(A28), ""esmalteria|unha|nail|manicur|spa dos p[eé]s|kauu_nhas""), ""Manicure - Esmalteria"", REGEXMATCH(LOWER(A28), ""est[eé]tic|bronze|massot|terap|pilates|revitalize|dra""), ""Clínica de "&amp;"Estética"", TRUE, ""Salão de Beleza""))"),"Salão de Beleza")</f>
        <v>Salão de Beleza</v>
      </c>
    </row>
    <row r="29">
      <c r="A29" s="1" t="s">
        <v>181</v>
      </c>
      <c r="B29" s="1" t="s">
        <v>182</v>
      </c>
      <c r="C29" s="1" t="s">
        <v>183</v>
      </c>
      <c r="D29" s="1" t="s">
        <v>184</v>
      </c>
      <c r="E29" s="1" t="s">
        <v>185</v>
      </c>
      <c r="F29" s="1" t="s">
        <v>186</v>
      </c>
      <c r="G29" s="3" t="str">
        <f>IFERROR(__xludf.DUMMYFUNCTION("AI(""Preencha um valor adequado para esta célula com base no contexto da tabela"")"),"Presidente Dutra - MA")</f>
        <v>Presidente Dutra - MA</v>
      </c>
      <c r="H29" s="2" t="s">
        <v>187</v>
      </c>
      <c r="I29" s="3" t="str">
        <f>IFERROR(__xludf.DUMMYFUNCTION("IF(A29="""", """", IFS(REGEXMATCH(LOWER(A29), ""barbearia|barber""), ""Barbearia"", REGEXMATCH(LOWER(A29), ""sobrancelh|c[ií]lio|lash|micropigment|showbrancelhas""), ""Sobrancelhas e Cílios"", REGEXMATCH(LOWER(A29), ""maquia|make""), ""Maquiagem"", REGEXM"&amp;"ATCH(LOWER(A29), ""depil|epil""), ""Depilação"", REGEXMATCH(LOWER(A29), ""esmalteria|unha|nail|manicur|spa dos p[eé]s|kauu_nhas""), ""Manicure - Esmalteria"", REGEXMATCH(LOWER(A29), ""est[eé]tic|bronze|massot|terap|pilates|revitalize|dra""), ""Clínica de "&amp;"Estética"", TRUE, ""Salão de Beleza""))"),"Salão de Beleza")</f>
        <v>Salão de Beleza</v>
      </c>
    </row>
    <row r="30">
      <c r="A30" s="1" t="s">
        <v>188</v>
      </c>
      <c r="B30" s="1" t="s">
        <v>189</v>
      </c>
      <c r="C30" s="1" t="s">
        <v>190</v>
      </c>
      <c r="D30" s="1" t="s">
        <v>191</v>
      </c>
      <c r="E30" s="1" t="s">
        <v>192</v>
      </c>
      <c r="F30" s="1" t="s">
        <v>193</v>
      </c>
      <c r="G30" s="3" t="str">
        <f>IFERROR(__xludf.DUMMYFUNCTION("AI(""Preencha um valor adequado para esta célula com base no contexto da tabela"")"),"Presidente Dutra - MA")</f>
        <v>Presidente Dutra - MA</v>
      </c>
      <c r="H30" s="2" t="s">
        <v>194</v>
      </c>
      <c r="I30" s="3" t="str">
        <f>IFERROR(__xludf.DUMMYFUNCTION("IF(A30="""", """", IFS(REGEXMATCH(LOWER(A30), ""barbearia|barber""), ""Barbearia"", REGEXMATCH(LOWER(A30), ""sobrancelh|c[ií]lio|lash|micropigment|showbrancelhas""), ""Sobrancelhas e Cílios"", REGEXMATCH(LOWER(A30), ""maquia|make""), ""Maquiagem"", REGEXM"&amp;"ATCH(LOWER(A30), ""depil|epil""), ""Depilação"", REGEXMATCH(LOWER(A30), ""esmalteria|unha|nail|manicur|spa dos p[eé]s|kauu_nhas""), ""Manicure - Esmalteria"", REGEXMATCH(LOWER(A30), ""est[eé]tic|bronze|massot|terap|pilates|revitalize|dra""), ""Clínica de "&amp;"Estética"", TRUE, ""Salão de Beleza""))"),"Salão de Beleza")</f>
        <v>Salão de Beleza</v>
      </c>
    </row>
    <row r="31">
      <c r="A31" s="1" t="s">
        <v>195</v>
      </c>
      <c r="B31" s="1" t="s">
        <v>196</v>
      </c>
      <c r="C31" s="1" t="s">
        <v>197</v>
      </c>
      <c r="D31" s="1" t="s">
        <v>198</v>
      </c>
      <c r="E31" s="1" t="s">
        <v>199</v>
      </c>
      <c r="F31" s="1" t="s">
        <v>200</v>
      </c>
      <c r="G31" s="3" t="str">
        <f>IFERROR(__xludf.DUMMYFUNCTION("AI(""Preencha um valor adequado para esta célula com base no contexto da tabela"")"),"Presidente Dutra - MA")</f>
        <v>Presidente Dutra - MA</v>
      </c>
      <c r="H31" s="2" t="s">
        <v>201</v>
      </c>
      <c r="I31" s="3" t="str">
        <f>IFERROR(__xludf.DUMMYFUNCTION("IF(A31="""", """", IFS(REGEXMATCH(LOWER(A31), ""barbearia|barber""), ""Barbearia"", REGEXMATCH(LOWER(A31), ""sobrancelh|c[ií]lio|lash|micropigment|showbrancelhas""), ""Sobrancelhas e Cílios"", REGEXMATCH(LOWER(A31), ""maquia|make""), ""Maquiagem"", REGEXM"&amp;"ATCH(LOWER(A31), ""depil|epil""), ""Depilação"", REGEXMATCH(LOWER(A31), ""esmalteria|unha|nail|manicur|spa dos p[eé]s|kauu_nhas""), ""Manicure - Esmalteria"", REGEXMATCH(LOWER(A31), ""est[eé]tic|bronze|massot|terap|pilates|revitalize|dra""), ""Clínica de "&amp;"Estética"", TRUE, ""Salão de Beleza""))"),"Sobrancelhas e Cílios")</f>
        <v>Sobrancelhas e Cílios</v>
      </c>
    </row>
    <row r="32">
      <c r="A32" s="1" t="s">
        <v>202</v>
      </c>
      <c r="B32" s="1" t="s">
        <v>203</v>
      </c>
      <c r="C32" s="1" t="s">
        <v>204</v>
      </c>
      <c r="D32" s="1" t="s">
        <v>205</v>
      </c>
      <c r="E32" s="1" t="s">
        <v>206</v>
      </c>
      <c r="F32" s="1" t="s">
        <v>207</v>
      </c>
      <c r="G32" s="3" t="str">
        <f>IFERROR(__xludf.DUMMYFUNCTION("AI(""Preencha um valor adequado para esta célula com base no contexto da tabela"")"),"Presidente Dutra - MA")</f>
        <v>Presidente Dutra - MA</v>
      </c>
      <c r="H32" s="2" t="s">
        <v>208</v>
      </c>
      <c r="I32" s="3" t="str">
        <f>IFERROR(__xludf.DUMMYFUNCTION("IF(A32="""", """", IFS(REGEXMATCH(LOWER(A32), ""barbearia|barber""), ""Barbearia"", REGEXMATCH(LOWER(A32), ""sobrancelh|c[ií]lio|lash|micropigment|showbrancelhas""), ""Sobrancelhas e Cílios"", REGEXMATCH(LOWER(A32), ""maquia|make""), ""Maquiagem"", REGEXM"&amp;"ATCH(LOWER(A32), ""depil|epil""), ""Depilação"", REGEXMATCH(LOWER(A32), ""esmalteria|unha|nail|manicur|spa dos p[eé]s|kauu_nhas""), ""Manicure - Esmalteria"", REGEXMATCH(LOWER(A32), ""est[eé]tic|bronze|massot|terap|pilates|revitalize|dra""), ""Clínica de "&amp;"Estética"", TRUE, ""Salão de Beleza""))"),"Salão de Beleza")</f>
        <v>Salão de Beleza</v>
      </c>
    </row>
    <row r="33">
      <c r="A33" s="1" t="s">
        <v>209</v>
      </c>
      <c r="D33" s="1" t="s">
        <v>210</v>
      </c>
      <c r="E33" s="1" t="s">
        <v>211</v>
      </c>
      <c r="F33" s="1" t="s">
        <v>212</v>
      </c>
      <c r="G33" s="3" t="str">
        <f>IFERROR(__xludf.DUMMYFUNCTION("AI(""Preencha um valor adequado para esta célula com base no contexto da tabela"")"),"Presidente Dutra - MA")</f>
        <v>Presidente Dutra - MA</v>
      </c>
      <c r="H33" s="2" t="s">
        <v>213</v>
      </c>
      <c r="I33" s="3" t="str">
        <f>IFERROR(__xludf.DUMMYFUNCTION("IF(A33="""", """", IFS(REGEXMATCH(LOWER(A33), ""barbearia|barber""), ""Barbearia"", REGEXMATCH(LOWER(A33), ""sobrancelh|c[ií]lio|lash|micropigment|showbrancelhas""), ""Sobrancelhas e Cílios"", REGEXMATCH(LOWER(A33), ""maquia|make""), ""Maquiagem"", REGEXM"&amp;"ATCH(LOWER(A33), ""depil|epil""), ""Depilação"", REGEXMATCH(LOWER(A33), ""esmalteria|unha|nail|manicur|spa dos p[eé]s|kauu_nhas""), ""Manicure - Esmalteria"", REGEXMATCH(LOWER(A33), ""est[eé]tic|bronze|massot|terap|pilates|revitalize|dra""), ""Clínica de "&amp;"Estética"", TRUE, ""Salão de Beleza""))"),"Salão de Beleza")</f>
        <v>Salão de Beleza</v>
      </c>
    </row>
    <row r="34">
      <c r="A34" s="1" t="s">
        <v>214</v>
      </c>
      <c r="B34" s="1" t="s">
        <v>215</v>
      </c>
      <c r="C34" s="1" t="s">
        <v>216</v>
      </c>
      <c r="D34" s="1" t="s">
        <v>217</v>
      </c>
      <c r="E34" s="1" t="s">
        <v>218</v>
      </c>
      <c r="F34" s="1" t="s">
        <v>219</v>
      </c>
      <c r="G34" s="3" t="str">
        <f>IFERROR(__xludf.DUMMYFUNCTION("AI(""Preencha um valor adequado para esta célula com base no contexto da tabela"")"),"Presidente Dutra - MA")</f>
        <v>Presidente Dutra - MA</v>
      </c>
      <c r="H34" s="2" t="s">
        <v>220</v>
      </c>
      <c r="I34" s="3" t="str">
        <f>IFERROR(__xludf.DUMMYFUNCTION("IF(A34="""", """", IFS(REGEXMATCH(LOWER(A34), ""barbearia|barber""), ""Barbearia"", REGEXMATCH(LOWER(A34), ""sobrancelh|c[ií]lio|lash|micropigment|showbrancelhas""), ""Sobrancelhas e Cílios"", REGEXMATCH(LOWER(A34), ""maquia|make""), ""Maquiagem"", REGEXM"&amp;"ATCH(LOWER(A34), ""depil|epil""), ""Depilação"", REGEXMATCH(LOWER(A34), ""esmalteria|unha|nail|manicur|spa dos p[eé]s|kauu_nhas""), ""Manicure - Esmalteria"", REGEXMATCH(LOWER(A34), ""est[eé]tic|bronze|massot|terap|pilates|revitalize|dra""), ""Clínica de "&amp;"Estética"", TRUE, ""Salão de Beleza""))"),"Salão de Beleza")</f>
        <v>Salão de Beleza</v>
      </c>
    </row>
    <row r="35">
      <c r="A35" s="1" t="s">
        <v>221</v>
      </c>
      <c r="D35" s="1" t="s">
        <v>222</v>
      </c>
      <c r="E35" s="1" t="s">
        <v>223</v>
      </c>
      <c r="F35" s="1" t="s">
        <v>224</v>
      </c>
      <c r="G35" s="3" t="str">
        <f>IFERROR(__xludf.DUMMYFUNCTION("AI(""Preencha um valor adequado para esta célula com base no contexto da tabela"")"),"Presidente Dutra - MA")</f>
        <v>Presidente Dutra - MA</v>
      </c>
      <c r="H35" s="2" t="s">
        <v>225</v>
      </c>
      <c r="I35" s="3" t="str">
        <f>IFERROR(__xludf.DUMMYFUNCTION("IF(A35="""", """", IFS(REGEXMATCH(LOWER(A35), ""barbearia|barber""), ""Barbearia"", REGEXMATCH(LOWER(A35), ""sobrancelh|c[ií]lio|lash|micropigment|showbrancelhas""), ""Sobrancelhas e Cílios"", REGEXMATCH(LOWER(A35), ""maquia|make""), ""Maquiagem"", REGEXM"&amp;"ATCH(LOWER(A35), ""depil|epil""), ""Depilação"", REGEXMATCH(LOWER(A35), ""esmalteria|unha|nail|manicur|spa dos p[eé]s|kauu_nhas""), ""Manicure - Esmalteria"", REGEXMATCH(LOWER(A35), ""est[eé]tic|bronze|massot|terap|pilates|revitalize|dra""), ""Clínica de "&amp;"Estética"", TRUE, ""Salão de Beleza""))"),"Salão de Beleza")</f>
        <v>Salão de Beleza</v>
      </c>
    </row>
    <row r="36">
      <c r="A36" s="1" t="s">
        <v>226</v>
      </c>
      <c r="B36" s="1" t="s">
        <v>227</v>
      </c>
      <c r="C36" s="1" t="s">
        <v>228</v>
      </c>
      <c r="D36" s="1" t="s">
        <v>229</v>
      </c>
      <c r="E36" s="1" t="s">
        <v>230</v>
      </c>
      <c r="F36" s="1" t="s">
        <v>231</v>
      </c>
      <c r="G36" s="3" t="str">
        <f>IFERROR(__xludf.DUMMYFUNCTION("AI(""Preencha um valor adequado para esta célula com base no contexto da tabela"")"),"Presidente Dutra - MA")</f>
        <v>Presidente Dutra - MA</v>
      </c>
      <c r="H36" s="2" t="s">
        <v>232</v>
      </c>
      <c r="I36" s="3" t="str">
        <f>IFERROR(__xludf.DUMMYFUNCTION("IF(A36="""", """", IFS(REGEXMATCH(LOWER(A36), ""barbearia|barber""), ""Barbearia"", REGEXMATCH(LOWER(A36), ""sobrancelh|c[ií]lio|lash|micropigment|showbrancelhas""), ""Sobrancelhas e Cílios"", REGEXMATCH(LOWER(A36), ""maquia|make""), ""Maquiagem"", REGEXM"&amp;"ATCH(LOWER(A36), ""depil|epil""), ""Depilação"", REGEXMATCH(LOWER(A36), ""esmalteria|unha|nail|manicur|spa dos p[eé]s|kauu_nhas""), ""Manicure - Esmalteria"", REGEXMATCH(LOWER(A36), ""est[eé]tic|bronze|massot|terap|pilates|revitalize|dra""), ""Clínica de "&amp;"Estética"", TRUE, ""Salão de Beleza""))"),"Salão de Beleza")</f>
        <v>Salão de Beleza</v>
      </c>
    </row>
    <row r="37">
      <c r="A37" s="1" t="s">
        <v>233</v>
      </c>
      <c r="B37" s="1" t="s">
        <v>234</v>
      </c>
      <c r="C37" s="1" t="s">
        <v>235</v>
      </c>
      <c r="D37" s="1" t="s">
        <v>222</v>
      </c>
      <c r="E37" s="1" t="s">
        <v>236</v>
      </c>
      <c r="F37" s="1" t="s">
        <v>237</v>
      </c>
      <c r="G37" s="3" t="str">
        <f>IFERROR(__xludf.DUMMYFUNCTION("AI(""Preencha um valor adequado para esta célula com base no contexto da tabela"")"),"Presidente Dutra - MA")</f>
        <v>Presidente Dutra - MA</v>
      </c>
      <c r="H37" s="2" t="s">
        <v>238</v>
      </c>
      <c r="I37" s="3" t="str">
        <f>IFERROR(__xludf.DUMMYFUNCTION("IF(A37="""", """", IFS(REGEXMATCH(LOWER(A37), ""barbearia|barber""), ""Barbearia"", REGEXMATCH(LOWER(A37), ""sobrancelh|c[ií]lio|lash|micropigment|showbrancelhas""), ""Sobrancelhas e Cílios"", REGEXMATCH(LOWER(A37), ""maquia|make""), ""Maquiagem"", REGEXM"&amp;"ATCH(LOWER(A37), ""depil|epil""), ""Depilação"", REGEXMATCH(LOWER(A37), ""esmalteria|unha|nail|manicur|spa dos p[eé]s|kauu_nhas""), ""Manicure - Esmalteria"", REGEXMATCH(LOWER(A37), ""est[eé]tic|bronze|massot|terap|pilates|revitalize|dra""), ""Clínica de "&amp;"Estética"", TRUE, ""Salão de Beleza""))"),"Salão de Beleza")</f>
        <v>Salão de Beleza</v>
      </c>
    </row>
    <row r="38">
      <c r="A38" s="1" t="s">
        <v>239</v>
      </c>
      <c r="B38" s="1" t="s">
        <v>240</v>
      </c>
      <c r="C38" s="1" t="s">
        <v>241</v>
      </c>
      <c r="D38" s="1" t="s">
        <v>242</v>
      </c>
      <c r="E38" s="1" t="s">
        <v>243</v>
      </c>
      <c r="F38" s="1" t="s">
        <v>244</v>
      </c>
      <c r="G38" s="3" t="str">
        <f>IFERROR(__xludf.DUMMYFUNCTION("AI(""Preencha um valor adequado para esta célula com base no contexto da tabela"")"),"Presidente Dutra - MA")</f>
        <v>Presidente Dutra - MA</v>
      </c>
      <c r="H38" s="2" t="s">
        <v>245</v>
      </c>
      <c r="I38" s="3" t="str">
        <f>IFERROR(__xludf.DUMMYFUNCTION("IF(A38="""", """", IFS(REGEXMATCH(LOWER(A38), ""barbearia|barber""), ""Barbearia"", REGEXMATCH(LOWER(A38), ""sobrancelh|c[ií]lio|lash|micropigment|showbrancelhas""), ""Sobrancelhas e Cílios"", REGEXMATCH(LOWER(A38), ""maquia|make""), ""Maquiagem"", REGEXM"&amp;"ATCH(LOWER(A38), ""depil|epil""), ""Depilação"", REGEXMATCH(LOWER(A38), ""esmalteria|unha|nail|manicur|spa dos p[eé]s|kauu_nhas""), ""Manicure - Esmalteria"", REGEXMATCH(LOWER(A38), ""est[eé]tic|bronze|massot|terap|pilates|revitalize|dra""), ""Clínica de "&amp;"Estética"", TRUE, ""Salão de Beleza""))"),"Salão de Beleza")</f>
        <v>Salão de Beleza</v>
      </c>
    </row>
    <row r="39">
      <c r="A39" s="1" t="s">
        <v>246</v>
      </c>
      <c r="B39" s="1" t="s">
        <v>247</v>
      </c>
      <c r="C39" s="1" t="s">
        <v>248</v>
      </c>
      <c r="D39" s="1" t="s">
        <v>249</v>
      </c>
      <c r="E39" s="1" t="s">
        <v>250</v>
      </c>
      <c r="F39" s="1" t="s">
        <v>251</v>
      </c>
      <c r="G39" s="3" t="str">
        <f>IFERROR(__xludf.DUMMYFUNCTION("AI(""Preencha um valor adequado para esta célula com base no contexto da tabela"")"),"Presidente Dutra - MA")</f>
        <v>Presidente Dutra - MA</v>
      </c>
      <c r="H39" s="2" t="s">
        <v>252</v>
      </c>
      <c r="I39" s="3" t="str">
        <f>IFERROR(__xludf.DUMMYFUNCTION("IF(A39="""", """", IFS(REGEXMATCH(LOWER(A39), ""barbearia|barber""), ""Barbearia"", REGEXMATCH(LOWER(A39), ""sobrancelh|c[ií]lio|lash|micropigment|showbrancelhas""), ""Sobrancelhas e Cílios"", REGEXMATCH(LOWER(A39), ""maquia|make""), ""Maquiagem"", REGEXM"&amp;"ATCH(LOWER(A39), ""depil|epil""), ""Depilação"", REGEXMATCH(LOWER(A39), ""esmalteria|unha|nail|manicur|spa dos p[eé]s|kauu_nhas""), ""Manicure - Esmalteria"", REGEXMATCH(LOWER(A39), ""est[eé]tic|bronze|massot|terap|pilates|revitalize|dra""), ""Clínica de "&amp;"Estética"", TRUE, ""Salão de Beleza""))"),"Sobrancelhas e Cílios")</f>
        <v>Sobrancelhas e Cílios</v>
      </c>
    </row>
    <row r="40">
      <c r="A40" s="1" t="s">
        <v>253</v>
      </c>
      <c r="B40" s="1" t="s">
        <v>254</v>
      </c>
      <c r="C40" s="1" t="s">
        <v>255</v>
      </c>
      <c r="D40" s="1" t="s">
        <v>256</v>
      </c>
      <c r="E40" s="1" t="s">
        <v>257</v>
      </c>
      <c r="F40" s="1" t="s">
        <v>258</v>
      </c>
      <c r="G40" s="3" t="str">
        <f>IFERROR(__xludf.DUMMYFUNCTION("AI(""Preencha um valor adequado para esta célula com base no contexto da tabela"")"),"Presidente Dutra - MA")</f>
        <v>Presidente Dutra - MA</v>
      </c>
      <c r="H40" s="2" t="s">
        <v>259</v>
      </c>
      <c r="I40" s="3" t="str">
        <f>IFERROR(__xludf.DUMMYFUNCTION("IF(A40="""", """", IFS(REGEXMATCH(LOWER(A40), ""barbearia|barber""), ""Barbearia"", REGEXMATCH(LOWER(A40), ""sobrancelh|c[ií]lio|lash|micropigment|showbrancelhas""), ""Sobrancelhas e Cílios"", REGEXMATCH(LOWER(A40), ""maquia|make""), ""Maquiagem"", REGEXM"&amp;"ATCH(LOWER(A40), ""depil|epil""), ""Depilação"", REGEXMATCH(LOWER(A40), ""esmalteria|unha|nail|manicur|spa dos p[eé]s|kauu_nhas""), ""Manicure - Esmalteria"", REGEXMATCH(LOWER(A40), ""est[eé]tic|bronze|massot|terap|pilates|revitalize|dra""), ""Clínica de "&amp;"Estética"", TRUE, ""Salão de Beleza""))"),"Clínica de Estética")</f>
        <v>Clínica de Estética</v>
      </c>
    </row>
    <row r="41">
      <c r="A41" s="1" t="s">
        <v>260</v>
      </c>
      <c r="B41" s="1" t="s">
        <v>261</v>
      </c>
      <c r="C41" s="1" t="s">
        <v>262</v>
      </c>
      <c r="D41" s="1" t="s">
        <v>263</v>
      </c>
      <c r="E41" s="1" t="s">
        <v>264</v>
      </c>
      <c r="F41" s="1" t="s">
        <v>265</v>
      </c>
      <c r="G41" s="3" t="str">
        <f>IFERROR(__xludf.DUMMYFUNCTION("AI(""Preencha um valor adequado para esta célula com base no contexto da tabela"")"),"Presidente Dutra - MA")</f>
        <v>Presidente Dutra - MA</v>
      </c>
      <c r="H41" s="2" t="s">
        <v>266</v>
      </c>
      <c r="I41" s="3" t="str">
        <f>IFERROR(__xludf.DUMMYFUNCTION("IF(A41="""", """", IFS(REGEXMATCH(LOWER(A41), ""barbearia|barber""), ""Barbearia"", REGEXMATCH(LOWER(A41), ""sobrancelh|c[ií]lio|lash|micropigment|showbrancelhas""), ""Sobrancelhas e Cílios"", REGEXMATCH(LOWER(A41), ""maquia|make""), ""Maquiagem"", REGEXM"&amp;"ATCH(LOWER(A41), ""depil|epil""), ""Depilação"", REGEXMATCH(LOWER(A41), ""esmalteria|unha|nail|manicur|spa dos p[eé]s|kauu_nhas""), ""Manicure - Esmalteria"", REGEXMATCH(LOWER(A41), ""est[eé]tic|bronze|massot|terap|pilates|revitalize|dra""), ""Clínica de "&amp;"Estética"", TRUE, ""Salão de Beleza""))"),"Clínica de Estética")</f>
        <v>Clínica de Estética</v>
      </c>
    </row>
    <row r="42">
      <c r="A42" s="1" t="s">
        <v>267</v>
      </c>
      <c r="B42" s="1" t="s">
        <v>268</v>
      </c>
      <c r="C42" s="1" t="s">
        <v>269</v>
      </c>
      <c r="D42" s="1" t="s">
        <v>270</v>
      </c>
      <c r="E42" s="1" t="s">
        <v>271</v>
      </c>
      <c r="F42" s="1" t="s">
        <v>272</v>
      </c>
      <c r="G42" s="3" t="str">
        <f>IFERROR(__xludf.DUMMYFUNCTION("AI(""Preencha um valor adequado para esta célula com base no contexto da tabela"")"),"Presidente Dutra - MA")</f>
        <v>Presidente Dutra - MA</v>
      </c>
      <c r="H42" s="2" t="s">
        <v>273</v>
      </c>
      <c r="I42" s="3" t="str">
        <f>IFERROR(__xludf.DUMMYFUNCTION("IF(A42="""", """", IFS(REGEXMATCH(LOWER(A42), ""barbearia|barber""), ""Barbearia"", REGEXMATCH(LOWER(A42), ""sobrancelh|c[ií]lio|lash|micropigment|showbrancelhas""), ""Sobrancelhas e Cílios"", REGEXMATCH(LOWER(A42), ""maquia|make""), ""Maquiagem"", REGEXM"&amp;"ATCH(LOWER(A42), ""depil|epil""), ""Depilação"", REGEXMATCH(LOWER(A42), ""esmalteria|unha|nail|manicur|spa dos p[eé]s|kauu_nhas""), ""Manicure - Esmalteria"", REGEXMATCH(LOWER(A42), ""est[eé]tic|bronze|massot|terap|pilates|revitalize|dra""), ""Clínica de "&amp;"Estética"", TRUE, ""Salão de Beleza""))"),"Sobrancelhas e Cílios")</f>
        <v>Sobrancelhas e Cílios</v>
      </c>
    </row>
    <row r="43">
      <c r="A43" s="1" t="s">
        <v>274</v>
      </c>
      <c r="B43" s="1" t="s">
        <v>275</v>
      </c>
      <c r="C43" s="1" t="s">
        <v>276</v>
      </c>
      <c r="D43" s="1" t="s">
        <v>277</v>
      </c>
      <c r="E43" s="1" t="s">
        <v>278</v>
      </c>
      <c r="F43" s="1" t="s">
        <v>279</v>
      </c>
      <c r="G43" s="3" t="str">
        <f>IFERROR(__xludf.DUMMYFUNCTION("AI(""Preencha um valor adequado para esta célula com base no contexto da tabela"")"),"Presidente Dutra - MA")</f>
        <v>Presidente Dutra - MA</v>
      </c>
      <c r="H43" s="2" t="s">
        <v>280</v>
      </c>
      <c r="I43" s="3" t="str">
        <f>IFERROR(__xludf.DUMMYFUNCTION("IF(A43="""", """", IFS(REGEXMATCH(LOWER(A43), ""barbearia|barber""), ""Barbearia"", REGEXMATCH(LOWER(A43), ""sobrancelh|c[ií]lio|lash|micropigment|showbrancelhas""), ""Sobrancelhas e Cílios"", REGEXMATCH(LOWER(A43), ""maquia|make""), ""Maquiagem"", REGEXM"&amp;"ATCH(LOWER(A43), ""depil|epil""), ""Depilação"", REGEXMATCH(LOWER(A43), ""esmalteria|unha|nail|manicur|spa dos p[eé]s|kauu_nhas""), ""Manicure - Esmalteria"", REGEXMATCH(LOWER(A43), ""est[eé]tic|bronze|massot|terap|pilates|revitalize|dra""), ""Clínica de "&amp;"Estética"", TRUE, ""Salão de Beleza""))"),"Salão de Beleza")</f>
        <v>Salão de Beleza</v>
      </c>
    </row>
    <row r="44">
      <c r="A44" s="1" t="s">
        <v>281</v>
      </c>
      <c r="B44" s="1" t="s">
        <v>261</v>
      </c>
      <c r="C44" s="1" t="s">
        <v>262</v>
      </c>
      <c r="D44" s="1" t="s">
        <v>282</v>
      </c>
      <c r="E44" s="1" t="s">
        <v>283</v>
      </c>
      <c r="F44" s="1" t="s">
        <v>284</v>
      </c>
      <c r="G44" s="3" t="str">
        <f>IFERROR(__xludf.DUMMYFUNCTION("AI(""Preencha um valor adequado para esta célula com base no contexto da tabela"")"),"Presidente Dutra - MA")</f>
        <v>Presidente Dutra - MA</v>
      </c>
      <c r="H44" s="2" t="s">
        <v>285</v>
      </c>
      <c r="I44" s="3" t="str">
        <f>IFERROR(__xludf.DUMMYFUNCTION("IF(A44="""", """", IFS(REGEXMATCH(LOWER(A44), ""barbearia|barber""), ""Barbearia"", REGEXMATCH(LOWER(A44), ""sobrancelh|c[ií]lio|lash|micropigment|showbrancelhas""), ""Sobrancelhas e Cílios"", REGEXMATCH(LOWER(A44), ""maquia|make""), ""Maquiagem"", REGEXM"&amp;"ATCH(LOWER(A44), ""depil|epil""), ""Depilação"", REGEXMATCH(LOWER(A44), ""esmalteria|unha|nail|manicur|spa dos p[eé]s|kauu_nhas""), ""Manicure - Esmalteria"", REGEXMATCH(LOWER(A44), ""est[eé]tic|bronze|massot|terap|pilates|revitalize|dra""), ""Clínica de "&amp;"Estética"", TRUE, ""Salão de Beleza""))"),"Clínica de Estética")</f>
        <v>Clínica de Estética</v>
      </c>
    </row>
    <row r="45">
      <c r="A45" s="1" t="s">
        <v>286</v>
      </c>
      <c r="B45" s="1" t="s">
        <v>287</v>
      </c>
      <c r="C45" s="1" t="s">
        <v>288</v>
      </c>
      <c r="D45" s="1" t="s">
        <v>289</v>
      </c>
      <c r="E45" s="1" t="s">
        <v>290</v>
      </c>
      <c r="F45" s="1" t="s">
        <v>291</v>
      </c>
      <c r="G45" s="3" t="str">
        <f>IFERROR(__xludf.DUMMYFUNCTION("AI(""Preencha um valor adequado para esta célula com base no contexto da tabela"")"),"Presidente Dutra - MA")</f>
        <v>Presidente Dutra - MA</v>
      </c>
      <c r="H45" s="2" t="s">
        <v>292</v>
      </c>
      <c r="I45" s="3" t="str">
        <f>IFERROR(__xludf.DUMMYFUNCTION("IF(A45="""", """", IFS(REGEXMATCH(LOWER(A45), ""barbearia|barber""), ""Barbearia"", REGEXMATCH(LOWER(A45), ""sobrancelh|c[ií]lio|lash|micropigment|showbrancelhas""), ""Sobrancelhas e Cílios"", REGEXMATCH(LOWER(A45), ""maquia|make""), ""Maquiagem"", REGEXM"&amp;"ATCH(LOWER(A45), ""depil|epil""), ""Depilação"", REGEXMATCH(LOWER(A45), ""esmalteria|unha|nail|manicur|spa dos p[eé]s|kauu_nhas""), ""Manicure - Esmalteria"", REGEXMATCH(LOWER(A45), ""est[eé]tic|bronze|massot|terap|pilates|revitalize|dra""), ""Clínica de "&amp;"Estética"", TRUE, ""Salão de Beleza""))"),"Salão de Beleza")</f>
        <v>Salão de Beleza</v>
      </c>
    </row>
    <row r="46">
      <c r="A46" s="1" t="s">
        <v>293</v>
      </c>
      <c r="B46" s="1" t="s">
        <v>294</v>
      </c>
      <c r="C46" s="1" t="s">
        <v>295</v>
      </c>
      <c r="D46" s="1" t="s">
        <v>296</v>
      </c>
      <c r="E46" s="1" t="s">
        <v>297</v>
      </c>
      <c r="F46" s="1" t="s">
        <v>298</v>
      </c>
      <c r="G46" s="3" t="str">
        <f>IFERROR(__xludf.DUMMYFUNCTION("AI(""Preencha um valor adequado para esta célula com base no contexto da tabela"")"),"Presidente Dutra - MA")</f>
        <v>Presidente Dutra - MA</v>
      </c>
      <c r="H46" s="2" t="s">
        <v>299</v>
      </c>
      <c r="I46" s="3" t="str">
        <f>IFERROR(__xludf.DUMMYFUNCTION("IF(A46="""", """", IFS(REGEXMATCH(LOWER(A46), ""barbearia|barber""), ""Barbearia"", REGEXMATCH(LOWER(A46), ""sobrancelh|c[ií]lio|lash|micropigment|showbrancelhas""), ""Sobrancelhas e Cílios"", REGEXMATCH(LOWER(A46), ""maquia|make""), ""Maquiagem"", REGEXM"&amp;"ATCH(LOWER(A46), ""depil|epil""), ""Depilação"", REGEXMATCH(LOWER(A46), ""esmalteria|unha|nail|manicur|spa dos p[eé]s|kauu_nhas""), ""Manicure - Esmalteria"", REGEXMATCH(LOWER(A46), ""est[eé]tic|bronze|massot|terap|pilates|revitalize|dra""), ""Clínica de "&amp;"Estética"", TRUE, ""Salão de Beleza""))"),"Salão de Beleza")</f>
        <v>Salão de Beleza</v>
      </c>
    </row>
    <row r="47">
      <c r="A47" s="1" t="s">
        <v>300</v>
      </c>
      <c r="B47" s="1" t="s">
        <v>301</v>
      </c>
      <c r="C47" s="1" t="s">
        <v>302</v>
      </c>
      <c r="D47" s="1" t="s">
        <v>303</v>
      </c>
      <c r="E47" s="1" t="s">
        <v>304</v>
      </c>
      <c r="F47" s="1" t="s">
        <v>305</v>
      </c>
      <c r="G47" s="3" t="str">
        <f>IFERROR(__xludf.DUMMYFUNCTION("AI(""Preencha um valor adequado para esta célula com base no contexto da tabela"")"),"Presidente Dutra - MA")</f>
        <v>Presidente Dutra - MA</v>
      </c>
      <c r="H47" s="2" t="s">
        <v>306</v>
      </c>
      <c r="I47" s="3" t="str">
        <f>IFERROR(__xludf.DUMMYFUNCTION("IF(A47="""", """", IFS(REGEXMATCH(LOWER(A47), ""barbearia|barber""), ""Barbearia"", REGEXMATCH(LOWER(A47), ""sobrancelh|c[ií]lio|lash|micropigment|showbrancelhas""), ""Sobrancelhas e Cílios"", REGEXMATCH(LOWER(A47), ""maquia|make""), ""Maquiagem"", REGEXM"&amp;"ATCH(LOWER(A47), ""depil|epil""), ""Depilação"", REGEXMATCH(LOWER(A47), ""esmalteria|unha|nail|manicur|spa dos p[eé]s|kauu_nhas""), ""Manicure - Esmalteria"", REGEXMATCH(LOWER(A47), ""est[eé]tic|bronze|massot|terap|pilates|revitalize|dra""), ""Clínica de "&amp;"Estética"", TRUE, ""Salão de Beleza""))"),"Salão de Beleza")</f>
        <v>Salão de Beleza</v>
      </c>
    </row>
    <row r="48">
      <c r="A48" s="1" t="s">
        <v>307</v>
      </c>
      <c r="B48" s="1" t="s">
        <v>308</v>
      </c>
      <c r="C48" s="1" t="s">
        <v>309</v>
      </c>
      <c r="D48" s="1" t="s">
        <v>310</v>
      </c>
      <c r="E48" s="1" t="s">
        <v>311</v>
      </c>
      <c r="F48" s="1" t="s">
        <v>312</v>
      </c>
      <c r="G48" s="3" t="str">
        <f>IFERROR(__xludf.DUMMYFUNCTION("AI(""Preencha um valor adequado para esta célula com base no contexto da tabela"")"),"Presidente Dutra - MA")</f>
        <v>Presidente Dutra - MA</v>
      </c>
      <c r="H48" s="2" t="s">
        <v>313</v>
      </c>
      <c r="I48" s="3" t="str">
        <f>IFERROR(__xludf.DUMMYFUNCTION("IF(A48="""", """", IFS(REGEXMATCH(LOWER(A48), ""barbearia|barber""), ""Barbearia"", REGEXMATCH(LOWER(A48), ""sobrancelh|c[ií]lio|lash|micropigment|showbrancelhas""), ""Sobrancelhas e Cílios"", REGEXMATCH(LOWER(A48), ""maquia|make""), ""Maquiagem"", REGEXM"&amp;"ATCH(LOWER(A48), ""depil|epil""), ""Depilação"", REGEXMATCH(LOWER(A48), ""esmalteria|unha|nail|manicur|spa dos p[eé]s|kauu_nhas""), ""Manicure - Esmalteria"", REGEXMATCH(LOWER(A48), ""est[eé]tic|bronze|massot|terap|pilates|revitalize|dra""), ""Clínica de "&amp;"Estética"", TRUE, ""Salão de Beleza""))"),"Salão de Beleza")</f>
        <v>Salão de Beleza</v>
      </c>
    </row>
    <row r="49">
      <c r="A49" s="1" t="s">
        <v>314</v>
      </c>
      <c r="B49" s="1" t="s">
        <v>315</v>
      </c>
      <c r="C49" s="1" t="s">
        <v>316</v>
      </c>
      <c r="D49" s="1" t="s">
        <v>317</v>
      </c>
      <c r="E49" s="1" t="s">
        <v>318</v>
      </c>
      <c r="F49" s="1" t="s">
        <v>319</v>
      </c>
      <c r="G49" s="3" t="str">
        <f>IFERROR(__xludf.DUMMYFUNCTION("AI(""Preencha um valor adequado para esta célula com base no contexto da tabela"")"),"Presidente Dutra - MA")</f>
        <v>Presidente Dutra - MA</v>
      </c>
      <c r="H49" s="2" t="s">
        <v>320</v>
      </c>
      <c r="I49" s="3" t="str">
        <f>IFERROR(__xludf.DUMMYFUNCTION("IF(A49="""", """", IFS(REGEXMATCH(LOWER(A49), ""barbearia|barber""), ""Barbearia"", REGEXMATCH(LOWER(A49), ""sobrancelh|c[ií]lio|lash|micropigment|showbrancelhas""), ""Sobrancelhas e Cílios"", REGEXMATCH(LOWER(A49), ""maquia|make""), ""Maquiagem"", REGEXM"&amp;"ATCH(LOWER(A49), ""depil|epil""), ""Depilação"", REGEXMATCH(LOWER(A49), ""esmalteria|unha|nail|manicur|spa dos p[eé]s|kauu_nhas""), ""Manicure - Esmalteria"", REGEXMATCH(LOWER(A49), ""est[eé]tic|bronze|massot|terap|pilates|revitalize|dra""), ""Clínica de "&amp;"Estética"", TRUE, ""Salão de Beleza""))"),"Clínica de Estética")</f>
        <v>Clínica de Estética</v>
      </c>
    </row>
    <row r="50">
      <c r="A50" s="1" t="s">
        <v>321</v>
      </c>
      <c r="B50" s="1" t="s">
        <v>322</v>
      </c>
      <c r="C50" s="1" t="s">
        <v>323</v>
      </c>
      <c r="D50" s="1" t="s">
        <v>324</v>
      </c>
      <c r="E50" s="1" t="s">
        <v>325</v>
      </c>
      <c r="F50" s="1" t="s">
        <v>326</v>
      </c>
      <c r="G50" s="3" t="str">
        <f>IFERROR(__xludf.DUMMYFUNCTION("AI(""Preencha um valor adequado para esta célula com base no contexto da tabela"")"),"Presidente Dutra - MA")</f>
        <v>Presidente Dutra - MA</v>
      </c>
      <c r="H50" s="2" t="s">
        <v>327</v>
      </c>
      <c r="I50" s="3" t="str">
        <f>IFERROR(__xludf.DUMMYFUNCTION("IF(A50="""", """", IFS(REGEXMATCH(LOWER(A50), ""barbearia|barber""), ""Barbearia"", REGEXMATCH(LOWER(A50), ""sobrancelh|c[ií]lio|lash|micropigment|showbrancelhas""), ""Sobrancelhas e Cílios"", REGEXMATCH(LOWER(A50), ""maquia|make""), ""Maquiagem"", REGEXM"&amp;"ATCH(LOWER(A50), ""depil|epil""), ""Depilação"", REGEXMATCH(LOWER(A50), ""esmalteria|unha|nail|manicur|spa dos p[eé]s|kauu_nhas""), ""Manicure - Esmalteria"", REGEXMATCH(LOWER(A50), ""est[eé]tic|bronze|massot|terap|pilates|revitalize|dra""), ""Clínica de "&amp;"Estética"", TRUE, ""Salão de Beleza""))"),"Manicure - Esmalteria")</f>
        <v>Manicure - Esmalteria</v>
      </c>
    </row>
    <row r="51">
      <c r="A51" s="1" t="s">
        <v>328</v>
      </c>
      <c r="D51" s="1" t="s">
        <v>329</v>
      </c>
      <c r="E51" s="1" t="s">
        <v>330</v>
      </c>
      <c r="F51" s="1" t="s">
        <v>331</v>
      </c>
      <c r="G51" s="3" t="str">
        <f>IFERROR(__xludf.DUMMYFUNCTION("AI(""Preencha um valor adequado para esta célula com base no contexto da tabela"")"),"Presidente Dutra - MA")</f>
        <v>Presidente Dutra - MA</v>
      </c>
      <c r="H51" s="2" t="s">
        <v>332</v>
      </c>
      <c r="I51" s="3" t="str">
        <f>IFERROR(__xludf.DUMMYFUNCTION("IF(A51="""", """", IFS(REGEXMATCH(LOWER(A51), ""barbearia|barber""), ""Barbearia"", REGEXMATCH(LOWER(A51), ""sobrancelh|c[ií]lio|lash|micropigment|showbrancelhas""), ""Sobrancelhas e Cílios"", REGEXMATCH(LOWER(A51), ""maquia|make""), ""Maquiagem"", REGEXM"&amp;"ATCH(LOWER(A51), ""depil|epil""), ""Depilação"", REGEXMATCH(LOWER(A51), ""esmalteria|unha|nail|manicur|spa dos p[eé]s|kauu_nhas""), ""Manicure - Esmalteria"", REGEXMATCH(LOWER(A51), ""est[eé]tic|bronze|massot|terap|pilates|revitalize|dra""), ""Clínica de "&amp;"Estética"", TRUE, ""Salão de Beleza""))"),"Salão de Beleza")</f>
        <v>Salão de Beleza</v>
      </c>
    </row>
    <row r="52">
      <c r="A52" s="1" t="s">
        <v>333</v>
      </c>
      <c r="B52" s="1" t="s">
        <v>334</v>
      </c>
      <c r="C52" s="1" t="s">
        <v>335</v>
      </c>
      <c r="D52" s="1" t="s">
        <v>336</v>
      </c>
      <c r="E52" s="1" t="s">
        <v>337</v>
      </c>
      <c r="F52" s="1" t="s">
        <v>338</v>
      </c>
      <c r="G52" s="3" t="str">
        <f>IFERROR(__xludf.DUMMYFUNCTION("AI(""Preencha um valor adequado para esta célula com base no contexto da tabela"")"),"Presidente Dutra - MA")</f>
        <v>Presidente Dutra - MA</v>
      </c>
      <c r="H52" s="2" t="s">
        <v>339</v>
      </c>
      <c r="I52" s="3" t="str">
        <f>IFERROR(__xludf.DUMMYFUNCTION("IF(A52="""", """", IFS(REGEXMATCH(LOWER(A52), ""barbearia|barber""), ""Barbearia"", REGEXMATCH(LOWER(A52), ""sobrancelh|c[ií]lio|lash|micropigment|showbrancelhas""), ""Sobrancelhas e Cílios"", REGEXMATCH(LOWER(A52), ""maquia|make""), ""Maquiagem"", REGEXM"&amp;"ATCH(LOWER(A52), ""depil|epil""), ""Depilação"", REGEXMATCH(LOWER(A52), ""esmalteria|unha|nail|manicur|spa dos p[eé]s|kauu_nhas""), ""Manicure - Esmalteria"", REGEXMATCH(LOWER(A52), ""est[eé]tic|bronze|massot|terap|pilates|revitalize|dra""), ""Clínica de "&amp;"Estética"", TRUE, ""Salão de Beleza""))"),"Manicure - Esmalteria")</f>
        <v>Manicure - Esmalteria</v>
      </c>
    </row>
    <row r="53">
      <c r="A53" s="1" t="s">
        <v>340</v>
      </c>
      <c r="D53" s="1" t="s">
        <v>341</v>
      </c>
      <c r="E53" s="1" t="s">
        <v>342</v>
      </c>
      <c r="F53" s="1" t="s">
        <v>343</v>
      </c>
      <c r="G53" s="3" t="str">
        <f>IFERROR(__xludf.DUMMYFUNCTION("AI(""Preencha um valor adequado para esta célula com base no contexto da tabela"")"),"Presidente Dutra - MA")</f>
        <v>Presidente Dutra - MA</v>
      </c>
      <c r="H53" s="2" t="s">
        <v>344</v>
      </c>
      <c r="I53" s="3" t="str">
        <f>IFERROR(__xludf.DUMMYFUNCTION("IF(A53="""", """", IFS(REGEXMATCH(LOWER(A53), ""barbearia|barber""), ""Barbearia"", REGEXMATCH(LOWER(A53), ""sobrancelh|c[ií]lio|lash|micropigment|showbrancelhas""), ""Sobrancelhas e Cílios"", REGEXMATCH(LOWER(A53), ""maquia|make""), ""Maquiagem"", REGEXM"&amp;"ATCH(LOWER(A53), ""depil|epil""), ""Depilação"", REGEXMATCH(LOWER(A53), ""esmalteria|unha|nail|manicur|spa dos p[eé]s|kauu_nhas""), ""Manicure - Esmalteria"", REGEXMATCH(LOWER(A53), ""est[eé]tic|bronze|massot|terap|pilates|revitalize|dra""), ""Clínica de "&amp;"Estética"", TRUE, ""Salão de Beleza""))"),"Salão de Beleza")</f>
        <v>Salão de Beleza</v>
      </c>
    </row>
    <row r="54">
      <c r="A54" s="1" t="s">
        <v>345</v>
      </c>
      <c r="B54" s="1" t="s">
        <v>346</v>
      </c>
      <c r="C54" s="1" t="s">
        <v>347</v>
      </c>
      <c r="D54" s="1" t="s">
        <v>348</v>
      </c>
      <c r="E54" s="1" t="s">
        <v>349</v>
      </c>
      <c r="F54" s="1" t="s">
        <v>350</v>
      </c>
      <c r="G54" s="3" t="str">
        <f>IFERROR(__xludf.DUMMYFUNCTION("AI(""Preencha um valor adequado para esta célula com base no contexto da tabela"")"),"Presidente Dutra - MA")</f>
        <v>Presidente Dutra - MA</v>
      </c>
      <c r="H54" s="2" t="s">
        <v>351</v>
      </c>
      <c r="I54" s="3" t="str">
        <f>IFERROR(__xludf.DUMMYFUNCTION("IF(A54="""", """", IFS(REGEXMATCH(LOWER(A54), ""barbearia|barber""), ""Barbearia"", REGEXMATCH(LOWER(A54), ""sobrancelh|c[ií]lio|lash|micropigment|showbrancelhas""), ""Sobrancelhas e Cílios"", REGEXMATCH(LOWER(A54), ""maquia|make""), ""Maquiagem"", REGEXM"&amp;"ATCH(LOWER(A54), ""depil|epil""), ""Depilação"", REGEXMATCH(LOWER(A54), ""esmalteria|unha|nail|manicur|spa dos p[eé]s|kauu_nhas""), ""Manicure - Esmalteria"", REGEXMATCH(LOWER(A54), ""est[eé]tic|bronze|massot|terap|pilates|revitalize|dra""), ""Clínica de "&amp;"Estética"", TRUE, ""Salão de Beleza""))"),"Salão de Beleza")</f>
        <v>Salão de Beleza</v>
      </c>
    </row>
    <row r="55">
      <c r="A55" s="1" t="s">
        <v>352</v>
      </c>
      <c r="D55" s="1" t="s">
        <v>222</v>
      </c>
      <c r="E55" s="1" t="s">
        <v>353</v>
      </c>
      <c r="F55" s="1" t="s">
        <v>354</v>
      </c>
      <c r="G55" s="3" t="str">
        <f>IFERROR(__xludf.DUMMYFUNCTION("AI(""Preencha um valor adequado para esta célula com base no contexto da tabela"")"),"Presidente Dutra - MA")</f>
        <v>Presidente Dutra - MA</v>
      </c>
      <c r="H55" s="2" t="s">
        <v>355</v>
      </c>
      <c r="I55" s="3" t="str">
        <f>IFERROR(__xludf.DUMMYFUNCTION("IF(A55="""", """", IFS(REGEXMATCH(LOWER(A55), ""barbearia|barber""), ""Barbearia"", REGEXMATCH(LOWER(A55), ""sobrancelh|c[ií]lio|lash|micropigment|showbrancelhas""), ""Sobrancelhas e Cílios"", REGEXMATCH(LOWER(A55), ""maquia|make""), ""Maquiagem"", REGEXM"&amp;"ATCH(LOWER(A55), ""depil|epil""), ""Depilação"", REGEXMATCH(LOWER(A55), ""esmalteria|unha|nail|manicur|spa dos p[eé]s|kauu_nhas""), ""Manicure - Esmalteria"", REGEXMATCH(LOWER(A55), ""est[eé]tic|bronze|massot|terap|pilates|revitalize|dra""), ""Clínica de "&amp;"Estética"", TRUE, ""Salão de Beleza""))"),"Salão de Beleza")</f>
        <v>Salão de Beleza</v>
      </c>
    </row>
    <row r="56">
      <c r="A56" s="1" t="s">
        <v>356</v>
      </c>
      <c r="B56" s="1" t="s">
        <v>357</v>
      </c>
      <c r="C56" s="1" t="s">
        <v>358</v>
      </c>
      <c r="D56" s="1" t="s">
        <v>359</v>
      </c>
      <c r="E56" s="1" t="s">
        <v>360</v>
      </c>
      <c r="F56" s="1" t="s">
        <v>361</v>
      </c>
      <c r="G56" s="3" t="str">
        <f>IFERROR(__xludf.DUMMYFUNCTION("AI(""Preencha um valor adequado para esta célula com base no contexto da tabela"")"),"Presidente Dutra - MA")</f>
        <v>Presidente Dutra - MA</v>
      </c>
      <c r="H56" s="2" t="s">
        <v>362</v>
      </c>
      <c r="I56" s="3" t="str">
        <f>IFERROR(__xludf.DUMMYFUNCTION("IF(A56="""", """", IFS(REGEXMATCH(LOWER(A56), ""barbearia|barber""), ""Barbearia"", REGEXMATCH(LOWER(A56), ""sobrancelh|c[ií]lio|lash|micropigment|showbrancelhas""), ""Sobrancelhas e Cílios"", REGEXMATCH(LOWER(A56), ""maquia|make""), ""Maquiagem"", REGEXM"&amp;"ATCH(LOWER(A56), ""depil|epil""), ""Depilação"", REGEXMATCH(LOWER(A56), ""esmalteria|unha|nail|manicur|spa dos p[eé]s|kauu_nhas""), ""Manicure - Esmalteria"", REGEXMATCH(LOWER(A56), ""est[eé]tic|bronze|massot|terap|pilates|revitalize|dra""), ""Clínica de "&amp;"Estética"", TRUE, ""Salão de Beleza""))"),"Manicure - Esmalteria")</f>
        <v>Manicure - Esmalteria</v>
      </c>
    </row>
    <row r="57">
      <c r="A57" s="1" t="s">
        <v>363</v>
      </c>
      <c r="B57" s="1" t="s">
        <v>364</v>
      </c>
      <c r="C57" s="1" t="s">
        <v>365</v>
      </c>
      <c r="D57" s="1" t="s">
        <v>366</v>
      </c>
      <c r="E57" s="1" t="s">
        <v>367</v>
      </c>
      <c r="F57" s="1" t="s">
        <v>368</v>
      </c>
      <c r="G57" s="3" t="str">
        <f>IFERROR(__xludf.DUMMYFUNCTION("AI(""Preencha um valor adequado para esta célula com base no contexto da tabela"")"),"Presidente Dutra - MA")</f>
        <v>Presidente Dutra - MA</v>
      </c>
      <c r="H57" s="2" t="s">
        <v>369</v>
      </c>
      <c r="I57" s="3" t="str">
        <f>IFERROR(__xludf.DUMMYFUNCTION("IF(A57="""", """", IFS(REGEXMATCH(LOWER(A57), ""barbearia|barber""), ""Barbearia"", REGEXMATCH(LOWER(A57), ""sobrancelh|c[ií]lio|lash|micropigment|showbrancelhas""), ""Sobrancelhas e Cílios"", REGEXMATCH(LOWER(A57), ""maquia|make""), ""Maquiagem"", REGEXM"&amp;"ATCH(LOWER(A57), ""depil|epil""), ""Depilação"", REGEXMATCH(LOWER(A57), ""esmalteria|unha|nail|manicur|spa dos p[eé]s|kauu_nhas""), ""Manicure - Esmalteria"", REGEXMATCH(LOWER(A57), ""est[eé]tic|bronze|massot|terap|pilates|revitalize|dra""), ""Clínica de "&amp;"Estética"", TRUE, ""Salão de Beleza""))"),"Salão de Beleza")</f>
        <v>Salão de Beleza</v>
      </c>
    </row>
    <row r="58">
      <c r="A58" s="1" t="s">
        <v>370</v>
      </c>
      <c r="D58" s="1" t="s">
        <v>371</v>
      </c>
      <c r="E58" s="1" t="s">
        <v>372</v>
      </c>
      <c r="F58" s="1" t="s">
        <v>373</v>
      </c>
      <c r="G58" s="3" t="str">
        <f>IFERROR(__xludf.DUMMYFUNCTION("AI(""Preencha um valor adequado para esta célula com base no contexto da tabela"")"),"Presidente Dutra - MA")</f>
        <v>Presidente Dutra - MA</v>
      </c>
      <c r="H58" s="2" t="s">
        <v>374</v>
      </c>
      <c r="I58" s="3" t="str">
        <f>IFERROR(__xludf.DUMMYFUNCTION("IF(A58="""", """", IFS(REGEXMATCH(LOWER(A58), ""barbearia|barber""), ""Barbearia"", REGEXMATCH(LOWER(A58), ""sobrancelh|c[ií]lio|lash|micropigment|showbrancelhas""), ""Sobrancelhas e Cílios"", REGEXMATCH(LOWER(A58), ""maquia|make""), ""Maquiagem"", REGEXM"&amp;"ATCH(LOWER(A58), ""depil|epil""), ""Depilação"", REGEXMATCH(LOWER(A58), ""esmalteria|unha|nail|manicur|spa dos p[eé]s|kauu_nhas""), ""Manicure - Esmalteria"", REGEXMATCH(LOWER(A58), ""est[eé]tic|bronze|massot|terap|pilates|revitalize|dra""), ""Clínica de "&amp;"Estética"", TRUE, ""Salão de Beleza""))"),"Salão de Beleza")</f>
        <v>Salão de Beleza</v>
      </c>
    </row>
    <row r="59">
      <c r="A59" s="1" t="s">
        <v>375</v>
      </c>
      <c r="B59" s="1" t="s">
        <v>376</v>
      </c>
      <c r="C59" s="1" t="s">
        <v>377</v>
      </c>
      <c r="D59" s="1" t="s">
        <v>378</v>
      </c>
      <c r="E59" s="1" t="s">
        <v>379</v>
      </c>
      <c r="F59" s="1" t="s">
        <v>380</v>
      </c>
      <c r="G59" s="3" t="str">
        <f>IFERROR(__xludf.DUMMYFUNCTION("AI(""Preencha um valor adequado para esta célula com base no contexto da tabela"")"),"Presidente Dutra - MA")</f>
        <v>Presidente Dutra - MA</v>
      </c>
      <c r="H59" s="2" t="s">
        <v>381</v>
      </c>
      <c r="I59" s="3" t="str">
        <f>IFERROR(__xludf.DUMMYFUNCTION("IF(A59="""", """", IFS(REGEXMATCH(LOWER(A59), ""barbearia|barber""), ""Barbearia"", REGEXMATCH(LOWER(A59), ""sobrancelh|c[ií]lio|lash|micropigment|showbrancelhas""), ""Sobrancelhas e Cílios"", REGEXMATCH(LOWER(A59), ""maquia|make""), ""Maquiagem"", REGEXM"&amp;"ATCH(LOWER(A59), ""depil|epil""), ""Depilação"", REGEXMATCH(LOWER(A59), ""esmalteria|unha|nail|manicur|spa dos p[eé]s|kauu_nhas""), ""Manicure - Esmalteria"", REGEXMATCH(LOWER(A59), ""est[eé]tic|bronze|massot|terap|pilates|revitalize|dra""), ""Clínica de "&amp;"Estética"", TRUE, ""Salão de Beleza""))"),"Sobrancelhas e Cílios")</f>
        <v>Sobrancelhas e Cílios</v>
      </c>
    </row>
    <row r="60">
      <c r="A60" s="1" t="s">
        <v>382</v>
      </c>
      <c r="B60" s="1" t="s">
        <v>383</v>
      </c>
      <c r="C60" s="1" t="s">
        <v>384</v>
      </c>
      <c r="D60" s="1" t="s">
        <v>385</v>
      </c>
      <c r="E60" s="1" t="s">
        <v>386</v>
      </c>
      <c r="F60" s="1" t="s">
        <v>387</v>
      </c>
      <c r="G60" s="3" t="str">
        <f>IFERROR(__xludf.DUMMYFUNCTION("AI(""Preencha um valor adequado para esta célula com base no contexto da tabela"")"),"Presidente Dutra - MA")</f>
        <v>Presidente Dutra - MA</v>
      </c>
      <c r="H60" s="2" t="s">
        <v>388</v>
      </c>
      <c r="I60" s="3" t="str">
        <f>IFERROR(__xludf.DUMMYFUNCTION("IF(A60="""", """", IFS(REGEXMATCH(LOWER(A60), ""barbearia|barber""), ""Barbearia"", REGEXMATCH(LOWER(A60), ""sobrancelh|c[ií]lio|lash|micropigment|showbrancelhas""), ""Sobrancelhas e Cílios"", REGEXMATCH(LOWER(A60), ""maquia|make""), ""Maquiagem"", REGEXM"&amp;"ATCH(LOWER(A60), ""depil|epil""), ""Depilação"", REGEXMATCH(LOWER(A60), ""esmalteria|unha|nail|manicur|spa dos p[eé]s|kauu_nhas""), ""Manicure - Esmalteria"", REGEXMATCH(LOWER(A60), ""est[eé]tic|bronze|massot|terap|pilates|revitalize|dra""), ""Clínica de "&amp;"Estética"", TRUE, ""Salão de Beleza""))"),"Salão de Beleza")</f>
        <v>Salão de Beleza</v>
      </c>
    </row>
    <row r="61">
      <c r="A61" s="1" t="s">
        <v>389</v>
      </c>
      <c r="D61" s="1" t="s">
        <v>390</v>
      </c>
      <c r="E61" s="1" t="s">
        <v>391</v>
      </c>
      <c r="F61" s="1" t="s">
        <v>392</v>
      </c>
      <c r="G61" s="3" t="str">
        <f>IFERROR(__xludf.DUMMYFUNCTION("AI(""Preencha um valor adequado para esta célula com base no contexto da tabela"")"),"Presidente Dutra - MA")</f>
        <v>Presidente Dutra - MA</v>
      </c>
      <c r="H61" s="2" t="s">
        <v>393</v>
      </c>
      <c r="I61" s="3" t="str">
        <f>IFERROR(__xludf.DUMMYFUNCTION("IF(A61="""", """", IFS(REGEXMATCH(LOWER(A61), ""barbearia|barber""), ""Barbearia"", REGEXMATCH(LOWER(A61), ""sobrancelh|c[ií]lio|lash|micropigment|showbrancelhas""), ""Sobrancelhas e Cílios"", REGEXMATCH(LOWER(A61), ""maquia|make""), ""Maquiagem"", REGEXM"&amp;"ATCH(LOWER(A61), ""depil|epil""), ""Depilação"", REGEXMATCH(LOWER(A61), ""esmalteria|unha|nail|manicur|spa dos p[eé]s|kauu_nhas""), ""Manicure - Esmalteria"", REGEXMATCH(LOWER(A61), ""est[eé]tic|bronze|massot|terap|pilates|revitalize|dra""), ""Clínica de "&amp;"Estética"", TRUE, ""Salão de Beleza""))"),"Clínica de Estética")</f>
        <v>Clínica de Estética</v>
      </c>
    </row>
    <row r="62">
      <c r="A62" s="1" t="s">
        <v>394</v>
      </c>
      <c r="D62" s="1" t="s">
        <v>395</v>
      </c>
      <c r="E62" s="1" t="s">
        <v>396</v>
      </c>
      <c r="F62" s="1" t="s">
        <v>397</v>
      </c>
      <c r="G62" s="3" t="str">
        <f>IFERROR(__xludf.DUMMYFUNCTION("AI(""Preencha um valor adequado para esta célula com base no contexto da tabela"")"),"Presidente Dutra - MA")</f>
        <v>Presidente Dutra - MA</v>
      </c>
      <c r="H62" s="2" t="s">
        <v>398</v>
      </c>
      <c r="I62" s="3" t="str">
        <f>IFERROR(__xludf.DUMMYFUNCTION("IF(A62="""", """", IFS(REGEXMATCH(LOWER(A62), ""barbearia|barber""), ""Barbearia"", REGEXMATCH(LOWER(A62), ""sobrancelh|c[ií]lio|lash|micropigment|showbrancelhas""), ""Sobrancelhas e Cílios"", REGEXMATCH(LOWER(A62), ""maquia|make""), ""Maquiagem"", REGEXM"&amp;"ATCH(LOWER(A62), ""depil|epil""), ""Depilação"", REGEXMATCH(LOWER(A62), ""esmalteria|unha|nail|manicur|spa dos p[eé]s|kauu_nhas""), ""Manicure - Esmalteria"", REGEXMATCH(LOWER(A62), ""est[eé]tic|bronze|massot|terap|pilates|revitalize|dra""), ""Clínica de "&amp;"Estética"", TRUE, ""Salão de Beleza""))"),"Salão de Beleza")</f>
        <v>Salão de Beleza</v>
      </c>
    </row>
    <row r="63">
      <c r="A63" s="1" t="s">
        <v>399</v>
      </c>
      <c r="B63" s="1" t="s">
        <v>400</v>
      </c>
      <c r="C63" s="1" t="s">
        <v>401</v>
      </c>
      <c r="D63" s="1" t="s">
        <v>402</v>
      </c>
      <c r="E63" s="1" t="s">
        <v>403</v>
      </c>
      <c r="F63" s="1" t="s">
        <v>404</v>
      </c>
      <c r="G63" s="3" t="str">
        <f>IFERROR(__xludf.DUMMYFUNCTION("AI(""Preencha um valor adequado para esta célula com base no contexto da tabela"")"),"Presidente Dutra - MA")</f>
        <v>Presidente Dutra - MA</v>
      </c>
      <c r="H63" s="2" t="s">
        <v>405</v>
      </c>
      <c r="I63" s="3" t="str">
        <f>IFERROR(__xludf.DUMMYFUNCTION("IF(A63="""", """", IFS(REGEXMATCH(LOWER(A63), ""barbearia|barber""), ""Barbearia"", REGEXMATCH(LOWER(A63), ""sobrancelh|c[ií]lio|lash|micropigment|showbrancelhas""), ""Sobrancelhas e Cílios"", REGEXMATCH(LOWER(A63), ""maquia|make""), ""Maquiagem"", REGEXM"&amp;"ATCH(LOWER(A63), ""depil|epil""), ""Depilação"", REGEXMATCH(LOWER(A63), ""esmalteria|unha|nail|manicur|spa dos p[eé]s|kauu_nhas""), ""Manicure - Esmalteria"", REGEXMATCH(LOWER(A63), ""est[eé]tic|bronze|massot|terap|pilates|revitalize|dra""), ""Clínica de "&amp;"Estética"", TRUE, ""Salão de Beleza""))"),"Salão de Beleza")</f>
        <v>Salão de Beleza</v>
      </c>
    </row>
    <row r="64">
      <c r="A64" s="1" t="s">
        <v>406</v>
      </c>
      <c r="D64" s="1" t="s">
        <v>407</v>
      </c>
      <c r="E64" s="1" t="s">
        <v>408</v>
      </c>
      <c r="F64" s="1" t="s">
        <v>409</v>
      </c>
      <c r="G64" s="3" t="str">
        <f>IFERROR(__xludf.DUMMYFUNCTION("AI(""Preencha um valor adequado para esta célula com base no contexto da tabela"")"),"Presidente Dutra - MA")</f>
        <v>Presidente Dutra - MA</v>
      </c>
      <c r="H64" s="2" t="s">
        <v>410</v>
      </c>
      <c r="I64" s="3" t="str">
        <f>IFERROR(__xludf.DUMMYFUNCTION("IF(A64="""", """", IFS(REGEXMATCH(LOWER(A64), ""barbearia|barber""), ""Barbearia"", REGEXMATCH(LOWER(A64), ""sobrancelh|c[ií]lio|lash|micropigment|showbrancelhas""), ""Sobrancelhas e Cílios"", REGEXMATCH(LOWER(A64), ""maquia|make""), ""Maquiagem"", REGEXM"&amp;"ATCH(LOWER(A64), ""depil|epil""), ""Depilação"", REGEXMATCH(LOWER(A64), ""esmalteria|unha|nail|manicur|spa dos p[eé]s|kauu_nhas""), ""Manicure - Esmalteria"", REGEXMATCH(LOWER(A64), ""est[eé]tic|bronze|massot|terap|pilates|revitalize|dra""), ""Clínica de "&amp;"Estética"", TRUE, ""Salão de Beleza""))"),"Manicure - Esmalteria")</f>
        <v>Manicure - Esmalteria</v>
      </c>
    </row>
    <row r="65">
      <c r="A65" s="1" t="s">
        <v>411</v>
      </c>
      <c r="B65" s="1" t="s">
        <v>412</v>
      </c>
      <c r="C65" s="1" t="s">
        <v>413</v>
      </c>
      <c r="D65" s="1" t="s">
        <v>414</v>
      </c>
      <c r="E65" s="1" t="s">
        <v>415</v>
      </c>
      <c r="F65" s="1" t="s">
        <v>416</v>
      </c>
      <c r="G65" s="3" t="str">
        <f>IFERROR(__xludf.DUMMYFUNCTION("AI(""Preencha um valor adequado para esta célula com base no contexto da tabela"")"),"Presidente Dutra - MA")</f>
        <v>Presidente Dutra - MA</v>
      </c>
      <c r="H65" s="2" t="s">
        <v>417</v>
      </c>
      <c r="I65" s="3" t="str">
        <f>IFERROR(__xludf.DUMMYFUNCTION("IF(A65="""", """", IFS(REGEXMATCH(LOWER(A65), ""barbearia|barber""), ""Barbearia"", REGEXMATCH(LOWER(A65), ""sobrancelh|c[ií]lio|lash|micropigment|showbrancelhas""), ""Sobrancelhas e Cílios"", REGEXMATCH(LOWER(A65), ""maquia|make""), ""Maquiagem"", REGEXM"&amp;"ATCH(LOWER(A65), ""depil|epil""), ""Depilação"", REGEXMATCH(LOWER(A65), ""esmalteria|unha|nail|manicur|spa dos p[eé]s|kauu_nhas""), ""Manicure - Esmalteria"", REGEXMATCH(LOWER(A65), ""est[eé]tic|bronze|massot|terap|pilates|revitalize|dra""), ""Clínica de "&amp;"Estética"", TRUE, ""Salão de Beleza""))"),"Clínica de Estética")</f>
        <v>Clínica de Estética</v>
      </c>
    </row>
    <row r="66">
      <c r="A66" s="1" t="s">
        <v>418</v>
      </c>
      <c r="D66" s="1" t="s">
        <v>419</v>
      </c>
      <c r="E66" s="1" t="s">
        <v>420</v>
      </c>
      <c r="F66" s="1" t="s">
        <v>421</v>
      </c>
      <c r="G66" s="3" t="str">
        <f>IFERROR(__xludf.DUMMYFUNCTION("AI(""Preencha um valor adequado para esta célula com base no contexto da tabela"")"),"Presidente Dutra - MA")</f>
        <v>Presidente Dutra - MA</v>
      </c>
      <c r="H66" s="2" t="s">
        <v>422</v>
      </c>
      <c r="I66" s="3" t="str">
        <f>IFERROR(__xludf.DUMMYFUNCTION("IF(A66="""", """", IFS(REGEXMATCH(LOWER(A66), ""barbearia|barber""), ""Barbearia"", REGEXMATCH(LOWER(A66), ""sobrancelh|c[ií]lio|lash|micropigment|showbrancelhas""), ""Sobrancelhas e Cílios"", REGEXMATCH(LOWER(A66), ""maquia|make""), ""Maquiagem"", REGEXM"&amp;"ATCH(LOWER(A66), ""depil|epil""), ""Depilação"", REGEXMATCH(LOWER(A66), ""esmalteria|unha|nail|manicur|spa dos p[eé]s|kauu_nhas""), ""Manicure - Esmalteria"", REGEXMATCH(LOWER(A66), ""est[eé]tic|bronze|massot|terap|pilates|revitalize|dra""), ""Clínica de "&amp;"Estética"", TRUE, ""Salão de Beleza""))"),"Salão de Beleza")</f>
        <v>Salão de Beleza</v>
      </c>
    </row>
    <row r="67">
      <c r="A67" s="1" t="s">
        <v>423</v>
      </c>
      <c r="B67" s="1" t="s">
        <v>424</v>
      </c>
      <c r="C67" s="1" t="s">
        <v>425</v>
      </c>
      <c r="D67" s="1" t="s">
        <v>426</v>
      </c>
      <c r="E67" s="1" t="s">
        <v>427</v>
      </c>
      <c r="F67" s="1" t="s">
        <v>428</v>
      </c>
      <c r="G67" s="3" t="str">
        <f>IFERROR(__xludf.DUMMYFUNCTION("AI(""Preencha um valor adequado para esta célula com base no contexto da tabela"")"),"Presidente Dutra - MA")</f>
        <v>Presidente Dutra - MA</v>
      </c>
      <c r="H67" s="2" t="s">
        <v>429</v>
      </c>
      <c r="I67" s="3" t="str">
        <f>IFERROR(__xludf.DUMMYFUNCTION("IF(A67="""", """", IFS(REGEXMATCH(LOWER(A67), ""barbearia|barber""), ""Barbearia"", REGEXMATCH(LOWER(A67), ""sobrancelh|c[ií]lio|lash|micropigment|showbrancelhas""), ""Sobrancelhas e Cílios"", REGEXMATCH(LOWER(A67), ""maquia|make""), ""Maquiagem"", REGEXM"&amp;"ATCH(LOWER(A67), ""depil|epil""), ""Depilação"", REGEXMATCH(LOWER(A67), ""esmalteria|unha|nail|manicur|spa dos p[eé]s|kauu_nhas""), ""Manicure - Esmalteria"", REGEXMATCH(LOWER(A67), ""est[eé]tic|bronze|massot|terap|pilates|revitalize|dra""), ""Clínica de "&amp;"Estética"", TRUE, ""Salão de Beleza""))"),"Salão de Beleza")</f>
        <v>Salão de Beleza</v>
      </c>
    </row>
    <row r="68">
      <c r="A68" s="1" t="s">
        <v>430</v>
      </c>
      <c r="B68" s="1" t="s">
        <v>431</v>
      </c>
      <c r="C68" s="1" t="s">
        <v>432</v>
      </c>
      <c r="D68" s="1" t="s">
        <v>433</v>
      </c>
      <c r="E68" s="1" t="s">
        <v>434</v>
      </c>
      <c r="F68" s="1" t="s">
        <v>435</v>
      </c>
      <c r="G68" s="3" t="str">
        <f>IFERROR(__xludf.DUMMYFUNCTION("AI(""Preencha um valor adequado para esta célula com base no contexto da tabela"")"),"Presidente Dutra - MA")</f>
        <v>Presidente Dutra - MA</v>
      </c>
      <c r="H68" s="2" t="s">
        <v>436</v>
      </c>
      <c r="I68" s="3" t="str">
        <f>IFERROR(__xludf.DUMMYFUNCTION("IF(A68="""", """", IFS(REGEXMATCH(LOWER(A68), ""barbearia|barber""), ""Barbearia"", REGEXMATCH(LOWER(A68), ""sobrancelh|c[ií]lio|lash|micropigment|showbrancelhas""), ""Sobrancelhas e Cílios"", REGEXMATCH(LOWER(A68), ""maquia|make""), ""Maquiagem"", REGEXM"&amp;"ATCH(LOWER(A68), ""depil|epil""), ""Depilação"", REGEXMATCH(LOWER(A68), ""esmalteria|unha|nail|manicur|spa dos p[eé]s|kauu_nhas""), ""Manicure - Esmalteria"", REGEXMATCH(LOWER(A68), ""est[eé]tic|bronze|massot|terap|pilates|revitalize|dra""), ""Clínica de "&amp;"Estética"", TRUE, ""Salão de Beleza""))"),"Manicure - Esmalteria")</f>
        <v>Manicure - Esmalteria</v>
      </c>
    </row>
    <row r="69">
      <c r="A69" s="1" t="s">
        <v>437</v>
      </c>
      <c r="B69" s="1" t="s">
        <v>438</v>
      </c>
      <c r="C69" s="1" t="s">
        <v>439</v>
      </c>
      <c r="D69" s="1" t="s">
        <v>440</v>
      </c>
      <c r="E69" s="1" t="s">
        <v>441</v>
      </c>
      <c r="F69" s="1" t="s">
        <v>442</v>
      </c>
      <c r="G69" s="3" t="str">
        <f>IFERROR(__xludf.DUMMYFUNCTION("AI(""Preencha um valor adequado para esta célula com base no contexto da tabela"")"),"Presidente Dutra - MA")</f>
        <v>Presidente Dutra - MA</v>
      </c>
      <c r="H69" s="2" t="s">
        <v>443</v>
      </c>
      <c r="I69" s="3" t="str">
        <f>IFERROR(__xludf.DUMMYFUNCTION("IF(A69="""", """", IFS(REGEXMATCH(LOWER(A69), ""barbearia|barber""), ""Barbearia"", REGEXMATCH(LOWER(A69), ""sobrancelh|c[ií]lio|lash|micropigment|showbrancelhas""), ""Sobrancelhas e Cílios"", REGEXMATCH(LOWER(A69), ""maquia|make""), ""Maquiagem"", REGEXM"&amp;"ATCH(LOWER(A69), ""depil|epil""), ""Depilação"", REGEXMATCH(LOWER(A69), ""esmalteria|unha|nail|manicur|spa dos p[eé]s|kauu_nhas""), ""Manicure - Esmalteria"", REGEXMATCH(LOWER(A69), ""est[eé]tic|bronze|massot|terap|pilates|revitalize|dra""), ""Clínica de "&amp;"Estética"", TRUE, ""Salão de Beleza""))"),"Manicure - Esmalteria")</f>
        <v>Manicure - Esmalteria</v>
      </c>
    </row>
    <row r="70">
      <c r="A70" s="1" t="s">
        <v>444</v>
      </c>
      <c r="D70" s="1" t="s">
        <v>445</v>
      </c>
      <c r="E70" s="1" t="s">
        <v>446</v>
      </c>
      <c r="F70" s="1" t="s">
        <v>447</v>
      </c>
      <c r="G70" s="3" t="str">
        <f>IFERROR(__xludf.DUMMYFUNCTION("AI(""Preencha um valor adequado para esta célula com base no contexto da tabela"")"),"Presidente Dutra - MA")</f>
        <v>Presidente Dutra - MA</v>
      </c>
      <c r="H70" s="2" t="s">
        <v>448</v>
      </c>
      <c r="I70" s="3" t="str">
        <f>IFERROR(__xludf.DUMMYFUNCTION("IF(A70="""", """", IFS(REGEXMATCH(LOWER(A70), ""barbearia|barber""), ""Barbearia"", REGEXMATCH(LOWER(A70), ""sobrancelh|c[ií]lio|lash|micropigment|showbrancelhas""), ""Sobrancelhas e Cílios"", REGEXMATCH(LOWER(A70), ""maquia|make""), ""Maquiagem"", REGEXM"&amp;"ATCH(LOWER(A70), ""depil|epil""), ""Depilação"", REGEXMATCH(LOWER(A70), ""esmalteria|unha|nail|manicur|spa dos p[eé]s|kauu_nhas""), ""Manicure - Esmalteria"", REGEXMATCH(LOWER(A70), ""est[eé]tic|bronze|massot|terap|pilates|revitalize|dra""), ""Clínica de "&amp;"Estética"", TRUE, ""Salão de Beleza""))"),"Manicure - Esmalteria")</f>
        <v>Manicure - Esmalteria</v>
      </c>
    </row>
    <row r="71">
      <c r="A71" s="1" t="s">
        <v>449</v>
      </c>
      <c r="B71" s="1" t="s">
        <v>450</v>
      </c>
      <c r="C71" s="1" t="s">
        <v>451</v>
      </c>
      <c r="D71" s="1" t="s">
        <v>184</v>
      </c>
      <c r="E71" s="1" t="s">
        <v>452</v>
      </c>
      <c r="F71" s="1" t="s">
        <v>453</v>
      </c>
      <c r="G71" s="3" t="str">
        <f>IFERROR(__xludf.DUMMYFUNCTION("AI(""Preencha um valor adequado para esta célula com base no contexto da tabela"")"),"Presidente Dutra - MA")</f>
        <v>Presidente Dutra - MA</v>
      </c>
      <c r="H71" s="2" t="s">
        <v>454</v>
      </c>
      <c r="I71" s="3" t="str">
        <f>IFERROR(__xludf.DUMMYFUNCTION("IF(A71="""", """", IFS(REGEXMATCH(LOWER(A71), ""barbearia|barber""), ""Barbearia"", REGEXMATCH(LOWER(A71), ""sobrancelh|c[ií]lio|lash|micropigment|showbrancelhas""), ""Sobrancelhas e Cílios"", REGEXMATCH(LOWER(A71), ""maquia|make""), ""Maquiagem"", REGEXM"&amp;"ATCH(LOWER(A71), ""depil|epil""), ""Depilação"", REGEXMATCH(LOWER(A71), ""esmalteria|unha|nail|manicur|spa dos p[eé]s|kauu_nhas""), ""Manicure - Esmalteria"", REGEXMATCH(LOWER(A71), ""est[eé]tic|bronze|massot|terap|pilates|revitalize|dra""), ""Clínica de "&amp;"Estética"", TRUE, ""Salão de Beleza""))"),"Salão de Beleza")</f>
        <v>Salão de Beleza</v>
      </c>
    </row>
    <row r="72">
      <c r="A72" s="1" t="s">
        <v>455</v>
      </c>
      <c r="D72" s="1" t="s">
        <v>456</v>
      </c>
      <c r="E72" s="1" t="s">
        <v>457</v>
      </c>
      <c r="F72" s="1" t="s">
        <v>458</v>
      </c>
      <c r="G72" s="3" t="str">
        <f>IFERROR(__xludf.DUMMYFUNCTION("AI(""Preencha um valor adequado para esta célula com base no contexto da tabela"")"),"Presidente Dutra - MA")</f>
        <v>Presidente Dutra - MA</v>
      </c>
      <c r="H72" s="2" t="s">
        <v>459</v>
      </c>
      <c r="I72" s="3" t="str">
        <f>IFERROR(__xludf.DUMMYFUNCTION("IF(A72="""", """", IFS(REGEXMATCH(LOWER(A72), ""barbearia|barber""), ""Barbearia"", REGEXMATCH(LOWER(A72), ""sobrancelh|c[ií]lio|lash|micropigment|showbrancelhas""), ""Sobrancelhas e Cílios"", REGEXMATCH(LOWER(A72), ""maquia|make""), ""Maquiagem"", REGEXM"&amp;"ATCH(LOWER(A72), ""depil|epil""), ""Depilação"", REGEXMATCH(LOWER(A72), ""esmalteria|unha|nail|manicur|spa dos p[eé]s|kauu_nhas""), ""Manicure - Esmalteria"", REGEXMATCH(LOWER(A72), ""est[eé]tic|bronze|massot|terap|pilates|revitalize|dra""), ""Clínica de "&amp;"Estética"", TRUE, ""Salão de Beleza""))"),"Salão de Beleza")</f>
        <v>Salão de Beleza</v>
      </c>
    </row>
    <row r="73">
      <c r="A73" s="1" t="s">
        <v>460</v>
      </c>
      <c r="B73" s="1" t="s">
        <v>461</v>
      </c>
      <c r="C73" s="1" t="s">
        <v>462</v>
      </c>
      <c r="D73" s="1" t="s">
        <v>463</v>
      </c>
      <c r="E73" s="1" t="s">
        <v>464</v>
      </c>
      <c r="F73" s="1" t="s">
        <v>465</v>
      </c>
      <c r="G73" s="3" t="str">
        <f>IFERROR(__xludf.DUMMYFUNCTION("AI(""Preencha um valor adequado para esta célula com base no contexto da tabela"")"),"Presidente Dutra - MA")</f>
        <v>Presidente Dutra - MA</v>
      </c>
      <c r="H73" s="2" t="s">
        <v>466</v>
      </c>
      <c r="I73" s="3" t="str">
        <f>IFERROR(__xludf.DUMMYFUNCTION("IF(A73="""", """", IFS(REGEXMATCH(LOWER(A73), ""barbearia|barber""), ""Barbearia"", REGEXMATCH(LOWER(A73), ""sobrancelh|c[ií]lio|lash|micropigment|showbrancelhas""), ""Sobrancelhas e Cílios"", REGEXMATCH(LOWER(A73), ""maquia|make""), ""Maquiagem"", REGEXM"&amp;"ATCH(LOWER(A73), ""depil|epil""), ""Depilação"", REGEXMATCH(LOWER(A73), ""esmalteria|unha|nail|manicur|spa dos p[eé]s|kauu_nhas""), ""Manicure - Esmalteria"", REGEXMATCH(LOWER(A73), ""est[eé]tic|bronze|massot|terap|pilates|revitalize|dra""), ""Clínica de "&amp;"Estética"", TRUE, ""Salão de Beleza""))"),"Barbearia")</f>
        <v>Barbearia</v>
      </c>
    </row>
    <row r="74">
      <c r="A74" s="1" t="s">
        <v>467</v>
      </c>
      <c r="B74" s="1" t="s">
        <v>468</v>
      </c>
      <c r="C74" s="1" t="s">
        <v>469</v>
      </c>
      <c r="D74" s="1" t="s">
        <v>470</v>
      </c>
      <c r="E74" s="1" t="s">
        <v>471</v>
      </c>
      <c r="F74" s="1" t="s">
        <v>472</v>
      </c>
      <c r="G74" s="3" t="str">
        <f>IFERROR(__xludf.DUMMYFUNCTION("AI(""Preencha um valor adequado para esta célula com base no contexto da tabela"")"),"Presidente Dutra - MA")</f>
        <v>Presidente Dutra - MA</v>
      </c>
      <c r="H74" s="2" t="s">
        <v>473</v>
      </c>
      <c r="I74" s="3" t="str">
        <f>IFERROR(__xludf.DUMMYFUNCTION("IF(A74="""", """", IFS(REGEXMATCH(LOWER(A74), ""barbearia|barber""), ""Barbearia"", REGEXMATCH(LOWER(A74), ""sobrancelh|c[ií]lio|lash|micropigment|showbrancelhas""), ""Sobrancelhas e Cílios"", REGEXMATCH(LOWER(A74), ""maquia|make""), ""Maquiagem"", REGEXM"&amp;"ATCH(LOWER(A74), ""depil|epil""), ""Depilação"", REGEXMATCH(LOWER(A74), ""esmalteria|unha|nail|manicur|spa dos p[eé]s|kauu_nhas""), ""Manicure - Esmalteria"", REGEXMATCH(LOWER(A74), ""est[eé]tic|bronze|massot|terap|pilates|revitalize|dra""), ""Clínica de "&amp;"Estética"", TRUE, ""Salão de Beleza""))"),"Manicure - Esmalteria")</f>
        <v>Manicure - Esmalteria</v>
      </c>
    </row>
    <row r="75">
      <c r="A75" s="1" t="s">
        <v>474</v>
      </c>
      <c r="D75" s="1" t="s">
        <v>475</v>
      </c>
      <c r="E75" s="1" t="s">
        <v>476</v>
      </c>
      <c r="F75" s="1" t="s">
        <v>477</v>
      </c>
      <c r="G75" s="3" t="str">
        <f>IFERROR(__xludf.DUMMYFUNCTION("AI(""Preencha um valor adequado para esta célula com base no contexto da tabela"")"),"Presidente Dutra - MA")</f>
        <v>Presidente Dutra - MA</v>
      </c>
      <c r="H75" s="2" t="s">
        <v>478</v>
      </c>
      <c r="I75" s="3" t="str">
        <f>IFERROR(__xludf.DUMMYFUNCTION("IF(A75="""", """", IFS(REGEXMATCH(LOWER(A75), ""barbearia|barber""), ""Barbearia"", REGEXMATCH(LOWER(A75), ""sobrancelh|c[ií]lio|lash|micropigment|showbrancelhas""), ""Sobrancelhas e Cílios"", REGEXMATCH(LOWER(A75), ""maquia|make""), ""Maquiagem"", REGEXM"&amp;"ATCH(LOWER(A75), ""depil|epil""), ""Depilação"", REGEXMATCH(LOWER(A75), ""esmalteria|unha|nail|manicur|spa dos p[eé]s|kauu_nhas""), ""Manicure - Esmalteria"", REGEXMATCH(LOWER(A75), ""est[eé]tic|bronze|massot|terap|pilates|revitalize|dra""), ""Clínica de "&amp;"Estética"", TRUE, ""Salão de Beleza""))"),"Salão de Beleza")</f>
        <v>Salão de Beleza</v>
      </c>
    </row>
    <row r="76">
      <c r="A76" s="1" t="s">
        <v>479</v>
      </c>
      <c r="D76" s="1" t="s">
        <v>480</v>
      </c>
      <c r="E76" s="1" t="s">
        <v>481</v>
      </c>
      <c r="F76" s="1" t="s">
        <v>482</v>
      </c>
      <c r="G76" s="3" t="str">
        <f>IFERROR(__xludf.DUMMYFUNCTION("AI(""Preencha um valor adequado para esta célula com base no contexto da tabela"")"),"Presidente Dutra - MA")</f>
        <v>Presidente Dutra - MA</v>
      </c>
      <c r="H76" s="2" t="s">
        <v>483</v>
      </c>
      <c r="I76" s="3" t="str">
        <f>IFERROR(__xludf.DUMMYFUNCTION("IF(A76="""", """", IFS(REGEXMATCH(LOWER(A76), ""barbearia|barber""), ""Barbearia"", REGEXMATCH(LOWER(A76), ""sobrancelh|c[ií]lio|lash|micropigment|showbrancelhas""), ""Sobrancelhas e Cílios"", REGEXMATCH(LOWER(A76), ""maquia|make""), ""Maquiagem"", REGEXM"&amp;"ATCH(LOWER(A76), ""depil|epil""), ""Depilação"", REGEXMATCH(LOWER(A76), ""esmalteria|unha|nail|manicur|spa dos p[eé]s|kauu_nhas""), ""Manicure - Esmalteria"", REGEXMATCH(LOWER(A76), ""est[eé]tic|bronze|massot|terap|pilates|revitalize|dra""), ""Clínica de "&amp;"Estética"", TRUE, ""Salão de Beleza""))"),"Salão de Beleza")</f>
        <v>Salão de Beleza</v>
      </c>
    </row>
    <row r="77">
      <c r="A77" s="1" t="s">
        <v>484</v>
      </c>
      <c r="B77" s="1" t="s">
        <v>485</v>
      </c>
      <c r="C77" s="1" t="s">
        <v>486</v>
      </c>
      <c r="D77" s="1" t="s">
        <v>487</v>
      </c>
      <c r="E77" s="1" t="s">
        <v>488</v>
      </c>
      <c r="F77" s="1" t="s">
        <v>489</v>
      </c>
      <c r="G77" s="3" t="str">
        <f>IFERROR(__xludf.DUMMYFUNCTION("AI(""Preencha um valor adequado para esta célula com base no contexto da tabela"")"),"Presidente Dutra - MA")</f>
        <v>Presidente Dutra - MA</v>
      </c>
      <c r="H77" s="2" t="s">
        <v>490</v>
      </c>
      <c r="I77" s="3" t="str">
        <f>IFERROR(__xludf.DUMMYFUNCTION("IF(A77="""", """", IFS(REGEXMATCH(LOWER(A77), ""barbearia|barber""), ""Barbearia"", REGEXMATCH(LOWER(A77), ""sobrancelh|c[ií]lio|lash|micropigment|showbrancelhas""), ""Sobrancelhas e Cílios"", REGEXMATCH(LOWER(A77), ""maquia|make""), ""Maquiagem"", REGEXM"&amp;"ATCH(LOWER(A77), ""depil|epil""), ""Depilação"", REGEXMATCH(LOWER(A77), ""esmalteria|unha|nail|manicur|spa dos p[eé]s|kauu_nhas""), ""Manicure - Esmalteria"", REGEXMATCH(LOWER(A77), ""est[eé]tic|bronze|massot|terap|pilates|revitalize|dra""), ""Clínica de "&amp;"Estética"", TRUE, ""Salão de Beleza""))"),"Clínica de Estética")</f>
        <v>Clínica de Estética</v>
      </c>
    </row>
    <row r="78">
      <c r="A78" s="1" t="s">
        <v>491</v>
      </c>
      <c r="B78" s="1" t="s">
        <v>492</v>
      </c>
      <c r="C78" s="1" t="s">
        <v>493</v>
      </c>
      <c r="D78" s="1" t="s">
        <v>494</v>
      </c>
      <c r="E78" s="1" t="s">
        <v>495</v>
      </c>
      <c r="F78" s="1" t="s">
        <v>496</v>
      </c>
      <c r="G78" s="3" t="str">
        <f>IFERROR(__xludf.DUMMYFUNCTION("AI(""Preencha um valor adequado para esta célula com base no contexto da tabela"")"),"Presidente Dutra - MA")</f>
        <v>Presidente Dutra - MA</v>
      </c>
      <c r="H78" s="2" t="s">
        <v>497</v>
      </c>
      <c r="I78" s="3" t="str">
        <f>IFERROR(__xludf.DUMMYFUNCTION("IF(A78="""", """", IFS(REGEXMATCH(LOWER(A78), ""barbearia|barber""), ""Barbearia"", REGEXMATCH(LOWER(A78), ""sobrancelh|c[ií]lio|lash|micropigment|showbrancelhas""), ""Sobrancelhas e Cílios"", REGEXMATCH(LOWER(A78), ""maquia|make""), ""Maquiagem"", REGEXM"&amp;"ATCH(LOWER(A78), ""depil|epil""), ""Depilação"", REGEXMATCH(LOWER(A78), ""esmalteria|unha|nail|manicur|spa dos p[eé]s|kauu_nhas""), ""Manicure - Esmalteria"", REGEXMATCH(LOWER(A78), ""est[eé]tic|bronze|massot|terap|pilates|revitalize|dra""), ""Clínica de "&amp;"Estética"", TRUE, ""Salão de Beleza""))"),"Depilação")</f>
        <v>Depilação</v>
      </c>
    </row>
    <row r="79">
      <c r="A79" s="1" t="s">
        <v>498</v>
      </c>
      <c r="B79" s="1" t="s">
        <v>499</v>
      </c>
      <c r="C79" s="1" t="s">
        <v>500</v>
      </c>
      <c r="D79" s="1" t="s">
        <v>501</v>
      </c>
      <c r="E79" s="1" t="s">
        <v>502</v>
      </c>
      <c r="F79" s="1" t="s">
        <v>503</v>
      </c>
      <c r="G79" s="3" t="str">
        <f>IFERROR(__xludf.DUMMYFUNCTION("AI(""Preencha um valor adequado para esta célula com base no contexto da tabela"")"),"Presidente Dutra - MA")</f>
        <v>Presidente Dutra - MA</v>
      </c>
      <c r="H79" s="2" t="s">
        <v>504</v>
      </c>
      <c r="I79" s="3" t="str">
        <f>IFERROR(__xludf.DUMMYFUNCTION("IF(A79="""", """", IFS(REGEXMATCH(LOWER(A79), ""barbearia|barber""), ""Barbearia"", REGEXMATCH(LOWER(A79), ""sobrancelh|c[ií]lio|lash|micropigment|showbrancelhas""), ""Sobrancelhas e Cílios"", REGEXMATCH(LOWER(A79), ""maquia|make""), ""Maquiagem"", REGEXM"&amp;"ATCH(LOWER(A79), ""depil|epil""), ""Depilação"", REGEXMATCH(LOWER(A79), ""esmalteria|unha|nail|manicur|spa dos p[eé]s|kauu_nhas""), ""Manicure - Esmalteria"", REGEXMATCH(LOWER(A79), ""est[eé]tic|bronze|massot|terap|pilates|revitalize|dra""), ""Clínica de "&amp;"Estética"", TRUE, ""Salão de Beleza""))"),"Clínica de Estética")</f>
        <v>Clínica de Estética</v>
      </c>
    </row>
    <row r="80">
      <c r="A80" s="1" t="s">
        <v>505</v>
      </c>
      <c r="B80" s="1" t="s">
        <v>506</v>
      </c>
      <c r="C80" s="1" t="s">
        <v>507</v>
      </c>
      <c r="D80" s="1" t="s">
        <v>508</v>
      </c>
      <c r="E80" s="1" t="s">
        <v>509</v>
      </c>
      <c r="F80" s="1" t="s">
        <v>510</v>
      </c>
      <c r="G80" s="3" t="str">
        <f>IFERROR(__xludf.DUMMYFUNCTION("AI(""Preencha um valor adequado para esta célula com base no contexto da tabela"")"),"Presidente Dutra - MA")</f>
        <v>Presidente Dutra - MA</v>
      </c>
      <c r="H80" s="2" t="s">
        <v>511</v>
      </c>
      <c r="I80" s="3" t="str">
        <f>IFERROR(__xludf.DUMMYFUNCTION("IF(A80="""", """", IFS(REGEXMATCH(LOWER(A80), ""barbearia|barber""), ""Barbearia"", REGEXMATCH(LOWER(A80), ""sobrancelh|c[ií]lio|lash|micropigment|showbrancelhas""), ""Sobrancelhas e Cílios"", REGEXMATCH(LOWER(A80), ""maquia|make""), ""Maquiagem"", REGEXM"&amp;"ATCH(LOWER(A80), ""depil|epil""), ""Depilação"", REGEXMATCH(LOWER(A80), ""esmalteria|unha|nail|manicur|spa dos p[eé]s|kauu_nhas""), ""Manicure - Esmalteria"", REGEXMATCH(LOWER(A80), ""est[eé]tic|bronze|massot|terap|pilates|revitalize|dra""), ""Clínica de "&amp;"Estética"", TRUE, ""Salão de Beleza""))"),"Clínica de Estética")</f>
        <v>Clínica de Estética</v>
      </c>
    </row>
    <row r="81">
      <c r="A81" s="1" t="s">
        <v>512</v>
      </c>
      <c r="B81" s="1" t="s">
        <v>513</v>
      </c>
      <c r="C81" s="1" t="s">
        <v>514</v>
      </c>
      <c r="D81" s="1" t="s">
        <v>515</v>
      </c>
      <c r="E81" s="1" t="s">
        <v>516</v>
      </c>
      <c r="F81" s="1" t="s">
        <v>517</v>
      </c>
      <c r="G81" s="3" t="str">
        <f>IFERROR(__xludf.DUMMYFUNCTION("AI(""Preencha um valor adequado para esta célula com base no contexto da tabela"")"),"Presidente Dutra - MA")</f>
        <v>Presidente Dutra - MA</v>
      </c>
      <c r="H81" s="2" t="s">
        <v>518</v>
      </c>
      <c r="I81" s="3" t="str">
        <f>IFERROR(__xludf.DUMMYFUNCTION("IF(A81="""", """", IFS(REGEXMATCH(LOWER(A81), ""barbearia|barber""), ""Barbearia"", REGEXMATCH(LOWER(A81), ""sobrancelh|c[ií]lio|lash|micropigment|showbrancelhas""), ""Sobrancelhas e Cílios"", REGEXMATCH(LOWER(A81), ""maquia|make""), ""Maquiagem"", REGEXM"&amp;"ATCH(LOWER(A81), ""depil|epil""), ""Depilação"", REGEXMATCH(LOWER(A81), ""esmalteria|unha|nail|manicur|spa dos p[eé]s|kauu_nhas""), ""Manicure - Esmalteria"", REGEXMATCH(LOWER(A81), ""est[eé]tic|bronze|massot|terap|pilates|revitalize|dra""), ""Clínica de "&amp;"Estética"", TRUE, ""Salão de Beleza""))"),"Clínica de Estética")</f>
        <v>Clínica de Estética</v>
      </c>
    </row>
    <row r="82">
      <c r="A82" s="1" t="s">
        <v>519</v>
      </c>
      <c r="B82" s="1" t="s">
        <v>520</v>
      </c>
      <c r="C82" s="1" t="s">
        <v>521</v>
      </c>
      <c r="D82" s="1" t="s">
        <v>522</v>
      </c>
      <c r="E82" s="1" t="s">
        <v>523</v>
      </c>
      <c r="F82" s="1" t="s">
        <v>524</v>
      </c>
      <c r="G82" s="3" t="str">
        <f>IFERROR(__xludf.DUMMYFUNCTION("AI(""Preencha um valor adequado para esta célula com base no contexto da tabela"")"),"Presidente Dutra - MA")</f>
        <v>Presidente Dutra - MA</v>
      </c>
      <c r="H82" s="2" t="s">
        <v>525</v>
      </c>
      <c r="I82" s="3" t="str">
        <f>IFERROR(__xludf.DUMMYFUNCTION("IF(A82="""", """", IFS(REGEXMATCH(LOWER(A82), ""barbearia|barber""), ""Barbearia"", REGEXMATCH(LOWER(A82), ""sobrancelh|c[ií]lio|lash|micropigment|showbrancelhas""), ""Sobrancelhas e Cílios"", REGEXMATCH(LOWER(A82), ""maquia|make""), ""Maquiagem"", REGEXM"&amp;"ATCH(LOWER(A82), ""depil|epil""), ""Depilação"", REGEXMATCH(LOWER(A82), ""esmalteria|unha|nail|manicur|spa dos p[eé]s|kauu_nhas""), ""Manicure - Esmalteria"", REGEXMATCH(LOWER(A82), ""est[eé]tic|bronze|massot|terap|pilates|revitalize|dra""), ""Clínica de "&amp;"Estética"", TRUE, ""Salão de Beleza""))"),"Manicure - Esmalteria")</f>
        <v>Manicure - Esmalteria</v>
      </c>
    </row>
    <row r="83">
      <c r="A83" s="1" t="s">
        <v>526</v>
      </c>
      <c r="B83" s="1" t="s">
        <v>527</v>
      </c>
      <c r="C83" s="1" t="s">
        <v>528</v>
      </c>
      <c r="D83" s="1" t="s">
        <v>529</v>
      </c>
      <c r="E83" s="1" t="s">
        <v>530</v>
      </c>
      <c r="F83" s="1" t="s">
        <v>531</v>
      </c>
      <c r="G83" s="3" t="str">
        <f>IFERROR(__xludf.DUMMYFUNCTION("AI(""Preencha um valor adequado para esta célula com base no contexto da tabela"")"),"Presidente Dutra - MA")</f>
        <v>Presidente Dutra - MA</v>
      </c>
      <c r="H83" s="2" t="s">
        <v>532</v>
      </c>
      <c r="I83" s="3" t="str">
        <f>IFERROR(__xludf.DUMMYFUNCTION("IF(A83="""", """", IFS(REGEXMATCH(LOWER(A83), ""barbearia|barber""), ""Barbearia"", REGEXMATCH(LOWER(A83), ""sobrancelh|c[ií]lio|lash|micropigment|showbrancelhas""), ""Sobrancelhas e Cílios"", REGEXMATCH(LOWER(A83), ""maquia|make""), ""Maquiagem"", REGEXM"&amp;"ATCH(LOWER(A83), ""depil|epil""), ""Depilação"", REGEXMATCH(LOWER(A83), ""esmalteria|unha|nail|manicur|spa dos p[eé]s|kauu_nhas""), ""Manicure - Esmalteria"", REGEXMATCH(LOWER(A83), ""est[eé]tic|bronze|massot|terap|pilates|revitalize|dra""), ""Clínica de "&amp;"Estética"", TRUE, ""Salão de Beleza""))"),"Salão de Beleza")</f>
        <v>Salão de Beleza</v>
      </c>
    </row>
    <row r="84">
      <c r="A84" s="1" t="s">
        <v>533</v>
      </c>
      <c r="B84" s="1" t="s">
        <v>534</v>
      </c>
      <c r="C84" s="1" t="s">
        <v>535</v>
      </c>
      <c r="D84" s="1" t="s">
        <v>536</v>
      </c>
      <c r="E84" s="1" t="s">
        <v>537</v>
      </c>
      <c r="F84" s="1" t="s">
        <v>538</v>
      </c>
      <c r="G84" s="3" t="str">
        <f>IFERROR(__xludf.DUMMYFUNCTION("AI(""Preencha um valor adequado para esta célula com base no contexto da tabela"")"),"Presidente Dutra - MA")</f>
        <v>Presidente Dutra - MA</v>
      </c>
      <c r="H84" s="2" t="s">
        <v>539</v>
      </c>
      <c r="I84" s="3" t="str">
        <f>IFERROR(__xludf.DUMMYFUNCTION("IF(A84="""", """", IFS(REGEXMATCH(LOWER(A84), ""barbearia|barber""), ""Barbearia"", REGEXMATCH(LOWER(A84), ""sobrancelh|c[ií]lio|lash|micropigment|showbrancelhas""), ""Sobrancelhas e Cílios"", REGEXMATCH(LOWER(A84), ""maquia|make""), ""Maquiagem"", REGEXM"&amp;"ATCH(LOWER(A84), ""depil|epil""), ""Depilação"", REGEXMATCH(LOWER(A84), ""esmalteria|unha|nail|manicur|spa dos p[eé]s|kauu_nhas""), ""Manicure - Esmalteria"", REGEXMATCH(LOWER(A84), ""est[eé]tic|bronze|massot|terap|pilates|revitalize|dra""), ""Clínica de "&amp;"Estética"", TRUE, ""Salão de Beleza""))"),"Salão de Beleza")</f>
        <v>Salão de Beleza</v>
      </c>
    </row>
    <row r="85">
      <c r="A85" s="1" t="s">
        <v>540</v>
      </c>
      <c r="B85" s="1" t="s">
        <v>541</v>
      </c>
      <c r="C85" s="1" t="s">
        <v>542</v>
      </c>
      <c r="D85" s="1" t="s">
        <v>158</v>
      </c>
      <c r="E85" s="1" t="s">
        <v>543</v>
      </c>
      <c r="F85" s="1" t="s">
        <v>544</v>
      </c>
      <c r="G85" s="3" t="str">
        <f>IFERROR(__xludf.DUMMYFUNCTION("AI(""Preencha um valor adequado para esta célula com base no contexto da tabela"")"),"Presidente Dutra - MA")</f>
        <v>Presidente Dutra - MA</v>
      </c>
      <c r="H85" s="2" t="s">
        <v>545</v>
      </c>
      <c r="I85" s="3" t="str">
        <f>IFERROR(__xludf.DUMMYFUNCTION("IF(A85="""", """", IFS(REGEXMATCH(LOWER(A85), ""barbearia|barber""), ""Barbearia"", REGEXMATCH(LOWER(A85), ""sobrancelh|c[ií]lio|lash|micropigment|showbrancelhas""), ""Sobrancelhas e Cílios"", REGEXMATCH(LOWER(A85), ""maquia|make""), ""Maquiagem"", REGEXM"&amp;"ATCH(LOWER(A85), ""depil|epil""), ""Depilação"", REGEXMATCH(LOWER(A85), ""esmalteria|unha|nail|manicur|spa dos p[eé]s|kauu_nhas""), ""Manicure - Esmalteria"", REGEXMATCH(LOWER(A85), ""est[eé]tic|bronze|massot|terap|pilates|revitalize|dra""), ""Clínica de "&amp;"Estética"", TRUE, ""Salão de Beleza""))"),"Salão de Beleza")</f>
        <v>Salão de Beleza</v>
      </c>
    </row>
    <row r="86">
      <c r="A86" s="1" t="s">
        <v>546</v>
      </c>
      <c r="D86" s="1" t="s">
        <v>547</v>
      </c>
      <c r="E86" s="1" t="s">
        <v>548</v>
      </c>
      <c r="F86" s="1" t="s">
        <v>549</v>
      </c>
      <c r="G86" s="3" t="str">
        <f>IFERROR(__xludf.DUMMYFUNCTION("AI(""Preencha um valor adequado para esta célula com base no contexto da tabela"")"),"Presidente Dutra - MA")</f>
        <v>Presidente Dutra - MA</v>
      </c>
      <c r="H86" s="2" t="s">
        <v>550</v>
      </c>
      <c r="I86" s="3" t="str">
        <f>IFERROR(__xludf.DUMMYFUNCTION("IF(A86="""", """", IFS(REGEXMATCH(LOWER(A86), ""barbearia|barber""), ""Barbearia"", REGEXMATCH(LOWER(A86), ""sobrancelh|c[ií]lio|lash|micropigment|showbrancelhas""), ""Sobrancelhas e Cílios"", REGEXMATCH(LOWER(A86), ""maquia|make""), ""Maquiagem"", REGEXM"&amp;"ATCH(LOWER(A86), ""depil|epil""), ""Depilação"", REGEXMATCH(LOWER(A86), ""esmalteria|unha|nail|manicur|spa dos p[eé]s|kauu_nhas""), ""Manicure - Esmalteria"", REGEXMATCH(LOWER(A86), ""est[eé]tic|bronze|massot|terap|pilates|revitalize|dra""), ""Clínica de "&amp;"Estética"", TRUE, ""Salão de Beleza""))"),"Maquiagem")</f>
        <v>Maquiagem</v>
      </c>
    </row>
    <row r="87">
      <c r="A87" s="1" t="s">
        <v>551</v>
      </c>
      <c r="B87" s="1" t="s">
        <v>552</v>
      </c>
      <c r="C87" s="1" t="s">
        <v>553</v>
      </c>
      <c r="D87" s="1" t="s">
        <v>554</v>
      </c>
      <c r="E87" s="1" t="s">
        <v>555</v>
      </c>
      <c r="F87" s="1" t="s">
        <v>556</v>
      </c>
      <c r="G87" s="3" t="str">
        <f>IFERROR(__xludf.DUMMYFUNCTION("AI(""Preencha um valor adequado para esta célula com base no contexto da tabela"")"),"Presidente Dutra - MA")</f>
        <v>Presidente Dutra - MA</v>
      </c>
      <c r="H87" s="2" t="s">
        <v>557</v>
      </c>
      <c r="I87" s="3" t="str">
        <f>IFERROR(__xludf.DUMMYFUNCTION("IF(A87="""", """", IFS(REGEXMATCH(LOWER(A87), ""barbearia|barber""), ""Barbearia"", REGEXMATCH(LOWER(A87), ""sobrancelh|c[ií]lio|lash|micropigment|showbrancelhas""), ""Sobrancelhas e Cílios"", REGEXMATCH(LOWER(A87), ""maquia|make""), ""Maquiagem"", REGEXM"&amp;"ATCH(LOWER(A87), ""depil|epil""), ""Depilação"", REGEXMATCH(LOWER(A87), ""esmalteria|unha|nail|manicur|spa dos p[eé]s|kauu_nhas""), ""Manicure - Esmalteria"", REGEXMATCH(LOWER(A87), ""est[eé]tic|bronze|massot|terap|pilates|revitalize|dra""), ""Clínica de "&amp;"Estética"", TRUE, ""Salão de Beleza""))"),"Sobrancelhas e Cílios")</f>
        <v>Sobrancelhas e Cílios</v>
      </c>
    </row>
    <row r="88">
      <c r="A88" s="1" t="s">
        <v>558</v>
      </c>
      <c r="D88" s="1" t="s">
        <v>559</v>
      </c>
      <c r="E88" s="1" t="s">
        <v>560</v>
      </c>
      <c r="F88" s="1" t="s">
        <v>561</v>
      </c>
      <c r="G88" s="3" t="str">
        <f>IFERROR(__xludf.DUMMYFUNCTION("AI(""Preencha um valor adequado para esta célula com base no contexto da tabela"")"),"Presidente Dutra - MA")</f>
        <v>Presidente Dutra - MA</v>
      </c>
      <c r="H88" s="2" t="s">
        <v>562</v>
      </c>
      <c r="I88" s="3" t="str">
        <f>IFERROR(__xludf.DUMMYFUNCTION("IF(A88="""", """", IFS(REGEXMATCH(LOWER(A88), ""barbearia|barber""), ""Barbearia"", REGEXMATCH(LOWER(A88), ""sobrancelh|c[ií]lio|lash|micropigment|showbrancelhas""), ""Sobrancelhas e Cílios"", REGEXMATCH(LOWER(A88), ""maquia|make""), ""Maquiagem"", REGEXM"&amp;"ATCH(LOWER(A88), ""depil|epil""), ""Depilação"", REGEXMATCH(LOWER(A88), ""esmalteria|unha|nail|manicur|spa dos p[eé]s|kauu_nhas""), ""Manicure - Esmalteria"", REGEXMATCH(LOWER(A88), ""est[eé]tic|bronze|massot|terap|pilates|revitalize|dra""), ""Clínica de "&amp;"Estética"", TRUE, ""Salão de Beleza""))"),"Salão de Beleza")</f>
        <v>Salão de Beleza</v>
      </c>
    </row>
    <row r="89">
      <c r="A89" s="1" t="s">
        <v>563</v>
      </c>
      <c r="B89" s="1" t="s">
        <v>564</v>
      </c>
      <c r="C89" s="1" t="s">
        <v>565</v>
      </c>
      <c r="D89" s="1" t="s">
        <v>566</v>
      </c>
      <c r="E89" s="1" t="s">
        <v>567</v>
      </c>
      <c r="F89" s="1" t="s">
        <v>568</v>
      </c>
      <c r="G89" s="3" t="str">
        <f>IFERROR(__xludf.DUMMYFUNCTION("AI(""Preencha um valor adequado para esta célula com base no contexto da tabela"")"),"Presidente Dutra - MA")</f>
        <v>Presidente Dutra - MA</v>
      </c>
      <c r="H89" s="2" t="s">
        <v>569</v>
      </c>
      <c r="I89" s="3" t="str">
        <f>IFERROR(__xludf.DUMMYFUNCTION("IF(A89="""", """", IFS(REGEXMATCH(LOWER(A89), ""barbearia|barber""), ""Barbearia"", REGEXMATCH(LOWER(A89), ""sobrancelh|c[ií]lio|lash|micropigment|showbrancelhas""), ""Sobrancelhas e Cílios"", REGEXMATCH(LOWER(A89), ""maquia|make""), ""Maquiagem"", REGEXM"&amp;"ATCH(LOWER(A89), ""depil|epil""), ""Depilação"", REGEXMATCH(LOWER(A89), ""esmalteria|unha|nail|manicur|spa dos p[eé]s|kauu_nhas""), ""Manicure - Esmalteria"", REGEXMATCH(LOWER(A89), ""est[eé]tic|bronze|massot|terap|pilates|revitalize|dra""), ""Clínica de "&amp;"Estética"", TRUE, ""Salão de Beleza""))"),"Salão de Beleza")</f>
        <v>Salão de Beleza</v>
      </c>
    </row>
    <row r="90">
      <c r="A90" s="1" t="s">
        <v>570</v>
      </c>
      <c r="B90" s="1" t="s">
        <v>571</v>
      </c>
      <c r="C90" s="1" t="s">
        <v>572</v>
      </c>
      <c r="D90" s="1" t="s">
        <v>573</v>
      </c>
      <c r="E90" s="1" t="s">
        <v>574</v>
      </c>
      <c r="F90" s="1" t="s">
        <v>575</v>
      </c>
      <c r="G90" s="3" t="str">
        <f>IFERROR(__xludf.DUMMYFUNCTION("AI(""Preencha um valor adequado para esta célula com base no contexto da tabela"")"),"Presidente Dutra - MA")</f>
        <v>Presidente Dutra - MA</v>
      </c>
      <c r="H90" s="2" t="s">
        <v>576</v>
      </c>
      <c r="I90" s="3" t="str">
        <f>IFERROR(__xludf.DUMMYFUNCTION("IF(A90="""", """", IFS(REGEXMATCH(LOWER(A90), ""barbearia|barber""), ""Barbearia"", REGEXMATCH(LOWER(A90), ""sobrancelh|c[ií]lio|lash|micropigment|showbrancelhas""), ""Sobrancelhas e Cílios"", REGEXMATCH(LOWER(A90), ""maquia|make""), ""Maquiagem"", REGEXM"&amp;"ATCH(LOWER(A90), ""depil|epil""), ""Depilação"", REGEXMATCH(LOWER(A90), ""esmalteria|unha|nail|manicur|spa dos p[eé]s|kauu_nhas""), ""Manicure - Esmalteria"", REGEXMATCH(LOWER(A90), ""est[eé]tic|bronze|massot|terap|pilates|revitalize|dra""), ""Clínica de "&amp;"Estética"", TRUE, ""Salão de Beleza""))"),"Manicure - Esmalteria")</f>
        <v>Manicure - Esmalteria</v>
      </c>
    </row>
    <row r="91">
      <c r="A91" s="1" t="s">
        <v>577</v>
      </c>
      <c r="D91" s="1" t="s">
        <v>578</v>
      </c>
      <c r="E91" s="1" t="s">
        <v>579</v>
      </c>
      <c r="F91" s="1" t="s">
        <v>580</v>
      </c>
      <c r="G91" s="3" t="str">
        <f>IFERROR(__xludf.DUMMYFUNCTION("AI(""Preencha um valor adequado para esta célula com base no contexto da tabela"")"),"Presidente Dutra - MA")</f>
        <v>Presidente Dutra - MA</v>
      </c>
      <c r="H91" s="2" t="s">
        <v>581</v>
      </c>
      <c r="I91" s="3" t="str">
        <f>IFERROR(__xludf.DUMMYFUNCTION("IF(A91="""", """", IFS(REGEXMATCH(LOWER(A91), ""barbearia|barber""), ""Barbearia"", REGEXMATCH(LOWER(A91), ""sobrancelh|c[ií]lio|lash|micropigment|showbrancelhas""), ""Sobrancelhas e Cílios"", REGEXMATCH(LOWER(A91), ""maquia|make""), ""Maquiagem"", REGEXM"&amp;"ATCH(LOWER(A91), ""depil|epil""), ""Depilação"", REGEXMATCH(LOWER(A91), ""esmalteria|unha|nail|manicur|spa dos p[eé]s|kauu_nhas""), ""Manicure - Esmalteria"", REGEXMATCH(LOWER(A91), ""est[eé]tic|bronze|massot|terap|pilates|revitalize|dra""), ""Clínica de "&amp;"Estética"", TRUE, ""Salão de Beleza""))"),"Clínica de Estética")</f>
        <v>Clínica de Estética</v>
      </c>
    </row>
    <row r="92">
      <c r="A92" s="1" t="s">
        <v>582</v>
      </c>
      <c r="B92" s="1" t="s">
        <v>583</v>
      </c>
      <c r="C92" s="1" t="s">
        <v>584</v>
      </c>
      <c r="D92" s="1" t="s">
        <v>585</v>
      </c>
      <c r="E92" s="1" t="s">
        <v>586</v>
      </c>
      <c r="F92" s="1" t="s">
        <v>587</v>
      </c>
      <c r="G92" s="3" t="str">
        <f>IFERROR(__xludf.DUMMYFUNCTION("AI(""Preencha um valor adequado para esta célula com base no contexto da tabela"")"),"Presidente Dutra - MA")</f>
        <v>Presidente Dutra - MA</v>
      </c>
      <c r="H92" s="2" t="s">
        <v>588</v>
      </c>
      <c r="I92" s="3" t="str">
        <f>IFERROR(__xludf.DUMMYFUNCTION("IF(A92="""", """", IFS(REGEXMATCH(LOWER(A92), ""barbearia|barber""), ""Barbearia"", REGEXMATCH(LOWER(A92), ""sobrancelh|c[ií]lio|lash|micropigment|showbrancelhas""), ""Sobrancelhas e Cílios"", REGEXMATCH(LOWER(A92), ""maquia|make""), ""Maquiagem"", REGEXM"&amp;"ATCH(LOWER(A92), ""depil|epil""), ""Depilação"", REGEXMATCH(LOWER(A92), ""esmalteria|unha|nail|manicur|spa dos p[eé]s|kauu_nhas""), ""Manicure - Esmalteria"", REGEXMATCH(LOWER(A92), ""est[eé]tic|bronze|massot|terap|pilates|revitalize|dra""), ""Clínica de "&amp;"Estética"", TRUE, ""Salão de Beleza""))"),"Sobrancelhas e Cílios")</f>
        <v>Sobrancelhas e Cílios</v>
      </c>
    </row>
    <row r="93">
      <c r="A93" s="1" t="s">
        <v>589</v>
      </c>
      <c r="B93" s="1" t="s">
        <v>590</v>
      </c>
      <c r="C93" s="1" t="s">
        <v>591</v>
      </c>
      <c r="D93" s="1" t="s">
        <v>592</v>
      </c>
      <c r="E93" s="1" t="s">
        <v>593</v>
      </c>
      <c r="F93" s="1" t="s">
        <v>594</v>
      </c>
      <c r="G93" s="3" t="str">
        <f>IFERROR(__xludf.DUMMYFUNCTION("AI(""Preencha um valor adequado para esta célula com base no contexto da tabela"")"),"Presidente Dutra - MA")</f>
        <v>Presidente Dutra - MA</v>
      </c>
      <c r="H93" s="2" t="s">
        <v>595</v>
      </c>
      <c r="I93" s="3" t="str">
        <f>IFERROR(__xludf.DUMMYFUNCTION("IF(A93="""", """", IFS(REGEXMATCH(LOWER(A93), ""barbearia|barber""), ""Barbearia"", REGEXMATCH(LOWER(A93), ""sobrancelh|c[ií]lio|lash|micropigment|showbrancelhas""), ""Sobrancelhas e Cílios"", REGEXMATCH(LOWER(A93), ""maquia|make""), ""Maquiagem"", REGEXM"&amp;"ATCH(LOWER(A93), ""depil|epil""), ""Depilação"", REGEXMATCH(LOWER(A93), ""esmalteria|unha|nail|manicur|spa dos p[eé]s|kauu_nhas""), ""Manicure - Esmalteria"", REGEXMATCH(LOWER(A93), ""est[eé]tic|bronze|massot|terap|pilates|revitalize|dra""), ""Clínica de "&amp;"Estética"", TRUE, ""Salão de Beleza""))"),"Salão de Beleza")</f>
        <v>Salão de Beleza</v>
      </c>
    </row>
    <row r="94">
      <c r="A94" s="1" t="s">
        <v>596</v>
      </c>
      <c r="D94" s="1" t="s">
        <v>597</v>
      </c>
      <c r="E94" s="1" t="s">
        <v>598</v>
      </c>
      <c r="F94" s="1" t="s">
        <v>599</v>
      </c>
      <c r="G94" s="3" t="str">
        <f>IFERROR(__xludf.DUMMYFUNCTION("AI(""Preencha um valor adequado para esta célula com base no contexto da tabela"")"),"Presidente Dutra - MA")</f>
        <v>Presidente Dutra - MA</v>
      </c>
      <c r="H94" s="2" t="s">
        <v>600</v>
      </c>
      <c r="I94" s="3" t="str">
        <f>IFERROR(__xludf.DUMMYFUNCTION("IF(A94="""", """", IFS(REGEXMATCH(LOWER(A94), ""barbearia|barber""), ""Barbearia"", REGEXMATCH(LOWER(A94), ""sobrancelh|c[ií]lio|lash|micropigment|showbrancelhas""), ""Sobrancelhas e Cílios"", REGEXMATCH(LOWER(A94), ""maquia|make""), ""Maquiagem"", REGEXM"&amp;"ATCH(LOWER(A94), ""depil|epil""), ""Depilação"", REGEXMATCH(LOWER(A94), ""esmalteria|unha|nail|manicur|spa dos p[eé]s|kauu_nhas""), ""Manicure - Esmalteria"", REGEXMATCH(LOWER(A94), ""est[eé]tic|bronze|massot|terap|pilates|revitalize|dra""), ""Clínica de "&amp;"Estética"", TRUE, ""Salão de Beleza""))"),"Salão de Beleza")</f>
        <v>Salão de Beleza</v>
      </c>
    </row>
    <row r="95">
      <c r="A95" s="1" t="s">
        <v>601</v>
      </c>
      <c r="D95" s="1" t="s">
        <v>602</v>
      </c>
      <c r="E95" s="1" t="s">
        <v>603</v>
      </c>
      <c r="F95" s="1" t="s">
        <v>604</v>
      </c>
      <c r="G95" s="3" t="str">
        <f>IFERROR(__xludf.DUMMYFUNCTION("AI(""Preencha um valor adequado para esta célula com base no contexto da tabela"")"),"Presidente Dutra - MA")</f>
        <v>Presidente Dutra - MA</v>
      </c>
      <c r="H95" s="2" t="s">
        <v>605</v>
      </c>
      <c r="I95" s="3" t="str">
        <f>IFERROR(__xludf.DUMMYFUNCTION("IF(A95="""", """", IFS(REGEXMATCH(LOWER(A95), ""barbearia|barber""), ""Barbearia"", REGEXMATCH(LOWER(A95), ""sobrancelh|c[ií]lio|lash|micropigment|showbrancelhas""), ""Sobrancelhas e Cílios"", REGEXMATCH(LOWER(A95), ""maquia|make""), ""Maquiagem"", REGEXM"&amp;"ATCH(LOWER(A95), ""depil|epil""), ""Depilação"", REGEXMATCH(LOWER(A95), ""esmalteria|unha|nail|manicur|spa dos p[eé]s|kauu_nhas""), ""Manicure - Esmalteria"", REGEXMATCH(LOWER(A95), ""est[eé]tic|bronze|massot|terap|pilates|revitalize|dra""), ""Clínica de "&amp;"Estética"", TRUE, ""Salão de Beleza""))"),"Salão de Beleza")</f>
        <v>Salão de Beleza</v>
      </c>
    </row>
    <row r="96">
      <c r="A96" s="1" t="s">
        <v>606</v>
      </c>
      <c r="B96" s="1" t="s">
        <v>607</v>
      </c>
      <c r="C96" s="1" t="s">
        <v>608</v>
      </c>
      <c r="D96" s="1" t="s">
        <v>609</v>
      </c>
      <c r="E96" s="1" t="s">
        <v>610</v>
      </c>
      <c r="F96" s="1" t="s">
        <v>611</v>
      </c>
      <c r="G96" s="3" t="str">
        <f>IFERROR(__xludf.DUMMYFUNCTION("AI(""Preencha um valor adequado para esta célula com base no contexto da tabela"")"),"Presidente Dutra - MA")</f>
        <v>Presidente Dutra - MA</v>
      </c>
      <c r="H96" s="2" t="s">
        <v>612</v>
      </c>
      <c r="I96" s="3" t="str">
        <f>IFERROR(__xludf.DUMMYFUNCTION("IF(A96="""", """", IFS(REGEXMATCH(LOWER(A96), ""barbearia|barber""), ""Barbearia"", REGEXMATCH(LOWER(A96), ""sobrancelh|c[ií]lio|lash|micropigment|showbrancelhas""), ""Sobrancelhas e Cílios"", REGEXMATCH(LOWER(A96), ""maquia|make""), ""Maquiagem"", REGEXM"&amp;"ATCH(LOWER(A96), ""depil|epil""), ""Depilação"", REGEXMATCH(LOWER(A96), ""esmalteria|unha|nail|manicur|spa dos p[eé]s|kauu_nhas""), ""Manicure - Esmalteria"", REGEXMATCH(LOWER(A96), ""est[eé]tic|bronze|massot|terap|pilates|revitalize|dra""), ""Clínica de "&amp;"Estética"", TRUE, ""Salão de Beleza""))"),"Sobrancelhas e Cílios")</f>
        <v>Sobrancelhas e Cílios</v>
      </c>
    </row>
    <row r="97">
      <c r="A97" s="1" t="s">
        <v>613</v>
      </c>
      <c r="B97" s="1" t="s">
        <v>614</v>
      </c>
      <c r="C97" s="1" t="s">
        <v>615</v>
      </c>
      <c r="D97" s="1" t="s">
        <v>616</v>
      </c>
      <c r="E97" s="1" t="s">
        <v>617</v>
      </c>
      <c r="F97" s="1" t="s">
        <v>618</v>
      </c>
      <c r="G97" s="3" t="str">
        <f>IFERROR(__xludf.DUMMYFUNCTION("AI(""Preencha um valor adequado para esta célula com base no contexto da tabela"")"),"Presidente Dutra - MA")</f>
        <v>Presidente Dutra - MA</v>
      </c>
      <c r="H97" s="2" t="s">
        <v>619</v>
      </c>
      <c r="I97" s="3" t="str">
        <f>IFERROR(__xludf.DUMMYFUNCTION("IF(A97="""", """", IFS(REGEXMATCH(LOWER(A97), ""barbearia|barber""), ""Barbearia"", REGEXMATCH(LOWER(A97), ""sobrancelh|c[ií]lio|lash|micropigment|showbrancelhas""), ""Sobrancelhas e Cílios"", REGEXMATCH(LOWER(A97), ""maquia|make""), ""Maquiagem"", REGEXM"&amp;"ATCH(LOWER(A97), ""depil|epil""), ""Depilação"", REGEXMATCH(LOWER(A97), ""esmalteria|unha|nail|manicur|spa dos p[eé]s|kauu_nhas""), ""Manicure - Esmalteria"", REGEXMATCH(LOWER(A97), ""est[eé]tic|bronze|massot|terap|pilates|revitalize|dra""), ""Clínica de "&amp;"Estética"", TRUE, ""Salão de Beleza""))"),"Manicure - Esmalteria")</f>
        <v>Manicure - Esmalteria</v>
      </c>
    </row>
    <row r="98">
      <c r="A98" s="1" t="s">
        <v>620</v>
      </c>
      <c r="B98" s="1" t="s">
        <v>621</v>
      </c>
      <c r="C98" s="1" t="s">
        <v>622</v>
      </c>
      <c r="D98" s="1" t="s">
        <v>86</v>
      </c>
      <c r="E98" s="1" t="s">
        <v>623</v>
      </c>
      <c r="F98" s="1" t="s">
        <v>624</v>
      </c>
      <c r="G98" s="3" t="str">
        <f>IFERROR(__xludf.DUMMYFUNCTION("AI(""Preencha um valor adequado para esta célula com base no contexto da tabela"")"),"Presidente Dutra - MA")</f>
        <v>Presidente Dutra - MA</v>
      </c>
      <c r="H98" s="2" t="s">
        <v>625</v>
      </c>
      <c r="I98" s="3" t="str">
        <f>IFERROR(__xludf.DUMMYFUNCTION("IF(A98="""", """", IFS(REGEXMATCH(LOWER(A98), ""barbearia|barber""), ""Barbearia"", REGEXMATCH(LOWER(A98), ""sobrancelh|c[ií]lio|lash|micropigment|showbrancelhas""), ""Sobrancelhas e Cílios"", REGEXMATCH(LOWER(A98), ""maquia|make""), ""Maquiagem"", REGEXM"&amp;"ATCH(LOWER(A98), ""depil|epil""), ""Depilação"", REGEXMATCH(LOWER(A98), ""esmalteria|unha|nail|manicur|spa dos p[eé]s|kauu_nhas""), ""Manicure - Esmalteria"", REGEXMATCH(LOWER(A98), ""est[eé]tic|bronze|massot|terap|pilates|revitalize|dra""), ""Clínica de "&amp;"Estética"", TRUE, ""Salão de Beleza""))"),"Sobrancelhas e Cílios")</f>
        <v>Sobrancelhas e Cílios</v>
      </c>
    </row>
    <row r="99">
      <c r="A99" s="1" t="s">
        <v>626</v>
      </c>
      <c r="D99" s="1" t="s">
        <v>627</v>
      </c>
      <c r="E99" s="1" t="s">
        <v>628</v>
      </c>
      <c r="F99" s="1" t="s">
        <v>629</v>
      </c>
      <c r="G99" s="3" t="str">
        <f>IFERROR(__xludf.DUMMYFUNCTION("AI(""Preencha um valor adequado para esta célula com base no contexto da tabela"")"),"Presidente Dutra - MA")</f>
        <v>Presidente Dutra - MA</v>
      </c>
      <c r="H99" s="2" t="s">
        <v>630</v>
      </c>
      <c r="I99" s="3" t="str">
        <f>IFERROR(__xludf.DUMMYFUNCTION("IF(A99="""", """", IFS(REGEXMATCH(LOWER(A99), ""barbearia|barber""), ""Barbearia"", REGEXMATCH(LOWER(A99), ""sobrancelh|c[ií]lio|lash|micropigment|showbrancelhas""), ""Sobrancelhas e Cílios"", REGEXMATCH(LOWER(A99), ""maquia|make""), ""Maquiagem"", REGEXM"&amp;"ATCH(LOWER(A99), ""depil|epil""), ""Depilação"", REGEXMATCH(LOWER(A99), ""esmalteria|unha|nail|manicur|spa dos p[eé]s|kauu_nhas""), ""Manicure - Esmalteria"", REGEXMATCH(LOWER(A99), ""est[eé]tic|bronze|massot|terap|pilates|revitalize|dra""), ""Clínica de "&amp;"Estética"", TRUE, ""Salão de Beleza""))"),"Salão de Beleza")</f>
        <v>Salão de Beleza</v>
      </c>
    </row>
    <row r="100">
      <c r="A100" s="1" t="s">
        <v>631</v>
      </c>
      <c r="B100" s="1" t="s">
        <v>632</v>
      </c>
      <c r="C100" s="1" t="s">
        <v>633</v>
      </c>
      <c r="D100" s="1" t="s">
        <v>634</v>
      </c>
      <c r="E100" s="1" t="s">
        <v>635</v>
      </c>
      <c r="F100" s="1" t="s">
        <v>636</v>
      </c>
      <c r="G100" s="3" t="str">
        <f>IFERROR(__xludf.DUMMYFUNCTION("AI(""Preencha um valor adequado para esta célula com base no contexto da tabela"")"),"Presidente Dutra - MA")</f>
        <v>Presidente Dutra - MA</v>
      </c>
      <c r="H100" s="2" t="s">
        <v>637</v>
      </c>
      <c r="I100" s="3" t="str">
        <f>IFERROR(__xludf.DUMMYFUNCTION("IF(A100="""", """", IFS(REGEXMATCH(LOWER(A100), ""barbearia|barber""), ""Barbearia"", REGEXMATCH(LOWER(A100), ""sobrancelh|c[ií]lio|lash|micropigment|showbrancelhas""), ""Sobrancelhas e Cílios"", REGEXMATCH(LOWER(A100), ""maquia|make""), ""Maquiagem"", RE"&amp;"GEXMATCH(LOWER(A100), ""depil|epil""), ""Depilação"", REGEXMATCH(LOWER(A100), ""esmalteria|unha|nail|manicur|spa dos p[eé]s|kauu_nhas""), ""Manicure - Esmalteria"", REGEXMATCH(LOWER(A100), ""est[eé]tic|bronze|massot|terap|pilates|revitalize|dra""), ""Clín"&amp;"ica de Estética"", TRUE, ""Salão de Beleza""))"),"Clínica de Estética")</f>
        <v>Clínica de Estética</v>
      </c>
    </row>
    <row r="101">
      <c r="A101" s="1" t="s">
        <v>638</v>
      </c>
      <c r="B101" s="1" t="s">
        <v>639</v>
      </c>
      <c r="C101" s="1" t="s">
        <v>640</v>
      </c>
      <c r="D101" s="1" t="s">
        <v>641</v>
      </c>
      <c r="E101" s="1" t="s">
        <v>642</v>
      </c>
      <c r="F101" s="1" t="s">
        <v>643</v>
      </c>
      <c r="G101" s="3" t="str">
        <f>IFERROR(__xludf.DUMMYFUNCTION("AI(""Preencha um valor adequado para esta célula com base no contexto da tabela"")"),"Presidente Dutra - MA")</f>
        <v>Presidente Dutra - MA</v>
      </c>
      <c r="H101" s="2" t="s">
        <v>644</v>
      </c>
      <c r="I101" s="3" t="str">
        <f>IFERROR(__xludf.DUMMYFUNCTION("IF(A101="""", """", IFS(REGEXMATCH(LOWER(A101), ""barbearia|barber""), ""Barbearia"", REGEXMATCH(LOWER(A101), ""sobrancelh|c[ií]lio|lash|micropigment|showbrancelhas""), ""Sobrancelhas e Cílios"", REGEXMATCH(LOWER(A101), ""maquia|make""), ""Maquiagem"", RE"&amp;"GEXMATCH(LOWER(A101), ""depil|epil""), ""Depilação"", REGEXMATCH(LOWER(A101), ""esmalteria|unha|nail|manicur|spa dos p[eé]s|kauu_nhas""), ""Manicure - Esmalteria"", REGEXMATCH(LOWER(A101), ""est[eé]tic|bronze|massot|terap|pilates|revitalize|dra""), ""Clín"&amp;"ica de Estética"", TRUE, ""Salão de Beleza""))"),"Salão de Beleza")</f>
        <v>Salão de Beleza</v>
      </c>
    </row>
    <row r="102">
      <c r="A102" s="1" t="s">
        <v>645</v>
      </c>
      <c r="B102" s="1" t="s">
        <v>646</v>
      </c>
      <c r="C102" s="1" t="s">
        <v>647</v>
      </c>
      <c r="D102" s="1" t="s">
        <v>648</v>
      </c>
      <c r="E102" s="1" t="s">
        <v>649</v>
      </c>
      <c r="F102" s="1" t="s">
        <v>650</v>
      </c>
      <c r="G102" s="3" t="str">
        <f>IFERROR(__xludf.DUMMYFUNCTION("AI(""Preencha um valor adequado para esta célula com base no contexto da tabela"")"),"Presidente Dutra - MA")</f>
        <v>Presidente Dutra - MA</v>
      </c>
      <c r="H102" s="2" t="s">
        <v>651</v>
      </c>
      <c r="I102" s="3" t="str">
        <f>IFERROR(__xludf.DUMMYFUNCTION("IF(A102="""", """", IFS(REGEXMATCH(LOWER(A102), ""barbearia|barber""), ""Barbearia"", REGEXMATCH(LOWER(A102), ""sobrancelh|c[ií]lio|lash|micropigment|showbrancelhas""), ""Sobrancelhas e Cílios"", REGEXMATCH(LOWER(A102), ""maquia|make""), ""Maquiagem"", RE"&amp;"GEXMATCH(LOWER(A102), ""depil|epil""), ""Depilação"", REGEXMATCH(LOWER(A102), ""esmalteria|unha|nail|manicur|spa dos p[eé]s|kauu_nhas""), ""Manicure - Esmalteria"", REGEXMATCH(LOWER(A102), ""est[eé]tic|bronze|massot|terap|pilates|revitalize|dra""), ""Clín"&amp;"ica de Estética"", TRUE, ""Salão de Beleza""))"),"Clínica de Estética")</f>
        <v>Clínica de Estética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</hyperlinks>
  <drawing r:id="rId102"/>
</worksheet>
</file>